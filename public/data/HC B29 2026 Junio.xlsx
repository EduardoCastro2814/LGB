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dlcastr\LGB\public\data\"/>
    </mc:Choice>
  </mc:AlternateContent>
  <xr:revisionPtr revIDLastSave="0" documentId="13_ncr:1_{2DA3A389-9C78-4853-9EDF-D9F568ED240B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Carta Capacidad" sheetId="50" r:id="rId1"/>
    <sheet name="HC" sheetId="28" r:id="rId2"/>
    <sheet name="Transfer Out-In" sheetId="49" state="hidden" r:id="rId3"/>
  </sheets>
  <definedNames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HKG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SN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___" hidden="1">#REF!</definedName>
    <definedName name="______________e3" hidden="1">{"'Broadway ML#4'!$J$7:$N$490"}</definedName>
    <definedName name="______________w12" hidden="1">{"'Broadway ML#4'!$J$7:$N$490"}</definedName>
    <definedName name="_____________e3" hidden="1">{"'Broadway ML#4'!$J$7:$N$490"}</definedName>
    <definedName name="_____________w12" hidden="1">{"'Broadway ML#4'!$J$7:$N$490"}</definedName>
    <definedName name="____________e3" hidden="1">{"'Broadway ML#4'!$J$7:$N$490"}</definedName>
    <definedName name="____________w12" hidden="1">{"'Broadway ML#4'!$J$7:$N$490"}</definedName>
    <definedName name="__________e3" hidden="1">{"'Broadway ML#4'!$J$7:$N$490"}</definedName>
    <definedName name="__________HPD2" hidden="1">{"'Edit'!$A$1:$V$2277"}</definedName>
    <definedName name="__________w12" hidden="1">{"'Broadway ML#4'!$J$7:$N$490"}</definedName>
    <definedName name="_________e3" hidden="1">{"'Broadway ML#4'!$J$7:$N$490"}</definedName>
    <definedName name="_________HPD2" hidden="1">{"'Edit'!$A$1:$V$2277"}</definedName>
    <definedName name="_________w12" hidden="1">{"'Broadway ML#4'!$J$7:$N$490"}</definedName>
    <definedName name="________e3" hidden="1">{"'Broadway ML#4'!$J$7:$N$490"}</definedName>
    <definedName name="________HPD2" hidden="1">{"'Edit'!$A$1:$V$2277"}</definedName>
    <definedName name="________w12" hidden="1">{"'Broadway ML#4'!$J$7:$N$490"}</definedName>
    <definedName name="_______e3" hidden="1">{"'Broadway ML#4'!$J$7:$N$490"}</definedName>
    <definedName name="_______w12" hidden="1">{"'Broadway ML#4'!$J$7:$N$490"}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3" hidden="1">{"'Broadway ML#4'!$J$7:$N$490"}</definedName>
    <definedName name="______HPD2" hidden="1">{"'Edit'!$A$1:$V$2277"}</definedName>
    <definedName name="______w12" hidden="1">{"'Broadway ML#4'!$J$7:$N$490"}</definedName>
    <definedName name="_____bch1" hidden="1">#REF!</definedName>
    <definedName name="_____bch10" hidden="1">#REF!</definedName>
    <definedName name="_____bch11" hidden="1">#REF!</definedName>
    <definedName name="_____bch12" hidden="1">#REF!</definedName>
    <definedName name="_____bch13" hidden="1">#REF!</definedName>
    <definedName name="_____bch14" hidden="1">#REF!</definedName>
    <definedName name="_____bch15" hidden="1">#REF!</definedName>
    <definedName name="_____bch16" hidden="1">#REF!</definedName>
    <definedName name="_____bch185" hidden="1">#REF!</definedName>
    <definedName name="_____bch19" hidden="1">#REF!</definedName>
    <definedName name="_____bch2" hidden="1">#REF!</definedName>
    <definedName name="_____bch213" hidden="1">#REF!</definedName>
    <definedName name="_____bch22" hidden="1">#REF!</definedName>
    <definedName name="_____bch24" hidden="1">#REF!</definedName>
    <definedName name="_____bch25" hidden="1">#REF!</definedName>
    <definedName name="_____bch26" hidden="1">#REF!</definedName>
    <definedName name="_____bch29" hidden="1">#REF!</definedName>
    <definedName name="_____bch3" hidden="1">#REF!</definedName>
    <definedName name="_____bch32" hidden="1">#REF!</definedName>
    <definedName name="_____bch33" hidden="1">#REF!</definedName>
    <definedName name="_____bch34" hidden="1">#REF!</definedName>
    <definedName name="_____bch38" hidden="1">#REF!</definedName>
    <definedName name="_____bch4" hidden="1">#REF!</definedName>
    <definedName name="_____bch5" hidden="1">#REF!</definedName>
    <definedName name="_____bch6" hidden="1">#REF!</definedName>
    <definedName name="_____bch7" hidden="1">#REF!</definedName>
    <definedName name="_____bch8" hidden="1">#REF!</definedName>
    <definedName name="_____bch9" hidden="1">#REF!</definedName>
    <definedName name="_____cch1" hidden="1">#REF!</definedName>
    <definedName name="_____cch10" hidden="1">#REF!</definedName>
    <definedName name="_____cch11" hidden="1">#REF!</definedName>
    <definedName name="_____cch12" hidden="1">#REF!</definedName>
    <definedName name="_____cch14" hidden="1">#REF!</definedName>
    <definedName name="_____cch16" hidden="1">#REF!</definedName>
    <definedName name="_____cch18" hidden="1">#REF!</definedName>
    <definedName name="_____cch2" hidden="1">#REF!</definedName>
    <definedName name="_____cch20" hidden="1">#REF!</definedName>
    <definedName name="_____cch21" hidden="1">#REF!</definedName>
    <definedName name="_____cch22" hidden="1">#REF!</definedName>
    <definedName name="_____cch23" hidden="1">#REF!</definedName>
    <definedName name="_____cch24" hidden="1">#REF!</definedName>
    <definedName name="_____cch26" hidden="1">#REF!</definedName>
    <definedName name="_____cch29" hidden="1">#REF!</definedName>
    <definedName name="_____cch3" hidden="1">#REF!</definedName>
    <definedName name="_____cch32" hidden="1">#REF!</definedName>
    <definedName name="_____cch34" hidden="1">#REF!</definedName>
    <definedName name="_____cch38" hidden="1">#REF!</definedName>
    <definedName name="_____cch4" hidden="1">#REF!</definedName>
    <definedName name="_____cch5" hidden="1">#REF!</definedName>
    <definedName name="_____cch6" hidden="1">#REF!</definedName>
    <definedName name="_____cch7" hidden="1">#REF!</definedName>
    <definedName name="_____cch8" hidden="1">#REF!</definedName>
    <definedName name="_____cch9" hidden="1">#REF!</definedName>
    <definedName name="_____cht1" hidden="1">#REF!</definedName>
    <definedName name="_____cht10" hidden="1">#REF!</definedName>
    <definedName name="_____cht11" hidden="1">#REF!</definedName>
    <definedName name="_____cht19" hidden="1">#REF!</definedName>
    <definedName name="_____cht22" hidden="1">#REF!</definedName>
    <definedName name="_____cht23" hidden="1">#REF!</definedName>
    <definedName name="_____cht24" hidden="1">#REF!</definedName>
    <definedName name="_____cht25" hidden="1">#REF!</definedName>
    <definedName name="_____cht26" hidden="1">#REF!</definedName>
    <definedName name="_____cht29" hidden="1">#REF!</definedName>
    <definedName name="_____cht32" hidden="1">#REF!</definedName>
    <definedName name="_____cht33" hidden="1">#REF!</definedName>
    <definedName name="_____cht34" hidden="1">#REF!</definedName>
    <definedName name="_____cht38" hidden="1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ch1" hidden="1">#REF!</definedName>
    <definedName name="_____dch11" hidden="1">#REF!</definedName>
    <definedName name="_____dch12" hidden="1">#REF!</definedName>
    <definedName name="_____dch16" hidden="1">#REF!</definedName>
    <definedName name="_____dch18" hidden="1">#REF!</definedName>
    <definedName name="_____dch185" hidden="1">#REF!</definedName>
    <definedName name="_____dch19" hidden="1">#REF!</definedName>
    <definedName name="_____dch2" hidden="1">#REF!</definedName>
    <definedName name="_____dch20" hidden="1">#REF!</definedName>
    <definedName name="_____dch22" hidden="1">#REF!</definedName>
    <definedName name="_____dch23" hidden="1">#REF!</definedName>
    <definedName name="_____dch25" hidden="1">#REF!</definedName>
    <definedName name="_____dch29" hidden="1">#REF!</definedName>
    <definedName name="_____dch3" hidden="1">#REF!</definedName>
    <definedName name="_____dch30" hidden="1">#REF!</definedName>
    <definedName name="_____dch31" hidden="1">#REF!</definedName>
    <definedName name="_____dch32" hidden="1">#REF!</definedName>
    <definedName name="_____dch33" hidden="1">#REF!</definedName>
    <definedName name="_____dch38" hidden="1">#REF!</definedName>
    <definedName name="_____dch4" hidden="1">#REF!</definedName>
    <definedName name="_____dch5" hidden="1">#REF!</definedName>
    <definedName name="_____dch6" hidden="1">#REF!</definedName>
    <definedName name="_____dch7" hidden="1">#REF!</definedName>
    <definedName name="_____dch8" hidden="1">#REF!</definedName>
    <definedName name="_____dch9" hidden="1">#REF!</definedName>
    <definedName name="_____ddc14" hidden="1">#REF!</definedName>
    <definedName name="_____e3" hidden="1">{"'Broadway ML#4'!$J$7:$N$490"}</definedName>
    <definedName name="_____ech1" hidden="1">#REF!</definedName>
    <definedName name="_____ech10" hidden="1">#REF!</definedName>
    <definedName name="_____ech13" hidden="1">#REF!</definedName>
    <definedName name="_____ech14" hidden="1">#REF!</definedName>
    <definedName name="_____ech15" hidden="1">#REF!</definedName>
    <definedName name="_____ech16" hidden="1">#REF!</definedName>
    <definedName name="_____ech17" hidden="1">#REF!</definedName>
    <definedName name="_____ech18" hidden="1">#REF!</definedName>
    <definedName name="_____ech2" hidden="1">#REF!</definedName>
    <definedName name="_____ech20" hidden="1">#REF!</definedName>
    <definedName name="_____ech21" hidden="1">#REF!</definedName>
    <definedName name="_____ech22" hidden="1">#REF!</definedName>
    <definedName name="_____ech23" hidden="1">#REF!</definedName>
    <definedName name="_____ech26" hidden="1">#REF!</definedName>
    <definedName name="_____ech3" hidden="1">#REF!</definedName>
    <definedName name="_____ech30" hidden="1">#REF!</definedName>
    <definedName name="_____ech31" hidden="1">#REF!</definedName>
    <definedName name="_____ech32" hidden="1">#REF!</definedName>
    <definedName name="_____ech33" hidden="1">#REF!</definedName>
    <definedName name="_____ech38" hidden="1">#REF!</definedName>
    <definedName name="_____ech4" hidden="1">#REF!</definedName>
    <definedName name="_____ech5" hidden="1">#REF!</definedName>
    <definedName name="_____ech6" hidden="1">#REF!</definedName>
    <definedName name="_____ech7" hidden="1">#REF!</definedName>
    <definedName name="_____ech8" hidden="1">#REF!</definedName>
    <definedName name="_____ech9" hidden="1">#REF!</definedName>
    <definedName name="_____ehc24" hidden="1">#REF!</definedName>
    <definedName name="_____ehc25" hidden="1">#REF!</definedName>
    <definedName name="_____fch1" hidden="1">#REF!</definedName>
    <definedName name="_____fch12" hidden="1">#REF!</definedName>
    <definedName name="_____fch13" hidden="1">#REF!</definedName>
    <definedName name="_____fch14" hidden="1">#REF!</definedName>
    <definedName name="_____fch15" hidden="1">#REF!</definedName>
    <definedName name="_____fch17" hidden="1">#REF!</definedName>
    <definedName name="_____fch18" hidden="1">#REF!</definedName>
    <definedName name="_____fch2" hidden="1">#REF!</definedName>
    <definedName name="_____fch203" hidden="1">#REF!</definedName>
    <definedName name="_____fch21" hidden="1">#REF!</definedName>
    <definedName name="_____fch25" hidden="1">#REF!</definedName>
    <definedName name="_____fch26" hidden="1">#REF!</definedName>
    <definedName name="_____fch3" hidden="1">#REF!</definedName>
    <definedName name="_____fch30" hidden="1">#REF!</definedName>
    <definedName name="_____fch31" hidden="1">#REF!</definedName>
    <definedName name="_____fch38" hidden="1">#REF!</definedName>
    <definedName name="_____fch4" hidden="1">#REF!</definedName>
    <definedName name="_____fch6" hidden="1">#REF!</definedName>
    <definedName name="_____fch7" hidden="1">#REF!</definedName>
    <definedName name="_____fch8" hidden="1">#REF!</definedName>
    <definedName name="_____HPD2" hidden="1">{"'Edit'!$A$1:$V$2277"}</definedName>
    <definedName name="_____INC10">1.3</definedName>
    <definedName name="_____INC2">1.3</definedName>
    <definedName name="_____tab1">#REF!</definedName>
    <definedName name="_____w12" hidden="1">{"'Broadway ML#4'!$J$7:$N$490"}</definedName>
    <definedName name="_____wrn1" hidden="1">{"Jabil - Personal View",#N/A,FALSE,"Passives"}</definedName>
    <definedName name="_____xch10" hidden="1">#REF!</definedName>
    <definedName name="_____xch11" hidden="1">#REF!</definedName>
    <definedName name="_____xch12" hidden="1">#REF!</definedName>
    <definedName name="_____xch13" hidden="1">#REF!</definedName>
    <definedName name="_____xch15" hidden="1">#REF!</definedName>
    <definedName name="_____xch16" hidden="1">#REF!</definedName>
    <definedName name="_____xch17" hidden="1">#REF!</definedName>
    <definedName name="_____xch19" hidden="1">#REF!</definedName>
    <definedName name="_____xch2" hidden="1">#REF!</definedName>
    <definedName name="_____xch20" hidden="1">#REF!</definedName>
    <definedName name="_____xch21" hidden="1">#REF!</definedName>
    <definedName name="_____xch22" hidden="1">#REF!</definedName>
    <definedName name="_____xch23" hidden="1">#REF!</definedName>
    <definedName name="_____xch25" hidden="1">#REF!</definedName>
    <definedName name="_____xch256" hidden="1">#REF!</definedName>
    <definedName name="_____xch26" hidden="1">#REF!</definedName>
    <definedName name="_____xch3" hidden="1">#REF!</definedName>
    <definedName name="_____xch32" hidden="1">#REF!</definedName>
    <definedName name="_____xch33" hidden="1">#REF!</definedName>
    <definedName name="_____xch4" hidden="1">#REF!</definedName>
    <definedName name="_____xch41" hidden="1">#REF!</definedName>
    <definedName name="_____xch5" hidden="1">#REF!</definedName>
    <definedName name="_____xch6" hidden="1">#REF!</definedName>
    <definedName name="_____xch7" hidden="1">#REF!</definedName>
    <definedName name="_____xch8" hidden="1">#REF!</definedName>
    <definedName name="_____xch9" hidden="1">#REF!</definedName>
    <definedName name="____bch1" hidden="1">#REF!</definedName>
    <definedName name="____bch10" hidden="1">#REF!</definedName>
    <definedName name="____bch11" hidden="1">#REF!</definedName>
    <definedName name="____bch12" hidden="1">#REF!</definedName>
    <definedName name="____bch13" hidden="1">#REF!</definedName>
    <definedName name="____bch14" hidden="1">#REF!</definedName>
    <definedName name="____bch15" hidden="1">#REF!</definedName>
    <definedName name="____bch16" hidden="1">#REF!</definedName>
    <definedName name="____bch185" hidden="1">#REF!</definedName>
    <definedName name="____bch19" hidden="1">#REF!</definedName>
    <definedName name="____bch2" hidden="1">#REF!</definedName>
    <definedName name="____bch213" hidden="1">#REF!</definedName>
    <definedName name="____bch22" hidden="1">#REF!</definedName>
    <definedName name="____bch24" hidden="1">#REF!</definedName>
    <definedName name="____bch25" hidden="1">#REF!</definedName>
    <definedName name="____bch26" hidden="1">#REF!</definedName>
    <definedName name="____bch29" hidden="1">#REF!</definedName>
    <definedName name="____bch3" hidden="1">#REF!</definedName>
    <definedName name="____bch32" hidden="1">#REF!</definedName>
    <definedName name="____bch33" hidden="1">#REF!</definedName>
    <definedName name="____bch34" hidden="1">#REF!</definedName>
    <definedName name="____bch38" hidden="1">#REF!</definedName>
    <definedName name="____bch4" hidden="1">#REF!</definedName>
    <definedName name="____bch5" hidden="1">#REF!</definedName>
    <definedName name="____bch6" hidden="1">#REF!</definedName>
    <definedName name="____bch7" hidden="1">#REF!</definedName>
    <definedName name="____bch8" hidden="1">#REF!</definedName>
    <definedName name="____bch9" hidden="1">#REF!</definedName>
    <definedName name="____CAP_Sht_Crosstab_Query">#REF!</definedName>
    <definedName name="____cch1" hidden="1">#REF!</definedName>
    <definedName name="____cch10" hidden="1">#REF!</definedName>
    <definedName name="____cch11" hidden="1">#REF!</definedName>
    <definedName name="____cch12" hidden="1">#REF!</definedName>
    <definedName name="____cch14" hidden="1">#REF!</definedName>
    <definedName name="____cch16" hidden="1">#REF!</definedName>
    <definedName name="____cch18" hidden="1">#REF!</definedName>
    <definedName name="____cch2" hidden="1">#REF!</definedName>
    <definedName name="____cch20" hidden="1">#REF!</definedName>
    <definedName name="____cch21" hidden="1">#REF!</definedName>
    <definedName name="____cch22" hidden="1">#REF!</definedName>
    <definedName name="____cch23" hidden="1">#REF!</definedName>
    <definedName name="____cch24" hidden="1">#REF!</definedName>
    <definedName name="____cch26" hidden="1">#REF!</definedName>
    <definedName name="____cch29" hidden="1">#REF!</definedName>
    <definedName name="____cch3" hidden="1">#REF!</definedName>
    <definedName name="____cch32" hidden="1">#REF!</definedName>
    <definedName name="____cch34" hidden="1">#REF!</definedName>
    <definedName name="____cch38" hidden="1">#REF!</definedName>
    <definedName name="____cch4" hidden="1">#REF!</definedName>
    <definedName name="____cch5" hidden="1">#REF!</definedName>
    <definedName name="____cch6" hidden="1">#REF!</definedName>
    <definedName name="____cch7" hidden="1">#REF!</definedName>
    <definedName name="____cch8" hidden="1">#REF!</definedName>
    <definedName name="____cch9" hidden="1">#REF!</definedName>
    <definedName name="____cht1" hidden="1">#REF!</definedName>
    <definedName name="____cht10" hidden="1">#REF!</definedName>
    <definedName name="____cht11" hidden="1">#REF!</definedName>
    <definedName name="____cht19" hidden="1">#REF!</definedName>
    <definedName name="____cht22" hidden="1">#REF!</definedName>
    <definedName name="____cht23" hidden="1">#REF!</definedName>
    <definedName name="____cht24" hidden="1">#REF!</definedName>
    <definedName name="____cht25" hidden="1">#REF!</definedName>
    <definedName name="____cht26" hidden="1">#REF!</definedName>
    <definedName name="____cht29" hidden="1">#REF!</definedName>
    <definedName name="____cht32" hidden="1">#REF!</definedName>
    <definedName name="____cht33" hidden="1">#REF!</definedName>
    <definedName name="____cht34" hidden="1">#REF!</definedName>
    <definedName name="____cht38" hidden="1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ch1" hidden="1">#REF!</definedName>
    <definedName name="____dch11" hidden="1">#REF!</definedName>
    <definedName name="____dch12" hidden="1">#REF!</definedName>
    <definedName name="____dch16" hidden="1">#REF!</definedName>
    <definedName name="____dch18" hidden="1">#REF!</definedName>
    <definedName name="____dch185" hidden="1">#REF!</definedName>
    <definedName name="____dch19" hidden="1">#REF!</definedName>
    <definedName name="____dch2" hidden="1">#REF!</definedName>
    <definedName name="____dch20" hidden="1">#REF!</definedName>
    <definedName name="____dch22" hidden="1">#REF!</definedName>
    <definedName name="____dch23" hidden="1">#REF!</definedName>
    <definedName name="____dch25" hidden="1">#REF!</definedName>
    <definedName name="____dch29" hidden="1">#REF!</definedName>
    <definedName name="____dch3" hidden="1">#REF!</definedName>
    <definedName name="____dch30" hidden="1">#REF!</definedName>
    <definedName name="____dch31" hidden="1">#REF!</definedName>
    <definedName name="____dch32" hidden="1">#REF!</definedName>
    <definedName name="____dch33" hidden="1">#REF!</definedName>
    <definedName name="____dch38" hidden="1">#REF!</definedName>
    <definedName name="____dch4" hidden="1">#REF!</definedName>
    <definedName name="____dch5" hidden="1">#REF!</definedName>
    <definedName name="____dch6" hidden="1">#REF!</definedName>
    <definedName name="____dch7" hidden="1">#REF!</definedName>
    <definedName name="____dch8" hidden="1">#REF!</definedName>
    <definedName name="____dch9" hidden="1">#REF!</definedName>
    <definedName name="____ddc14" hidden="1">#REF!</definedName>
    <definedName name="____e3" hidden="1">{"'Broadway ML#4'!$J$7:$N$490"}</definedName>
    <definedName name="____ech1" hidden="1">#REF!</definedName>
    <definedName name="____ech10" hidden="1">#REF!</definedName>
    <definedName name="____ech13" hidden="1">#REF!</definedName>
    <definedName name="____ech14" hidden="1">#REF!</definedName>
    <definedName name="____ech15" hidden="1">#REF!</definedName>
    <definedName name="____ech16" hidden="1">#REF!</definedName>
    <definedName name="____ech17" hidden="1">#REF!</definedName>
    <definedName name="____ech18" hidden="1">#REF!</definedName>
    <definedName name="____ech2" hidden="1">#REF!</definedName>
    <definedName name="____ech20" hidden="1">#REF!</definedName>
    <definedName name="____ech21" hidden="1">#REF!</definedName>
    <definedName name="____ech22" hidden="1">#REF!</definedName>
    <definedName name="____ech23" hidden="1">#REF!</definedName>
    <definedName name="____ech26" hidden="1">#REF!</definedName>
    <definedName name="____ech3" hidden="1">#REF!</definedName>
    <definedName name="____ech30" hidden="1">#REF!</definedName>
    <definedName name="____ech31" hidden="1">#REF!</definedName>
    <definedName name="____ech32" hidden="1">#REF!</definedName>
    <definedName name="____ech33" hidden="1">#REF!</definedName>
    <definedName name="____ech38" hidden="1">#REF!</definedName>
    <definedName name="____ech4" hidden="1">#REF!</definedName>
    <definedName name="____ech5" hidden="1">#REF!</definedName>
    <definedName name="____ech6" hidden="1">#REF!</definedName>
    <definedName name="____ech7" hidden="1">#REF!</definedName>
    <definedName name="____ech8" hidden="1">#REF!</definedName>
    <definedName name="____ech9" hidden="1">#REF!</definedName>
    <definedName name="____ehc24" hidden="1">#REF!</definedName>
    <definedName name="____ehc25" hidden="1">#REF!</definedName>
    <definedName name="____fch1" hidden="1">#REF!</definedName>
    <definedName name="____fch12" hidden="1">#REF!</definedName>
    <definedName name="____fch13" hidden="1">#REF!</definedName>
    <definedName name="____fch14" hidden="1">#REF!</definedName>
    <definedName name="____fch15" hidden="1">#REF!</definedName>
    <definedName name="____fch17" hidden="1">#REF!</definedName>
    <definedName name="____fch18" hidden="1">#REF!</definedName>
    <definedName name="____fch2" hidden="1">#REF!</definedName>
    <definedName name="____fch203" hidden="1">#REF!</definedName>
    <definedName name="____fch21" hidden="1">#REF!</definedName>
    <definedName name="____fch25" hidden="1">#REF!</definedName>
    <definedName name="____fch26" hidden="1">#REF!</definedName>
    <definedName name="____fch3" hidden="1">#REF!</definedName>
    <definedName name="____fch30" hidden="1">#REF!</definedName>
    <definedName name="____fch31" hidden="1">#REF!</definedName>
    <definedName name="____fch38" hidden="1">#REF!</definedName>
    <definedName name="____fch4" hidden="1">#REF!</definedName>
    <definedName name="____fch6" hidden="1">#REF!</definedName>
    <definedName name="____fch7" hidden="1">#REF!</definedName>
    <definedName name="____fch8" hidden="1">#REF!</definedName>
    <definedName name="____fix1">balance sheet send</definedName>
    <definedName name="____INC10">1.3</definedName>
    <definedName name="____INC2">1.3</definedName>
    <definedName name="____tab1">#REF!</definedName>
    <definedName name="____try1">balance sheet send</definedName>
    <definedName name="____try2">balance sheet send</definedName>
    <definedName name="____w12" hidden="1">{"'Broadway ML#4'!$J$7:$N$490"}</definedName>
    <definedName name="____wrn1" hidden="1">{"Jabil - Personal View",#N/A,FALSE,"Passives"}</definedName>
    <definedName name="____xch10" hidden="1">#REF!</definedName>
    <definedName name="____xch11" hidden="1">#REF!</definedName>
    <definedName name="____xch12" hidden="1">#REF!</definedName>
    <definedName name="____xch13" hidden="1">#REF!</definedName>
    <definedName name="____xch15" hidden="1">#REF!</definedName>
    <definedName name="____xch16" hidden="1">#REF!</definedName>
    <definedName name="____xch17" hidden="1">#REF!</definedName>
    <definedName name="____xch19" hidden="1">#REF!</definedName>
    <definedName name="____xch2" hidden="1">#REF!</definedName>
    <definedName name="____xch20" hidden="1">#REF!</definedName>
    <definedName name="____xch21" hidden="1">#REF!</definedName>
    <definedName name="____xch22" hidden="1">#REF!</definedName>
    <definedName name="____xch23" hidden="1">#REF!</definedName>
    <definedName name="____xch25" hidden="1">#REF!</definedName>
    <definedName name="____xch256" hidden="1">#REF!</definedName>
    <definedName name="____xch26" hidden="1">#REF!</definedName>
    <definedName name="____xch3" hidden="1">#REF!</definedName>
    <definedName name="____xch32" hidden="1">#REF!</definedName>
    <definedName name="____xch33" hidden="1">#REF!</definedName>
    <definedName name="____xch4" hidden="1">#REF!</definedName>
    <definedName name="____xch41" hidden="1">#REF!</definedName>
    <definedName name="____xch5" hidden="1">#REF!</definedName>
    <definedName name="____xch6" hidden="1">#REF!</definedName>
    <definedName name="____xch7" hidden="1">#REF!</definedName>
    <definedName name="____xch8" hidden="1">#REF!</definedName>
    <definedName name="____xch9" hidden="1">#REF!</definedName>
    <definedName name="___ac370">#REF!</definedName>
    <definedName name="___ac375">#REF!</definedName>
    <definedName name="___acc345">#REF!</definedName>
    <definedName name="___acc370">#REF!</definedName>
    <definedName name="___acc375">#REF!</definedName>
    <definedName name="___acc730">#REF!</definedName>
    <definedName name="___acc75">#REF!</definedName>
    <definedName name="___ae3" hidden="1">{"one (KEY)",#N/A,FALSE,"P&amp;L"}</definedName>
    <definedName name="___bch1" hidden="1">#REF!</definedName>
    <definedName name="___bch10" hidden="1">#REF!</definedName>
    <definedName name="___bch11" hidden="1">#REF!</definedName>
    <definedName name="___bch12" hidden="1">#REF!</definedName>
    <definedName name="___bch13" hidden="1">#REF!</definedName>
    <definedName name="___bch14" hidden="1">#REF!</definedName>
    <definedName name="___bch15" hidden="1">#REF!</definedName>
    <definedName name="___bch16" hidden="1">#REF!</definedName>
    <definedName name="___bch185" hidden="1">#REF!</definedName>
    <definedName name="___bch19" hidden="1">#REF!</definedName>
    <definedName name="___bch2" hidden="1">#REF!</definedName>
    <definedName name="___bch213" hidden="1">#REF!</definedName>
    <definedName name="___bch22" hidden="1">#REF!</definedName>
    <definedName name="___bch24" hidden="1">#REF!</definedName>
    <definedName name="___bch25" hidden="1">#REF!</definedName>
    <definedName name="___bch26" hidden="1">#REF!</definedName>
    <definedName name="___bch29" hidden="1">#REF!</definedName>
    <definedName name="___bch3" hidden="1">#REF!</definedName>
    <definedName name="___bch32" hidden="1">#REF!</definedName>
    <definedName name="___bch33" hidden="1">#REF!</definedName>
    <definedName name="___bch34" hidden="1">#REF!</definedName>
    <definedName name="___bch38" hidden="1">#REF!</definedName>
    <definedName name="___bch4" hidden="1">#REF!</definedName>
    <definedName name="___bch5" hidden="1">#REF!</definedName>
    <definedName name="___bch6" hidden="1">#REF!</definedName>
    <definedName name="___bch7" hidden="1">#REF!</definedName>
    <definedName name="___bch8" hidden="1">#REF!</definedName>
    <definedName name="___bch9" hidden="1">#REF!</definedName>
    <definedName name="___cch1" hidden="1">#REF!</definedName>
    <definedName name="___cch10" hidden="1">#REF!</definedName>
    <definedName name="___cch11" hidden="1">#REF!</definedName>
    <definedName name="___cch12" hidden="1">#REF!</definedName>
    <definedName name="___cch14" hidden="1">#REF!</definedName>
    <definedName name="___cch16" hidden="1">#REF!</definedName>
    <definedName name="___cch18" hidden="1">#REF!</definedName>
    <definedName name="___cch2" hidden="1">#REF!</definedName>
    <definedName name="___cch20" hidden="1">#REF!</definedName>
    <definedName name="___cch21" hidden="1">#REF!</definedName>
    <definedName name="___cch22" hidden="1">#REF!</definedName>
    <definedName name="___cch23" hidden="1">#REF!</definedName>
    <definedName name="___cch24" hidden="1">#REF!</definedName>
    <definedName name="___cch26" hidden="1">#REF!</definedName>
    <definedName name="___cch29" hidden="1">#REF!</definedName>
    <definedName name="___cch3" hidden="1">#REF!</definedName>
    <definedName name="___cch32" hidden="1">#REF!</definedName>
    <definedName name="___cch34" hidden="1">#REF!</definedName>
    <definedName name="___cch38" hidden="1">#REF!</definedName>
    <definedName name="___cch4" hidden="1">#REF!</definedName>
    <definedName name="___cch5" hidden="1">#REF!</definedName>
    <definedName name="___cch6" hidden="1">#REF!</definedName>
    <definedName name="___cch7" hidden="1">#REF!</definedName>
    <definedName name="___cch8" hidden="1">#REF!</definedName>
    <definedName name="___cch9" hidden="1">#REF!</definedName>
    <definedName name="___cht1" hidden="1">#REF!</definedName>
    <definedName name="___cht10" hidden="1">#REF!</definedName>
    <definedName name="___cht11" hidden="1">#REF!</definedName>
    <definedName name="___cht19" hidden="1">#REF!</definedName>
    <definedName name="___cht22" hidden="1">#REF!</definedName>
    <definedName name="___cht23" hidden="1">#REF!</definedName>
    <definedName name="___cht24" hidden="1">#REF!</definedName>
    <definedName name="___cht25" hidden="1">#REF!</definedName>
    <definedName name="___cht26" hidden="1">#REF!</definedName>
    <definedName name="___cht29" hidden="1">#REF!</definedName>
    <definedName name="___cht32" hidden="1">#REF!</definedName>
    <definedName name="___cht33" hidden="1">#REF!</definedName>
    <definedName name="___cht34" hidden="1">#REF!</definedName>
    <definedName name="___cht38" hidden="1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ch1" hidden="1">#REF!</definedName>
    <definedName name="___dch11" hidden="1">#REF!</definedName>
    <definedName name="___dch12" hidden="1">#REF!</definedName>
    <definedName name="___dch16" hidden="1">#REF!</definedName>
    <definedName name="___dch18" hidden="1">#REF!</definedName>
    <definedName name="___dch185" hidden="1">#REF!</definedName>
    <definedName name="___dch19" hidden="1">#REF!</definedName>
    <definedName name="___dch2" hidden="1">#REF!</definedName>
    <definedName name="___dch20" hidden="1">#REF!</definedName>
    <definedName name="___dch22" hidden="1">#REF!</definedName>
    <definedName name="___dch23" hidden="1">#REF!</definedName>
    <definedName name="___dch25" hidden="1">#REF!</definedName>
    <definedName name="___dch29" hidden="1">#REF!</definedName>
    <definedName name="___dch3" hidden="1">#REF!</definedName>
    <definedName name="___dch30" hidden="1">#REF!</definedName>
    <definedName name="___dch31" hidden="1">#REF!</definedName>
    <definedName name="___dch32" hidden="1">#REF!</definedName>
    <definedName name="___dch33" hidden="1">#REF!</definedName>
    <definedName name="___dch38" hidden="1">#REF!</definedName>
    <definedName name="___dch4" hidden="1">#REF!</definedName>
    <definedName name="___dch5" hidden="1">#REF!</definedName>
    <definedName name="___dch6" hidden="1">#REF!</definedName>
    <definedName name="___dch7" hidden="1">#REF!</definedName>
    <definedName name="___dch8" hidden="1">#REF!</definedName>
    <definedName name="___dch9" hidden="1">#REF!</definedName>
    <definedName name="___ddc14" hidden="1">#REF!</definedName>
    <definedName name="___e3" hidden="1">{"'Broadway ML#4'!$J$7:$N$490"}</definedName>
    <definedName name="___ech1" hidden="1">#REF!</definedName>
    <definedName name="___ech10" hidden="1">#REF!</definedName>
    <definedName name="___ech13" hidden="1">#REF!</definedName>
    <definedName name="___ech14" hidden="1">#REF!</definedName>
    <definedName name="___ech15" hidden="1">#REF!</definedName>
    <definedName name="___ech16" hidden="1">#REF!</definedName>
    <definedName name="___ech17" hidden="1">#REF!</definedName>
    <definedName name="___ech18" hidden="1">#REF!</definedName>
    <definedName name="___ech2" hidden="1">#REF!</definedName>
    <definedName name="___ech20" hidden="1">#REF!</definedName>
    <definedName name="___ech21" hidden="1">#REF!</definedName>
    <definedName name="___ech22" hidden="1">#REF!</definedName>
    <definedName name="___ech23" hidden="1">#REF!</definedName>
    <definedName name="___ech26" hidden="1">#REF!</definedName>
    <definedName name="___ech3" hidden="1">#REF!</definedName>
    <definedName name="___ech30" hidden="1">#REF!</definedName>
    <definedName name="___ech31" hidden="1">#REF!</definedName>
    <definedName name="___ech32" hidden="1">#REF!</definedName>
    <definedName name="___ech33" hidden="1">#REF!</definedName>
    <definedName name="___ech38" hidden="1">#REF!</definedName>
    <definedName name="___ech4" hidden="1">#REF!</definedName>
    <definedName name="___ech5" hidden="1">#REF!</definedName>
    <definedName name="___ech6" hidden="1">#REF!</definedName>
    <definedName name="___ech7" hidden="1">#REF!</definedName>
    <definedName name="___ech8" hidden="1">#REF!</definedName>
    <definedName name="___ech9" hidden="1">#REF!</definedName>
    <definedName name="___ehc24" hidden="1">#REF!</definedName>
    <definedName name="___ehc25" hidden="1">#REF!</definedName>
    <definedName name="___fch1" hidden="1">#REF!</definedName>
    <definedName name="___fch12" hidden="1">#REF!</definedName>
    <definedName name="___fch13" hidden="1">#REF!</definedName>
    <definedName name="___fch14" hidden="1">#REF!</definedName>
    <definedName name="___fch15" hidden="1">#REF!</definedName>
    <definedName name="___fch17" hidden="1">#REF!</definedName>
    <definedName name="___fch18" hidden="1">#REF!</definedName>
    <definedName name="___fch2" hidden="1">#REF!</definedName>
    <definedName name="___fch203" hidden="1">#REF!</definedName>
    <definedName name="___fch21" hidden="1">#REF!</definedName>
    <definedName name="___fch25" hidden="1">#REF!</definedName>
    <definedName name="___fch26" hidden="1">#REF!</definedName>
    <definedName name="___fch3" hidden="1">#REF!</definedName>
    <definedName name="___fch30" hidden="1">#REF!</definedName>
    <definedName name="___fch31" hidden="1">#REF!</definedName>
    <definedName name="___fch38" hidden="1">#REF!</definedName>
    <definedName name="___fch4" hidden="1">#REF!</definedName>
    <definedName name="___fch6" hidden="1">#REF!</definedName>
    <definedName name="___fch7" hidden="1">#REF!</definedName>
    <definedName name="___fch8" hidden="1">#REF!</definedName>
    <definedName name="___fix1">balance sheet send</definedName>
    <definedName name="___HPD2" hidden="1">{"'Edit'!$A$1:$V$2277"}</definedName>
    <definedName name="___INC10">1.3</definedName>
    <definedName name="___INC2">1.3</definedName>
    <definedName name="___oj1208">#REF!</definedName>
    <definedName name="___pik1">#REF!</definedName>
    <definedName name="___pik2">#REF!</definedName>
    <definedName name="___req2">#REF!</definedName>
    <definedName name="___req3">#REF!</definedName>
    <definedName name="___sub1">#REF!</definedName>
    <definedName name="___sub2">#REF!</definedName>
    <definedName name="___tab1">#REF!</definedName>
    <definedName name="___tab2">#REF!</definedName>
    <definedName name="___tab3">#REF!</definedName>
    <definedName name="___tab4">#REF!</definedName>
    <definedName name="___tab5">#REF!</definedName>
    <definedName name="___tab6">#REF!</definedName>
    <definedName name="___TC1">#REF!</definedName>
    <definedName name="___TC2">#REF!</definedName>
    <definedName name="___try1">balance sheet send</definedName>
    <definedName name="___try2">balance sheet send</definedName>
    <definedName name="___w12" hidden="1">{"'Broadway ML#4'!$J$7:$N$490"}</definedName>
    <definedName name="___wrn1" hidden="1">{"Jabil - Personal View",#N/A,FALSE,"Passives"}</definedName>
    <definedName name="___xch10" hidden="1">#REF!</definedName>
    <definedName name="___xch11" hidden="1">#REF!</definedName>
    <definedName name="___xch12" hidden="1">#REF!</definedName>
    <definedName name="___xch13" hidden="1">#REF!</definedName>
    <definedName name="___xch15" hidden="1">#REF!</definedName>
    <definedName name="___xch16" hidden="1">#REF!</definedName>
    <definedName name="___xch17" hidden="1">#REF!</definedName>
    <definedName name="___xch19" hidden="1">#REF!</definedName>
    <definedName name="___xch2" hidden="1">#REF!</definedName>
    <definedName name="___xch20" hidden="1">#REF!</definedName>
    <definedName name="___xch21" hidden="1">#REF!</definedName>
    <definedName name="___xch22" hidden="1">#REF!</definedName>
    <definedName name="___xch23" hidden="1">#REF!</definedName>
    <definedName name="___xch25" hidden="1">#REF!</definedName>
    <definedName name="___xch256" hidden="1">#REF!</definedName>
    <definedName name="___xch26" hidden="1">#REF!</definedName>
    <definedName name="___xch3" hidden="1">#REF!</definedName>
    <definedName name="___xch32" hidden="1">#REF!</definedName>
    <definedName name="___xch33" hidden="1">#REF!</definedName>
    <definedName name="___xch4" hidden="1">#REF!</definedName>
    <definedName name="___xch41" hidden="1">#REF!</definedName>
    <definedName name="___xch5" hidden="1">#REF!</definedName>
    <definedName name="___xch6" hidden="1">#REF!</definedName>
    <definedName name="___xch7" hidden="1">#REF!</definedName>
    <definedName name="___xch8" hidden="1">#REF!</definedName>
    <definedName name="___xch9" hidden="1">#REF!</definedName>
    <definedName name="__123Graph_A" hidden="1">#REF!</definedName>
    <definedName name="__123Graph_ABAL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LBL_ABAL" hidden="1">#REF!</definedName>
    <definedName name="__123Graph_X" hidden="1">#REF!</definedName>
    <definedName name="__123Graph_XBAL" hidden="1">#REF!</definedName>
    <definedName name="__aa1" hidden="1">{"'Broadway ML#4'!$J$7:$N$490"}</definedName>
    <definedName name="__ac370">#REF!</definedName>
    <definedName name="__ac375">#REF!</definedName>
    <definedName name="__acc345">#REF!</definedName>
    <definedName name="__acc370">#REF!</definedName>
    <definedName name="__acc375">#REF!</definedName>
    <definedName name="__acc730">#REF!</definedName>
    <definedName name="__acc75">#REF!</definedName>
    <definedName name="__ae3" hidden="1">{"one (KEY)",#N/A,FALSE,"P&amp;L"}</definedName>
    <definedName name="__bch1" hidden="1">#REF!</definedName>
    <definedName name="__bch10" hidden="1">#REF!</definedName>
    <definedName name="__bch11" hidden="1">#REF!</definedName>
    <definedName name="__bch12" hidden="1">#REF!</definedName>
    <definedName name="__bch13" hidden="1">#REF!</definedName>
    <definedName name="__bch14" hidden="1">#REF!</definedName>
    <definedName name="__bch15" hidden="1">#REF!</definedName>
    <definedName name="__bch16" hidden="1">#REF!</definedName>
    <definedName name="__bch185" hidden="1">#REF!</definedName>
    <definedName name="__bch19" hidden="1">#REF!</definedName>
    <definedName name="__bch2" hidden="1">#REF!</definedName>
    <definedName name="__bch213" hidden="1">#REF!</definedName>
    <definedName name="__bch22" hidden="1">#REF!</definedName>
    <definedName name="__bch24" hidden="1">#REF!</definedName>
    <definedName name="__bch25" hidden="1">#REF!</definedName>
    <definedName name="__bch26" hidden="1">#REF!</definedName>
    <definedName name="__bch29" hidden="1">#REF!</definedName>
    <definedName name="__bch3" hidden="1">#REF!</definedName>
    <definedName name="__bch32" hidden="1">#REF!</definedName>
    <definedName name="__bch33" hidden="1">#REF!</definedName>
    <definedName name="__bch34" hidden="1">#REF!</definedName>
    <definedName name="__bch38" hidden="1">#REF!</definedName>
    <definedName name="__bch4" hidden="1">#REF!</definedName>
    <definedName name="__bch5" hidden="1">#REF!</definedName>
    <definedName name="__bch6" hidden="1">#REF!</definedName>
    <definedName name="__bch7" hidden="1">#REF!</definedName>
    <definedName name="__bch8" hidden="1">#REF!</definedName>
    <definedName name="__bch9" hidden="1">#REF!</definedName>
    <definedName name="__cch1" hidden="1">#REF!</definedName>
    <definedName name="__cch10" hidden="1">#REF!</definedName>
    <definedName name="__cch11" hidden="1">#REF!</definedName>
    <definedName name="__cch12" hidden="1">#REF!</definedName>
    <definedName name="__cch14" hidden="1">#REF!</definedName>
    <definedName name="__cch16" hidden="1">#REF!</definedName>
    <definedName name="__cch18" hidden="1">#REF!</definedName>
    <definedName name="__cch2" hidden="1">#REF!</definedName>
    <definedName name="__cch20" hidden="1">#REF!</definedName>
    <definedName name="__cch21" hidden="1">#REF!</definedName>
    <definedName name="__cch22" hidden="1">#REF!</definedName>
    <definedName name="__cch23" hidden="1">#REF!</definedName>
    <definedName name="__cch24" hidden="1">#REF!</definedName>
    <definedName name="__cch26" hidden="1">#REF!</definedName>
    <definedName name="__cch29" hidden="1">#REF!</definedName>
    <definedName name="__cch3" hidden="1">#REF!</definedName>
    <definedName name="__cch32" hidden="1">#REF!</definedName>
    <definedName name="__cch34" hidden="1">#REF!</definedName>
    <definedName name="__cch38" hidden="1">#REF!</definedName>
    <definedName name="__cch4" hidden="1">#REF!</definedName>
    <definedName name="__cch5" hidden="1">#REF!</definedName>
    <definedName name="__cch6" hidden="1">#REF!</definedName>
    <definedName name="__cch7" hidden="1">#REF!</definedName>
    <definedName name="__cch8" hidden="1">#REF!</definedName>
    <definedName name="__cch9" hidden="1">#REF!</definedName>
    <definedName name="__cht1" hidden="1">#REF!</definedName>
    <definedName name="__cht10" hidden="1">#REF!</definedName>
    <definedName name="__cht11" hidden="1">#REF!</definedName>
    <definedName name="__cht19" hidden="1">#REF!</definedName>
    <definedName name="__cht22" hidden="1">#REF!</definedName>
    <definedName name="__cht23" hidden="1">#REF!</definedName>
    <definedName name="__cht24" hidden="1">#REF!</definedName>
    <definedName name="__cht25" hidden="1">#REF!</definedName>
    <definedName name="__cht26" hidden="1">#REF!</definedName>
    <definedName name="__cht29" hidden="1">#REF!</definedName>
    <definedName name="__cht32" hidden="1">#REF!</definedName>
    <definedName name="__cht33" hidden="1">#REF!</definedName>
    <definedName name="__cht34" hidden="1">#REF!</definedName>
    <definedName name="__cht38" hidden="1">#REF!</definedName>
    <definedName name="__d1" hidden="1">{#N/A,#N/A,FALSE,"Sales"}</definedName>
    <definedName name="__d116" hidden="1">{#N/A,#N/A,FALSE,"Sales"}</definedName>
    <definedName name="__d16" hidden="1">{"Annual",#N/A,FALSE,"Sales &amp; Market";"Quarterly",#N/A,FALSE,"Sales &amp; Market"}</definedName>
    <definedName name="__d2" hidden="1">{#N/A,#N/A,FALSE,"Sales"}</definedName>
    <definedName name="__d216" hidden="1">{#N/A,#N/A,FALSE,"Sales"}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h1" hidden="1">#REF!</definedName>
    <definedName name="__dch11" hidden="1">#REF!</definedName>
    <definedName name="__dch12" hidden="1">#REF!</definedName>
    <definedName name="__dch16" hidden="1">#REF!</definedName>
    <definedName name="__dch18" hidden="1">#REF!</definedName>
    <definedName name="__dch185" hidden="1">#REF!</definedName>
    <definedName name="__dch19" hidden="1">#REF!</definedName>
    <definedName name="__dch2" hidden="1">#REF!</definedName>
    <definedName name="__dch20" hidden="1">#REF!</definedName>
    <definedName name="__dch22" hidden="1">#REF!</definedName>
    <definedName name="__dch23" hidden="1">#REF!</definedName>
    <definedName name="__dch25" hidden="1">#REF!</definedName>
    <definedName name="__dch29" hidden="1">#REF!</definedName>
    <definedName name="__dch3" hidden="1">#REF!</definedName>
    <definedName name="__dch30" hidden="1">#REF!</definedName>
    <definedName name="__dch31" hidden="1">#REF!</definedName>
    <definedName name="__dch32" hidden="1">#REF!</definedName>
    <definedName name="__dch33" hidden="1">#REF!</definedName>
    <definedName name="__dch38" hidden="1">#REF!</definedName>
    <definedName name="__dch4" hidden="1">#REF!</definedName>
    <definedName name="__dch5" hidden="1">#REF!</definedName>
    <definedName name="__dch6" hidden="1">#REF!</definedName>
    <definedName name="__dch7" hidden="1">#REF!</definedName>
    <definedName name="__dch8" hidden="1">#REF!</definedName>
    <definedName name="__dch9" hidden="1">#REF!</definedName>
    <definedName name="__ddc14" hidden="1">#REF!</definedName>
    <definedName name="__e3" hidden="1">{"'Broadway ML#4'!$J$7:$N$490"}</definedName>
    <definedName name="__eb2" hidden="1">{"one (KEY)",#N/A,FALSE,"P&amp;L"}</definedName>
    <definedName name="__ech1" hidden="1">#REF!</definedName>
    <definedName name="__ech10" hidden="1">#REF!</definedName>
    <definedName name="__ech13" hidden="1">#REF!</definedName>
    <definedName name="__ech14" hidden="1">#REF!</definedName>
    <definedName name="__ech15" hidden="1">#REF!</definedName>
    <definedName name="__ech16" hidden="1">#REF!</definedName>
    <definedName name="__ech17" hidden="1">#REF!</definedName>
    <definedName name="__ech18" hidden="1">#REF!</definedName>
    <definedName name="__ech2" hidden="1">#REF!</definedName>
    <definedName name="__ech20" hidden="1">#REF!</definedName>
    <definedName name="__ech21" hidden="1">#REF!</definedName>
    <definedName name="__ech22" hidden="1">#REF!</definedName>
    <definedName name="__ech23" hidden="1">#REF!</definedName>
    <definedName name="__ech26" hidden="1">#REF!</definedName>
    <definedName name="__ech3" hidden="1">#REF!</definedName>
    <definedName name="__ech30" hidden="1">#REF!</definedName>
    <definedName name="__ech31" hidden="1">#REF!</definedName>
    <definedName name="__ech32" hidden="1">#REF!</definedName>
    <definedName name="__ech33" hidden="1">#REF!</definedName>
    <definedName name="__ech38" hidden="1">#REF!</definedName>
    <definedName name="__ech4" hidden="1">#REF!</definedName>
    <definedName name="__ech5" hidden="1">#REF!</definedName>
    <definedName name="__ech6" hidden="1">#REF!</definedName>
    <definedName name="__ech7" hidden="1">#REF!</definedName>
    <definedName name="__ech8" hidden="1">#REF!</definedName>
    <definedName name="__ech9" hidden="1">#REF!</definedName>
    <definedName name="__ehc24" hidden="1">#REF!</definedName>
    <definedName name="__ehc25" hidden="1">#REF!</definedName>
    <definedName name="__f1" hidden="1">{"one (KEY)",#N/A,FALSE,"P&amp;L"}</definedName>
    <definedName name="__fch1" hidden="1">#REF!</definedName>
    <definedName name="__fch12" hidden="1">#REF!</definedName>
    <definedName name="__fch13" hidden="1">#REF!</definedName>
    <definedName name="__fch14" hidden="1">#REF!</definedName>
    <definedName name="__fch15" hidden="1">#REF!</definedName>
    <definedName name="__fch17" hidden="1">#REF!</definedName>
    <definedName name="__fch18" hidden="1">#REF!</definedName>
    <definedName name="__fch2" hidden="1">#REF!</definedName>
    <definedName name="__fch203" hidden="1">#REF!</definedName>
    <definedName name="__fch21" hidden="1">#REF!</definedName>
    <definedName name="__fch25" hidden="1">#REF!</definedName>
    <definedName name="__fch26" hidden="1">#REF!</definedName>
    <definedName name="__fch3" hidden="1">#REF!</definedName>
    <definedName name="__fch30" hidden="1">#REF!</definedName>
    <definedName name="__fch31" hidden="1">#REF!</definedName>
    <definedName name="__fch38" hidden="1">#REF!</definedName>
    <definedName name="__fch4" hidden="1">#REF!</definedName>
    <definedName name="__fch6" hidden="1">#REF!</definedName>
    <definedName name="__fch7" hidden="1">#REF!</definedName>
    <definedName name="__fch8" hidden="1">#REF!</definedName>
    <definedName name="__FDS_UNIQUE_RANGE_ID_GENERATOR_COUNTER" hidden="1">1</definedName>
    <definedName name="__FDS_USED_FOR_REUSING_RANGE_IDS_RECYCLE" hidden="1">{18,17}</definedName>
    <definedName name="__fff1" hidden="1">{"Annual",#N/A,FALSE,"Sales &amp; Market";"Quarterly",#N/A,FALSE,"Sales &amp; Market"}</definedName>
    <definedName name="__fix1">balance sheet send</definedName>
    <definedName name="__g2" hidden="1">{"'Broadway ML#4'!$J$7:$N$490"}</definedName>
    <definedName name="__gc1" hidden="1">{"Annual",#N/A,FALSE,"Sales &amp; Market";"Quarterly",#N/A,FALSE,"Sales &amp; Market"}</definedName>
    <definedName name="__HPD2" hidden="1">{"'Edit'!$A$1:$V$2277"}</definedName>
    <definedName name="__ICV1" hidden="1">{"one (KEY)",#N/A,FALSE,"P&amp;L"}</definedName>
    <definedName name="__INC10">1.3</definedName>
    <definedName name="__INC2">1.3</definedName>
    <definedName name="__key1">#REF!</definedName>
    <definedName name="__key2">#REF!</definedName>
    <definedName name="__mm1" hidden="1">{"'Broadway ML#4'!$J$7:$N$490"}</definedName>
    <definedName name="__oj1208">#REF!</definedName>
    <definedName name="__ok1" hidden="1">{"Annual",#N/A,FALSE,"Sales &amp; Market";"Quarterly",#N/A,FALSE,"Sales &amp; Market"}</definedName>
    <definedName name="__pik1">#REF!</definedName>
    <definedName name="__pik2">#REF!</definedName>
    <definedName name="__req2">#REF!</definedName>
    <definedName name="__req3">#REF!</definedName>
    <definedName name="__sub1">#REF!</definedName>
    <definedName name="__sub2">#REF!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ab6">#REF!</definedName>
    <definedName name="_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_TC1">#REF!</definedName>
    <definedName name="__TC2">#REF!</definedName>
    <definedName name="__try1">balance sheet send</definedName>
    <definedName name="__try2">balance sheet send</definedName>
    <definedName name="__w1" hidden="1">{"'Broadway ML#4'!$J$7:$N$490"}</definedName>
    <definedName name="__w12" hidden="1">{"'Broadway ML#4'!$J$7:$N$490"}</definedName>
    <definedName name="__wrn1" hidden="1">{"Jabil - Personal View",#N/A,FALSE,"Passives"}</definedName>
    <definedName name="__wrn2" hidden="1">{"one (KEY)",#N/A,FALSE,"P&amp;L"}</definedName>
    <definedName name="__X1" hidden="1">{"one (KEY)",#N/A,FALSE,"P&amp;L"}</definedName>
    <definedName name="__xch10" hidden="1">#REF!</definedName>
    <definedName name="__xch11" hidden="1">#REF!</definedName>
    <definedName name="__xch12" hidden="1">#REF!</definedName>
    <definedName name="__xch13" hidden="1">#REF!</definedName>
    <definedName name="__xch15" hidden="1">#REF!</definedName>
    <definedName name="__xch16" hidden="1">#REF!</definedName>
    <definedName name="__xch17" hidden="1">#REF!</definedName>
    <definedName name="__xch19" hidden="1">#REF!</definedName>
    <definedName name="__xch2" hidden="1">#REF!</definedName>
    <definedName name="__xch20" hidden="1">#REF!</definedName>
    <definedName name="__xch21" hidden="1">#REF!</definedName>
    <definedName name="__xch22" hidden="1">#REF!</definedName>
    <definedName name="__xch23" hidden="1">#REF!</definedName>
    <definedName name="__xch25" hidden="1">#REF!</definedName>
    <definedName name="__xch256" hidden="1">#REF!</definedName>
    <definedName name="__xch26" hidden="1">#REF!</definedName>
    <definedName name="__xch3" hidden="1">#REF!</definedName>
    <definedName name="__xch32" hidden="1">#REF!</definedName>
    <definedName name="__xch33" hidden="1">#REF!</definedName>
    <definedName name="__xch4" hidden="1">#REF!</definedName>
    <definedName name="__xch41" hidden="1">#REF!</definedName>
    <definedName name="__xch5" hidden="1">#REF!</definedName>
    <definedName name="__xch6" hidden="1">#REF!</definedName>
    <definedName name="__xch7" hidden="1">#REF!</definedName>
    <definedName name="__xch8" hidden="1">#REF!</definedName>
    <definedName name="__xch9" hidden="1">#REF!</definedName>
    <definedName name="__xlfn.BAHTTEXT" hidden="1">#NAME?</definedName>
    <definedName name="_0402btmside_gsm1">#N/A</definedName>
    <definedName name="_0402btmside_gsm2">#N/A</definedName>
    <definedName name="_0402topside_gsm2">#N/A</definedName>
    <definedName name="_0603btmside_gsm1">#N/A</definedName>
    <definedName name="_0603btmside_gsm2">#N/A</definedName>
    <definedName name="_0603topside_gsm2">#N/A</definedName>
    <definedName name="_0805btmside_gsm1">#N/A</definedName>
    <definedName name="_0805btmside_gsm2">#N/A</definedName>
    <definedName name="_0805topside_gsm2">#N/A</definedName>
    <definedName name="_0C">#REF!</definedName>
    <definedName name="_0J">#REF!</definedName>
    <definedName name="_1_.MRO_PO_query_v3">#REF!</definedName>
    <definedName name="_1__123Graph_ACHART_1" hidden="1">#REF!</definedName>
    <definedName name="_1__123Graph_ACHART_10" hidden="1">#REF!</definedName>
    <definedName name="_1__123Graph_XCASH_FLOW" hidden="1">#N/A</definedName>
    <definedName name="_10__123Graph_ACHART_21" hidden="1">#REF!</definedName>
    <definedName name="_10__123Graph_ACHART_24" hidden="1">#REF!</definedName>
    <definedName name="_10__123Graph_ACHART_32" hidden="1">#REF!</definedName>
    <definedName name="_100__123Graph_DCHART_33" hidden="1">#REF!</definedName>
    <definedName name="_101__123Graph_DCHART_38" hidden="1">#REF!</definedName>
    <definedName name="_10130">#N/A</definedName>
    <definedName name="_102__123Graph_DCHART_4" hidden="1">#REF!</definedName>
    <definedName name="_103__123Graph_DCHART_5" hidden="1">#REF!</definedName>
    <definedName name="_104__123Graph_DCHART_6" hidden="1">#REF!</definedName>
    <definedName name="_105__123Graph_DCHART_7" hidden="1">#REF!</definedName>
    <definedName name="_105t123_" hidden="1">{"one (KEY)",#N/A,FALSE,"P&amp;L"}</definedName>
    <definedName name="_106__123Graph_DCHART_8" hidden="1">#REF!</definedName>
    <definedName name="_107__123Graph_DCHART_9" hidden="1">#REF!</definedName>
    <definedName name="_108__123Graph_ECHART_1" hidden="1">#REF!</definedName>
    <definedName name="_109__123Graph_ECHART_10" hidden="1">#REF!</definedName>
    <definedName name="_10f01">#REF!</definedName>
    <definedName name="_10f02">#REF!</definedName>
    <definedName name="_10S">#REF!</definedName>
    <definedName name="_11__123Graph_ACHART_24" hidden="1">#REF!</definedName>
    <definedName name="_11__123Graph_ACHART_26" hidden="1">#REF!</definedName>
    <definedName name="_11__123Graph_ACHART_33" hidden="1">#REF!</definedName>
    <definedName name="_110__123Graph_ECHART_12" hidden="1">#REF!</definedName>
    <definedName name="_111__123Graph_ECHART_13" hidden="1">#REF!</definedName>
    <definedName name="_112__123Graph_ECHART_14" hidden="1">#REF!</definedName>
    <definedName name="_113__123Graph_ECHART_15" hidden="1">#REF!</definedName>
    <definedName name="_114__123Graph_ECHART_16" hidden="1">#REF!</definedName>
    <definedName name="_115__123Graph_ECHART_17" hidden="1">#REF!</definedName>
    <definedName name="_116__123Graph_ECHART_18" hidden="1">#REF!</definedName>
    <definedName name="_117__123Graph_ECHART_19" hidden="1">#REF!</definedName>
    <definedName name="_118__123Graph_ECHART_2" hidden="1">#REF!</definedName>
    <definedName name="_119__123Graph_ECHART_20" hidden="1">#REF!</definedName>
    <definedName name="_11f01">#REF!</definedName>
    <definedName name="_11f02">#REF!</definedName>
    <definedName name="_11f03">#REF!</definedName>
    <definedName name="_11S">#REF!</definedName>
    <definedName name="_11t123_" hidden="1">{"one (KEY)",#N/A,FALSE,"P&amp;L"}</definedName>
    <definedName name="_12__123Graph_ACHART_26" hidden="1">#REF!</definedName>
    <definedName name="_12__123Graph_ACHART_27" hidden="1">#REF!</definedName>
    <definedName name="_12__123Graph_ACHART_34" hidden="1">#REF!</definedName>
    <definedName name="_120__123Graph_ECHART_21" hidden="1">#REF!</definedName>
    <definedName name="_1206btmside_gsm1">#N/A</definedName>
    <definedName name="_1206btmside_gsm2">#N/A</definedName>
    <definedName name="_1206topside_gsm2">#N/A</definedName>
    <definedName name="_121__123Graph_ECHART_22" hidden="1">#REF!</definedName>
    <definedName name="_1210btmside_gsm1">#N/A</definedName>
    <definedName name="_1210btmside_gsm2">#N/A</definedName>
    <definedName name="_1210topside_gsm2">#N/A</definedName>
    <definedName name="_122__123Graph_ECHART_23" hidden="1">#REF!</definedName>
    <definedName name="_123__123Graph_ECHART_24" hidden="1">#REF!</definedName>
    <definedName name="_124__123Graph_ECHART_25" hidden="1">#REF!</definedName>
    <definedName name="_125__123Graph_ECHART_26" hidden="1">#REF!</definedName>
    <definedName name="_126__123Graph_ECHART_3" hidden="1">#REF!</definedName>
    <definedName name="_127__123Graph_ECHART_30" hidden="1">#REF!</definedName>
    <definedName name="_128__123Graph_ECHART_31" hidden="1">#REF!</definedName>
    <definedName name="_129__123Graph_ECHART_32" hidden="1">#REF!</definedName>
    <definedName name="_12f01">#REF!</definedName>
    <definedName name="_12S">#REF!</definedName>
    <definedName name="_13__123Graph_ACHART_27" hidden="1">#REF!</definedName>
    <definedName name="_13__123Graph_ACHART_3" hidden="1">#REF!</definedName>
    <definedName name="_13__123Graph_ACHART_38" hidden="1">#REF!</definedName>
    <definedName name="_130__123Graph_ECHART_33" hidden="1">#REF!</definedName>
    <definedName name="_131__123Graph_ECHART_38" hidden="1">#REF!</definedName>
    <definedName name="_132__123Graph_ECHART_4" hidden="1">#REF!</definedName>
    <definedName name="_133__123Graph_ECHART_5" hidden="1">#REF!</definedName>
    <definedName name="_134__123Graph_ECHART_6" hidden="1">#REF!</definedName>
    <definedName name="_135__123Graph_ECHART_7" hidden="1">#REF!</definedName>
    <definedName name="_136__123Graph_ECHART_8" hidden="1">#REF!</definedName>
    <definedName name="_137__123Graph_ECHART_9" hidden="1">#REF!</definedName>
    <definedName name="_138__123Graph_FCHART_1" hidden="1">#REF!</definedName>
    <definedName name="_139__123Graph_FCHART_12" hidden="1">#REF!</definedName>
    <definedName name="_13S">#REF!</definedName>
    <definedName name="_14__123Graph_ACHART_3" hidden="1">#REF!</definedName>
    <definedName name="_14__123Graph_ACHART_4" hidden="1">#REF!</definedName>
    <definedName name="_14__123Graph_BCHART_1" hidden="1">#REF!</definedName>
    <definedName name="_140__123Graph_FCHART_13" hidden="1">#REF!</definedName>
    <definedName name="_141__123Graph_FCHART_14" hidden="1">#REF!</definedName>
    <definedName name="_142__123Graph_FCHART_15" hidden="1">#REF!</definedName>
    <definedName name="_143__123Graph_FCHART_16" hidden="1">#REF!</definedName>
    <definedName name="_144__123Graph_FCHART_17" hidden="1">#REF!</definedName>
    <definedName name="_145__123Graph_FCHART_18" hidden="1">#REF!</definedName>
    <definedName name="_146__123Graph_FCHART_2" hidden="1">#REF!</definedName>
    <definedName name="_147__123Graph_FCHART_20" hidden="1">#REF!</definedName>
    <definedName name="_148__123Graph_FCHART_21" hidden="1">#REF!</definedName>
    <definedName name="_149__123Graph_FCHART_25" hidden="1">#REF!</definedName>
    <definedName name="_14f01">#REF!</definedName>
    <definedName name="_14f02">#REF!</definedName>
    <definedName name="_14S">#REF!</definedName>
    <definedName name="_15__123Graph_ACHART_4" hidden="1">#REF!</definedName>
    <definedName name="_15__123Graph_ACHART_5" hidden="1">#REF!</definedName>
    <definedName name="_15__123Graph_BCHART_10" hidden="1">#REF!</definedName>
    <definedName name="_150__123Graph_FCHART_26" hidden="1">#REF!</definedName>
    <definedName name="_151__123Graph_FCHART_3" hidden="1">#REF!</definedName>
    <definedName name="_152__123Graph_FCHART_30" hidden="1">#REF!</definedName>
    <definedName name="_153__123Graph_FCHART_31" hidden="1">#REF!</definedName>
    <definedName name="_154__123Graph_FCHART_38" hidden="1">#REF!</definedName>
    <definedName name="_155__123Graph_FCHART_4" hidden="1">#REF!</definedName>
    <definedName name="_156__123Graph_FCHART_5" hidden="1">#REF!</definedName>
    <definedName name="_157__123Graph_FCHART_6" hidden="1">#REF!</definedName>
    <definedName name="_158__123Graph_FCHART_7" hidden="1">#REF!</definedName>
    <definedName name="_159__123Graph_FCHART_8" hidden="1">#REF!</definedName>
    <definedName name="_15f01">#REF!</definedName>
    <definedName name="_15S">#REF!</definedName>
    <definedName name="_16__123Graph_ACHART_5" hidden="1">#REF!</definedName>
    <definedName name="_16__123Graph_ACHART_6" hidden="1">#REF!</definedName>
    <definedName name="_16__123Graph_BCHART_11" hidden="1">#REF!</definedName>
    <definedName name="_160__123Graph_FCHART_9" hidden="1">#REF!</definedName>
    <definedName name="_161__123Graph_XCHART_10" hidden="1">#REF!</definedName>
    <definedName name="_162__123Graph_XCHART_11" hidden="1">#REF!</definedName>
    <definedName name="_163__123Graph_XCHART_12" hidden="1">#REF!</definedName>
    <definedName name="_164__123Graph_XCHART_13" hidden="1">#REF!</definedName>
    <definedName name="_165__123Graph_XCHART_14" hidden="1">#REF!</definedName>
    <definedName name="_166__123Graph_XCHART_15" hidden="1">#REF!</definedName>
    <definedName name="_167__123Graph_XCHART_16" hidden="1">#REF!</definedName>
    <definedName name="_168__123Graph_XCHART_17" hidden="1">#REF!</definedName>
    <definedName name="_169__123Graph_XCHART_18" hidden="1">#REF!</definedName>
    <definedName name="_17__123Graph_ACHART_6" hidden="1">#REF!</definedName>
    <definedName name="_17__123Graph_ACHART_7" hidden="1">#REF!</definedName>
    <definedName name="_17__123Graph_BCHART_12" hidden="1">#REF!</definedName>
    <definedName name="_170__123Graph_XCHART_19" hidden="1">#REF!</definedName>
    <definedName name="_171__123Graph_XCHART_2" hidden="1">#REF!</definedName>
    <definedName name="_172__123Graph_XCHART_20" hidden="1">#REF!</definedName>
    <definedName name="_173__123Graph_XCHART_21" hidden="1">#REF!</definedName>
    <definedName name="_174__123Graph_XCHART_22" hidden="1">#REF!</definedName>
    <definedName name="_175__123Graph_XCHART_23" hidden="1">#REF!</definedName>
    <definedName name="_176__123Graph_XCHART_24" hidden="1">#REF!</definedName>
    <definedName name="_177__123Graph_XCHART_25" hidden="1">#REF!</definedName>
    <definedName name="_178__123Graph_XCHART_26" hidden="1">#REF!</definedName>
    <definedName name="_179__123Graph_XCHART_3" hidden="1">#REF!</definedName>
    <definedName name="_18__123Graph_ACHART_7" hidden="1">#REF!</definedName>
    <definedName name="_18__123Graph_BCHART_13" hidden="1">#REF!</definedName>
    <definedName name="_180__123Graph_XCHART_31" hidden="1">#REF!</definedName>
    <definedName name="_1808btmside_gsm1">#N/A</definedName>
    <definedName name="_1808btmside_gsm2">#N/A</definedName>
    <definedName name="_1808topside_gsm2">#N/A</definedName>
    <definedName name="_181__123Graph_XCHART_32" hidden="1">#REF!</definedName>
    <definedName name="_182__123Graph_XCHART_33" hidden="1">#REF!</definedName>
    <definedName name="_183__123Graph_XCHART_4" hidden="1">#REF!</definedName>
    <definedName name="_184__123Graph_XCHART_5" hidden="1">#REF!</definedName>
    <definedName name="_185__123Graph_XCHART_6" hidden="1">#REF!</definedName>
    <definedName name="_186__123Graph_XCHART_7" hidden="1">#REF!</definedName>
    <definedName name="_187__123Graph_XCHART_8" hidden="1">#REF!</definedName>
    <definedName name="_188__123Graph_XCHART_9" hidden="1">#REF!</definedName>
    <definedName name="_19__123Graph_BCHART_13" hidden="1">#REF!</definedName>
    <definedName name="_19__123Graph_BCHART_14" hidden="1">#REF!</definedName>
    <definedName name="_19__123Graph_BCHART_15" hidden="1">#REF!</definedName>
    <definedName name="_1C">#REF!</definedName>
    <definedName name="_1E">#REF!</definedName>
    <definedName name="_1H">#REF!</definedName>
    <definedName name="_1M">#REF!</definedName>
    <definedName name="_1quotesummaryArray1">#REF!</definedName>
    <definedName name="_1quotesummaryArray10">#N/A</definedName>
    <definedName name="_1quotesummaryArray100">#REF!</definedName>
    <definedName name="_1quotesummaryArray101">#REF!</definedName>
    <definedName name="_1quotesummaryArray103">#REF!</definedName>
    <definedName name="_1quotesummaryArray107">#REF!</definedName>
    <definedName name="_1quotesummaryArray110">#N/A</definedName>
    <definedName name="_1quotesummaryArray111">#N/A</definedName>
    <definedName name="_1quotesummaryArray112">#N/A</definedName>
    <definedName name="_1quotesummaryArray113">#N/A</definedName>
    <definedName name="_1quotesummaryArray114">#N/A</definedName>
    <definedName name="_1quotesummaryArray115">#N/A</definedName>
    <definedName name="_1quotesummaryArray116">#N/A</definedName>
    <definedName name="_1quotesummaryArray117">#N/A</definedName>
    <definedName name="_1quotesummaryArray118">#N/A</definedName>
    <definedName name="_1quotesummaryArray119">#N/A</definedName>
    <definedName name="_1quotesummaryArray120">#N/A</definedName>
    <definedName name="_1quotesummaryArray121">#N/A</definedName>
    <definedName name="_1quotesummaryArray122">#N/A</definedName>
    <definedName name="_1quotesummaryArray123">#N/A</definedName>
    <definedName name="_1quotesummaryArray124">#N/A</definedName>
    <definedName name="_1quotesummaryArray125">#N/A</definedName>
    <definedName name="_1quotesummaryArray126">#N/A</definedName>
    <definedName name="_1quotesummaryArray127">#N/A</definedName>
    <definedName name="_1quotesummaryArray128">#N/A</definedName>
    <definedName name="_1quotesummaryArray129">#N/A</definedName>
    <definedName name="_1quotesummaryArray130">#N/A</definedName>
    <definedName name="_1quotesummaryArray131">#N/A</definedName>
    <definedName name="_1quotesummaryArray132">#N/A</definedName>
    <definedName name="_1quotesummaryArray133">#N/A</definedName>
    <definedName name="_1quotesummaryArray134">#N/A</definedName>
    <definedName name="_1quotesummaryArray135">#N/A</definedName>
    <definedName name="_1quotesummaryArray136">#N/A</definedName>
    <definedName name="_1quotesummaryArray137">#N/A</definedName>
    <definedName name="_1quotesummaryArray138">#N/A</definedName>
    <definedName name="_1quotesummaryArray139">#N/A</definedName>
    <definedName name="_1quotesummaryArray140">#N/A</definedName>
    <definedName name="_1quotesummaryArray141">#N/A</definedName>
    <definedName name="_1quotesummaryArray142">#N/A</definedName>
    <definedName name="_1quotesummaryArray143">#N/A</definedName>
    <definedName name="_1quotesummaryArray144">#N/A</definedName>
    <definedName name="_1quotesummaryArray145">#N/A</definedName>
    <definedName name="_1quotesummaryArray146">#N/A</definedName>
    <definedName name="_1quotesummaryArray147">#N/A</definedName>
    <definedName name="_1quotesummaryArray148">#N/A</definedName>
    <definedName name="_1quotesummaryArray149">#N/A</definedName>
    <definedName name="_1quotesummaryArray15">#N/A</definedName>
    <definedName name="_1quotesummaryArray150">#N/A</definedName>
    <definedName name="_1quotesummaryArray151">#N/A</definedName>
    <definedName name="_1quotesummaryArray152">#N/A</definedName>
    <definedName name="_1quotesummaryArray153">#N/A</definedName>
    <definedName name="_1quotesummaryArray154">#N/A</definedName>
    <definedName name="_1quotesummaryArray155">#N/A</definedName>
    <definedName name="_1quotesummaryArray156">#N/A</definedName>
    <definedName name="_1quotesummaryArray157">#N/A</definedName>
    <definedName name="_1quotesummaryArray158">#N/A</definedName>
    <definedName name="_1quotesummaryArray159">#N/A</definedName>
    <definedName name="_1quotesummaryArray16">#N/A</definedName>
    <definedName name="_1quotesummaryArray160">#N/A</definedName>
    <definedName name="_1quotesummaryArray161">#N/A</definedName>
    <definedName name="_1quotesummaryArray162">#N/A</definedName>
    <definedName name="_1quotesummaryArray163">#N/A</definedName>
    <definedName name="_1quotesummaryArray164">#N/A</definedName>
    <definedName name="_1quotesummaryArray165">#N/A</definedName>
    <definedName name="_1quotesummaryArray166">#N/A</definedName>
    <definedName name="_1quotesummaryArray167">#N/A</definedName>
    <definedName name="_1quotesummaryArray168">#N/A</definedName>
    <definedName name="_1quotesummaryArray169">#N/A</definedName>
    <definedName name="_1quotesummaryArray17">#N/A</definedName>
    <definedName name="_1quotesummaryArray170">#N/A</definedName>
    <definedName name="_1quotesummaryArray171">#N/A</definedName>
    <definedName name="_1quotesummaryArray172">#N/A</definedName>
    <definedName name="_1quotesummaryArray173">#N/A</definedName>
    <definedName name="_1quotesummaryArray174">#N/A</definedName>
    <definedName name="_1quotesummaryArray175">#N/A</definedName>
    <definedName name="_1quotesummaryArray176">#N/A</definedName>
    <definedName name="_1quotesummaryArray177">#N/A</definedName>
    <definedName name="_1quotesummaryArray178">#N/A</definedName>
    <definedName name="_1quotesummaryArray179">#N/A</definedName>
    <definedName name="_1quotesummaryArray180">#N/A</definedName>
    <definedName name="_1quotesummaryArray181">#N/A</definedName>
    <definedName name="_1quotesummaryArray182">#N/A</definedName>
    <definedName name="_1quotesummaryArray183">#N/A</definedName>
    <definedName name="_1quotesummaryArray184">#N/A</definedName>
    <definedName name="_1quotesummaryArray185">#N/A</definedName>
    <definedName name="_1quotesummaryArray186">#N/A</definedName>
    <definedName name="_1quotesummaryArray187">#N/A</definedName>
    <definedName name="_1quotesummaryArray188">#N/A</definedName>
    <definedName name="_1quotesummaryArray189">#N/A</definedName>
    <definedName name="_1quotesummaryArray190">#N/A</definedName>
    <definedName name="_1quotesummaryArray191">#N/A</definedName>
    <definedName name="_1quotesummaryArray192">#N/A</definedName>
    <definedName name="_1quotesummaryArray193">#N/A</definedName>
    <definedName name="_1quotesummaryArray194">#N/A</definedName>
    <definedName name="_1quotesummaryArray195">#N/A</definedName>
    <definedName name="_1quotesummaryArray196">#N/A</definedName>
    <definedName name="_1quotesummaryArray197">#N/A</definedName>
    <definedName name="_1quotesummaryArray198">#N/A</definedName>
    <definedName name="_1quotesummaryArray199">#N/A</definedName>
    <definedName name="_1quotesummaryArray200">#N/A</definedName>
    <definedName name="_1quotesummaryArray201">#N/A</definedName>
    <definedName name="_1quotesummaryArray202">#N/A</definedName>
    <definedName name="_1quotesummaryArray203">#N/A</definedName>
    <definedName name="_1quotesummaryArray204">#N/A</definedName>
    <definedName name="_1quotesummaryArray205">#N/A</definedName>
    <definedName name="_1quotesummaryArray206">#N/A</definedName>
    <definedName name="_1quotesummaryArray207">#N/A</definedName>
    <definedName name="_1quotesummaryArray208">#N/A</definedName>
    <definedName name="_1quotesummaryArray209">#N/A</definedName>
    <definedName name="_1quotesummaryArray210">#N/A</definedName>
    <definedName name="_1quotesummaryArray211">#N/A</definedName>
    <definedName name="_1quotesummaryArray212">#N/A</definedName>
    <definedName name="_1quotesummaryArray213">#N/A</definedName>
    <definedName name="_1quotesummaryArray214">#N/A</definedName>
    <definedName name="_1quotesummaryArray215">#N/A</definedName>
    <definedName name="_1quotesummaryArray216">#N/A</definedName>
    <definedName name="_1quotesummaryArray217">#N/A</definedName>
    <definedName name="_1quotesummaryArray218">#N/A</definedName>
    <definedName name="_1quotesummaryArray219">#N/A</definedName>
    <definedName name="_1quotesummaryArray220">#N/A</definedName>
    <definedName name="_1quotesummaryArray221">#N/A</definedName>
    <definedName name="_1quotesummaryArray222">#N/A</definedName>
    <definedName name="_1quotesummaryArray223">#N/A</definedName>
    <definedName name="_1quotesummaryArray224">#REF!</definedName>
    <definedName name="_1quotesummaryArray3">#N/A</definedName>
    <definedName name="_1quotesummaryArray4">#N/A</definedName>
    <definedName name="_1quotesummaryArray5">#N/A</definedName>
    <definedName name="_1quotesummaryArray6">#N/A</definedName>
    <definedName name="_1quotesummaryArray90">#REF!</definedName>
    <definedName name="_1quotesummaryArray91">#N/A</definedName>
    <definedName name="_1quotesummaryArray92">#REF!</definedName>
    <definedName name="_1quotesummaryArray93">#REF!</definedName>
    <definedName name="_1quotesummaryArray94">#REF!</definedName>
    <definedName name="_1quotesummaryArray95">#N/A</definedName>
    <definedName name="_1quotesummaryArray96">#N/A</definedName>
    <definedName name="_1quotesummaryArray97">#REF!</definedName>
    <definedName name="_1quotesummaryArray98">#REF!</definedName>
    <definedName name="_1quotesummaryArray99">#REF!</definedName>
    <definedName name="_1S">#REF!</definedName>
    <definedName name="_2__123Graph_ACHART_1" hidden="1">#REF!</definedName>
    <definedName name="_2__123Graph_ACHART_11" hidden="1">#REF!</definedName>
    <definedName name="_2__123Graph_ACHART_12" hidden="1">#REF!</definedName>
    <definedName name="_20__123Graph_BCHART_15" hidden="1">#REF!</definedName>
    <definedName name="_20__123Graph_BCHART_19" hidden="1">#REF!</definedName>
    <definedName name="_21__123Graph_BCHART_16" hidden="1">#REF!</definedName>
    <definedName name="_21__123Graph_BCHART_19" hidden="1">#REF!</definedName>
    <definedName name="_21__123Graph_BChart_1A" hidden="1">#REF!</definedName>
    <definedName name="_22__123Graph_BCHART_17" hidden="1">#REF!</definedName>
    <definedName name="_22__123Graph_BChart_1A" hidden="1">#REF!</definedName>
    <definedName name="_22__123Graph_BCHART_24" hidden="1">#REF!</definedName>
    <definedName name="_23__123Graph_BCHART_18" hidden="1">#REF!</definedName>
    <definedName name="_23__123Graph_BCHART_24" hidden="1">#REF!</definedName>
    <definedName name="_23__123Graph_BCHART_27" hidden="1">#REF!</definedName>
    <definedName name="_24__123Graph_BCHART_19" hidden="1">#REF!</definedName>
    <definedName name="_24__123Graph_BCHART_27" hidden="1">#REF!</definedName>
    <definedName name="_24__123Graph_BCHART_3" hidden="1">#REF!</definedName>
    <definedName name="_25__123Graph_BCHART_2" hidden="1">#REF!</definedName>
    <definedName name="_25__123Graph_BCHART_3" hidden="1">#REF!</definedName>
    <definedName name="_25__123Graph_BCHART_5" hidden="1">#REF!</definedName>
    <definedName name="_26__123Graph_BCHART_20" hidden="1">#REF!</definedName>
    <definedName name="_26__123Graph_BCHART_5" hidden="1">#REF!</definedName>
    <definedName name="_26__123Graph_BCHART_6" hidden="1">#REF!</definedName>
    <definedName name="_27__123Graph_BCHART_21" hidden="1">#REF!</definedName>
    <definedName name="_27__123Graph_BCHART_6" hidden="1">#REF!</definedName>
    <definedName name="_27__123Graph_CCHART_13" hidden="1">#REF!</definedName>
    <definedName name="_28__123Graph_BCHART_22" hidden="1">#REF!</definedName>
    <definedName name="_28__123Graph_CCHART_13" hidden="1">#REF!</definedName>
    <definedName name="_28__123Graph_CChart_1A" hidden="1">#REF!</definedName>
    <definedName name="_29__123Graph_BCHART_23" hidden="1">#REF!</definedName>
    <definedName name="_29__123Graph_CChart_1A" hidden="1">#REF!</definedName>
    <definedName name="_29__123Graph_CCHART_24" hidden="1">#REF!</definedName>
    <definedName name="_2A_CROSS_DEMAND">#REF!</definedName>
    <definedName name="_2C">#REF!</definedName>
    <definedName name="_2H">#REF!</definedName>
    <definedName name="_2J">#REF!</definedName>
    <definedName name="_2M">#REF!</definedName>
    <definedName name="_2prepArray100">#N/A</definedName>
    <definedName name="_2prepArray101">#N/A</definedName>
    <definedName name="_2prepArray102">#N/A</definedName>
    <definedName name="_2prepArray103">#N/A</definedName>
    <definedName name="_2prepArray104">#N/A</definedName>
    <definedName name="_2prepArray105">#N/A</definedName>
    <definedName name="_2prepArray106">#N/A</definedName>
    <definedName name="_2prepArray107">#N/A</definedName>
    <definedName name="_2prepArray108">#N/A</definedName>
    <definedName name="_2prepArray109">#N/A</definedName>
    <definedName name="_2prepArray110">#N/A</definedName>
    <definedName name="_2prepArray111">#N/A</definedName>
    <definedName name="_2prepArray112">#N/A</definedName>
    <definedName name="_2prepArray113">#N/A</definedName>
    <definedName name="_2prepArray114">#N/A</definedName>
    <definedName name="_2prepArray115">#N/A</definedName>
    <definedName name="_2prepArray116">#N/A</definedName>
    <definedName name="_2prepArray117">#N/A</definedName>
    <definedName name="_2prepArray118">#N/A</definedName>
    <definedName name="_2prepArray119">#N/A</definedName>
    <definedName name="_2prepArray120">#N/A</definedName>
    <definedName name="_2prepArray121">#N/A</definedName>
    <definedName name="_2prepArray122">#N/A</definedName>
    <definedName name="_2prepArray123">#N/A</definedName>
    <definedName name="_2prepArray124">#N/A</definedName>
    <definedName name="_2prepArray125">#N/A</definedName>
    <definedName name="_2prepArray126">#N/A</definedName>
    <definedName name="_2prepArray127">#N/A</definedName>
    <definedName name="_2prepArray128">#N/A</definedName>
    <definedName name="_2prepArray129">#N/A</definedName>
    <definedName name="_2prepArray130">#N/A</definedName>
    <definedName name="_2prepArray131">#N/A</definedName>
    <definedName name="_2prepArray132">#N/A</definedName>
    <definedName name="_2prepArray133">#N/A</definedName>
    <definedName name="_2prepArray134">#N/A</definedName>
    <definedName name="_2prepArray135">#N/A</definedName>
    <definedName name="_2prepArray136">#N/A</definedName>
    <definedName name="_2prepArray137">#N/A</definedName>
    <definedName name="_2prepArray138">#N/A</definedName>
    <definedName name="_2prepArray139">#N/A</definedName>
    <definedName name="_2prepArray140">#N/A</definedName>
    <definedName name="_2prepArray141">#N/A</definedName>
    <definedName name="_2prepArray142">#N/A</definedName>
    <definedName name="_2prepArray143">#N/A</definedName>
    <definedName name="_2prepArray144">#N/A</definedName>
    <definedName name="_2prepArray145">#N/A</definedName>
    <definedName name="_2prepArray146">#N/A</definedName>
    <definedName name="_2prepArray147">#N/A</definedName>
    <definedName name="_2prepArray148">#N/A</definedName>
    <definedName name="_2prepArray149">#N/A</definedName>
    <definedName name="_2prepArray150">#N/A</definedName>
    <definedName name="_2prepArray151">#N/A</definedName>
    <definedName name="_2prepArray152">#N/A</definedName>
    <definedName name="_2prepArray153">#N/A</definedName>
    <definedName name="_2prepArray154">#N/A</definedName>
    <definedName name="_2prepArray155">#N/A</definedName>
    <definedName name="_2prepArray156">#N/A</definedName>
    <definedName name="_2prepArray28">#N/A</definedName>
    <definedName name="_2prepArray29">#N/A</definedName>
    <definedName name="_2prepArray30">#N/A</definedName>
    <definedName name="_2prepArray31">#N/A</definedName>
    <definedName name="_2prepArray32">#N/A</definedName>
    <definedName name="_2prepArray33">#N/A</definedName>
    <definedName name="_2prepArray34">#N/A</definedName>
    <definedName name="_2prepArray35">#N/A</definedName>
    <definedName name="_2prepArray36">#N/A</definedName>
    <definedName name="_2prepArray37">#N/A</definedName>
    <definedName name="_2prepArray38">#N/A</definedName>
    <definedName name="_2prepArray39">#N/A</definedName>
    <definedName name="_2prepArray40">#N/A</definedName>
    <definedName name="_2prepArray41">#N/A</definedName>
    <definedName name="_2prepArray42">#N/A</definedName>
    <definedName name="_2prepArray43">#N/A</definedName>
    <definedName name="_2prepArray44">#N/A</definedName>
    <definedName name="_2prepArray45">#N/A</definedName>
    <definedName name="_2prepArray46">#N/A</definedName>
    <definedName name="_2prepArray47">#N/A</definedName>
    <definedName name="_2prepArray48">#N/A</definedName>
    <definedName name="_2prepArray49">#N/A</definedName>
    <definedName name="_2prepArray5">#N/A</definedName>
    <definedName name="_2prepArray50">#N/A</definedName>
    <definedName name="_2prepArray51">#N/A</definedName>
    <definedName name="_2prepArray52">#N/A</definedName>
    <definedName name="_2prepArray53">#N/A</definedName>
    <definedName name="_2prepArray54">#N/A</definedName>
    <definedName name="_2prepArray55">#N/A</definedName>
    <definedName name="_2prepArray56">#N/A</definedName>
    <definedName name="_2prepArray57">#N/A</definedName>
    <definedName name="_2prepArray58">#N/A</definedName>
    <definedName name="_2prepArray59">#N/A</definedName>
    <definedName name="_2prepArray6">#N/A</definedName>
    <definedName name="_2prepArray60">#N/A</definedName>
    <definedName name="_2prepArray61">#N/A</definedName>
    <definedName name="_2prepArray62">#N/A</definedName>
    <definedName name="_2prepArray63">#N/A</definedName>
    <definedName name="_2prepArray64">#N/A</definedName>
    <definedName name="_2prepArray65">#N/A</definedName>
    <definedName name="_2prepArray66">#N/A</definedName>
    <definedName name="_2prepArray67">#N/A</definedName>
    <definedName name="_2prepArray68">#N/A</definedName>
    <definedName name="_2prepArray71">#N/A</definedName>
    <definedName name="_2prepArray72">#N/A</definedName>
    <definedName name="_2prepArray73">#N/A</definedName>
    <definedName name="_2prepArray74">#N/A</definedName>
    <definedName name="_2prepArray75">#N/A</definedName>
    <definedName name="_2prepArray76">#N/A</definedName>
    <definedName name="_2prepArray77">#N/A</definedName>
    <definedName name="_2prepArray78">#N/A</definedName>
    <definedName name="_2prepArray79">#N/A</definedName>
    <definedName name="_2prepArray80">#N/A</definedName>
    <definedName name="_2prepArray81">#N/A</definedName>
    <definedName name="_2prepArray82">#N/A</definedName>
    <definedName name="_2prepArray83">#N/A</definedName>
    <definedName name="_2prepArray84">#N/A</definedName>
    <definedName name="_2prepArray85">#N/A</definedName>
    <definedName name="_2prepArray86">#N/A</definedName>
    <definedName name="_2prepArray87">#N/A</definedName>
    <definedName name="_2prepArray88">#N/A</definedName>
    <definedName name="_2prepArray89">#N/A</definedName>
    <definedName name="_2prepArray90">#N/A</definedName>
    <definedName name="_2prepArray91">#N/A</definedName>
    <definedName name="_2prepArray92">#N/A</definedName>
    <definedName name="_2prepArray93">#N/A</definedName>
    <definedName name="_2prepArray94">#N/A</definedName>
    <definedName name="_2prepArray95">#N/A</definedName>
    <definedName name="_2prepArray96">#N/A</definedName>
    <definedName name="_2prepArray97">#N/A</definedName>
    <definedName name="_2prepArray98">#N/A</definedName>
    <definedName name="_2prepArray99">#N/A</definedName>
    <definedName name="_2S">#REF!</definedName>
    <definedName name="_3__123Graph_ACHART_12" hidden="1">#REF!</definedName>
    <definedName name="_3__123Graph_ACHART_13" hidden="1">#REF!</definedName>
    <definedName name="_3__123Graph_ACHART_19" hidden="1">#REF!</definedName>
    <definedName name="_3_Jan">#REF!</definedName>
    <definedName name="_30__123Graph_BCHART_24" hidden="1">#REF!</definedName>
    <definedName name="_30__123Graph_CCHART_24" hidden="1">#REF!</definedName>
    <definedName name="_30__123Graph_CCHART_27" hidden="1">#REF!</definedName>
    <definedName name="_30_Aug">#REF!</definedName>
    <definedName name="_31__123Graph_BCHART_25" hidden="1">#REF!</definedName>
    <definedName name="_31__123Graph_CCHART_27" hidden="1">#REF!</definedName>
    <definedName name="_31__123Graph_CCHART_3" hidden="1">#REF!</definedName>
    <definedName name="_32__123Graph_BCHART_26" hidden="1">#REF!</definedName>
    <definedName name="_32__123Graph_CCHART_3" hidden="1">#REF!</definedName>
    <definedName name="_32__123Graph_CCHART_5" hidden="1">#REF!</definedName>
    <definedName name="_33__123Graph_BCHART_29" hidden="1">#REF!</definedName>
    <definedName name="_33__123Graph_CCHART_5" hidden="1">#REF!</definedName>
    <definedName name="_33__123Graph_DCHART_1" hidden="1">#REF!</definedName>
    <definedName name="_34__123Graph_BCHART_3" hidden="1">#REF!</definedName>
    <definedName name="_34__123Graph_DCHART_1" hidden="1">#REF!</definedName>
    <definedName name="_34__123Graph_DCHART_13" hidden="1">#REF!</definedName>
    <definedName name="_35__123Graph_BCHART_32" hidden="1">#REF!</definedName>
    <definedName name="_35__123Graph_DCHART_13" hidden="1">#REF!</definedName>
    <definedName name="_35__123Graph_DCHART_19" hidden="1">#REF!</definedName>
    <definedName name="_36__123Graph_BCHART_33" hidden="1">#REF!</definedName>
    <definedName name="_36__123Graph_DCHART_19" hidden="1">#REF!</definedName>
    <definedName name="_36__123Graph_DChart_1A" hidden="1">#REF!</definedName>
    <definedName name="_37__123Graph_BCHART_34" hidden="1">#REF!</definedName>
    <definedName name="_37__123Graph_DChart_1A" hidden="1">#REF!</definedName>
    <definedName name="_37__123Graph_DCHART_24" hidden="1">#REF!</definedName>
    <definedName name="_38__123Graph_BCHART_38" hidden="1">#REF!</definedName>
    <definedName name="_38__123Graph_DCHART_24" hidden="1">#REF!</definedName>
    <definedName name="_38__123Graph_DCHART_27" hidden="1">#REF!</definedName>
    <definedName name="_39__123Graph_BCHART_4" hidden="1">#REF!</definedName>
    <definedName name="_39__123Graph_DCHART_27" hidden="1">#REF!</definedName>
    <definedName name="_39__123Graph_DCHART_3" hidden="1">#REF!</definedName>
    <definedName name="_3C">#REF!</definedName>
    <definedName name="_3H">#REF!</definedName>
    <definedName name="_3J">#REF!</definedName>
    <definedName name="_3M">#REF!</definedName>
    <definedName name="_3S">#REF!</definedName>
    <definedName name="_4__123Graph_ACHART_13" hidden="1">#REF!</definedName>
    <definedName name="_4__123Graph_ACHART_14" hidden="1">#REF!</definedName>
    <definedName name="_4__123Graph_ACHART_22" hidden="1">#REF!</definedName>
    <definedName name="_40__123Graph_BCHART_5" hidden="1">#REF!</definedName>
    <definedName name="_40__123Graph_DCHART_3" hidden="1">#REF!</definedName>
    <definedName name="_40__123Graph_DCHART_5" hidden="1">#REF!</definedName>
    <definedName name="_41__123Graph_BCHART_6" hidden="1">#REF!</definedName>
    <definedName name="_41__123Graph_DCHART_5" hidden="1">#REF!</definedName>
    <definedName name="_41__123Graph_ECHART_19" hidden="1">#REF!</definedName>
    <definedName name="_42__123Graph_BCHART_7" hidden="1">#REF!</definedName>
    <definedName name="_42__123Graph_ECHART_19" hidden="1">#REF!</definedName>
    <definedName name="_42__123Graph_EChart_1A" hidden="1">#REF!</definedName>
    <definedName name="_43__123Graph_BCHART_8" hidden="1">#REF!</definedName>
    <definedName name="_43__123Graph_EChart_1A" hidden="1">#REF!</definedName>
    <definedName name="_43__123Graph_ECHART_24" hidden="1">#REF!</definedName>
    <definedName name="_44__123Graph_BCHART_9" hidden="1">#REF!</definedName>
    <definedName name="_44__123Graph_ECHART_24" hidden="1">#REF!</definedName>
    <definedName name="_44__123Graph_ECHART_27" hidden="1">#REF!</definedName>
    <definedName name="_45__123Graph_CCHART_1" hidden="1">#REF!</definedName>
    <definedName name="_45__123Graph_ECHART_27" hidden="1">#REF!</definedName>
    <definedName name="_45__123Graph_ECHART_3" hidden="1">#REF!</definedName>
    <definedName name="_46__123Graph_CCHART_10" hidden="1">#REF!</definedName>
    <definedName name="_46__123Graph_ECHART_3" hidden="1">#REF!</definedName>
    <definedName name="_46__123Graph_FCHART_13" hidden="1">#REF!</definedName>
    <definedName name="_47__123Graph_CCHART_11" hidden="1">#REF!</definedName>
    <definedName name="_47__123Graph_FCHART_13" hidden="1">#REF!</definedName>
    <definedName name="_47__123Graph_FCHART_19" hidden="1">#REF!</definedName>
    <definedName name="_48__123Graph_CCHART_12" hidden="1">#REF!</definedName>
    <definedName name="_48__123Graph_FCHART_19" hidden="1">#REF!</definedName>
    <definedName name="_48__123Graph_FChart_1A" hidden="1">#REF!</definedName>
    <definedName name="_49__123Graph_CCHART_13" hidden="1">#REF!</definedName>
    <definedName name="_49__123Graph_FChart_1A" hidden="1">#REF!</definedName>
    <definedName name="_49__123Graph_FCHART_24" hidden="1">#REF!</definedName>
    <definedName name="_4C_1">#REF!</definedName>
    <definedName name="_4C_2">#REF!</definedName>
    <definedName name="_4C_3">#REF!</definedName>
    <definedName name="_4J">#REF!</definedName>
    <definedName name="_4M">#REF!</definedName>
    <definedName name="_4S">#REF!</definedName>
    <definedName name="_4topandbtmsidesmtArray3">#N/A</definedName>
    <definedName name="_4topandbtmsidesmtArray4">#N/A</definedName>
    <definedName name="_4topandbtmsidesmtArray62">#N/A</definedName>
    <definedName name="_4topandbtmsidesmtArray63">#N/A</definedName>
    <definedName name="_4topandbtmsidesmtArray64">#N/A</definedName>
    <definedName name="_4topandbtmsidesmtArray65">#N/A</definedName>
    <definedName name="_4topandbtmsidesmtArray78">#N/A</definedName>
    <definedName name="_4topandbtmsidesmtArray79">#N/A</definedName>
    <definedName name="_4topandbtmsidesmtArray80">#N/A</definedName>
    <definedName name="_4topandbtmsidesmtArray81">#N/A</definedName>
    <definedName name="_4topandbtmsidesmtArray89">#N/A</definedName>
    <definedName name="_4topandbtmsidesmtArray90">#N/A</definedName>
    <definedName name="_4topandbtmsidesmtArray91">#N/A</definedName>
    <definedName name="_4topandbtmsidesmtArray92">#N/A</definedName>
    <definedName name="_4topandbtmsidesmtArray98">#N/A</definedName>
    <definedName name="_5__123Graph_ACHART_14" hidden="1">#REF!</definedName>
    <definedName name="_5__123Graph_ACHART_15" hidden="1">#REF!</definedName>
    <definedName name="_5__123Graph_ACHART_23" hidden="1">#REF!</definedName>
    <definedName name="_50__123Graph_CCHART_14" hidden="1">#REF!</definedName>
    <definedName name="_50__123Graph_FCHART_24" hidden="1">#REF!</definedName>
    <definedName name="_50__123Graph_FCHART_3" hidden="1">#REF!</definedName>
    <definedName name="_51__123Graph_CCHART_15" hidden="1">#REF!</definedName>
    <definedName name="_51__123Graph_FCHART_3" hidden="1">#REF!</definedName>
    <definedName name="_51__123Graph_LBL_ACHART_12" hidden="1">#REF!</definedName>
    <definedName name="_52__123Graph_CCHART_16" hidden="1">#REF!</definedName>
    <definedName name="_52__123Graph_LBL_ACHART_12" hidden="1">#REF!</definedName>
    <definedName name="_52__123Graph_LBL_ACHART_14" hidden="1">#REF!</definedName>
    <definedName name="_53__123Graph_CCHART_17" hidden="1">#REF!</definedName>
    <definedName name="_53__123Graph_LBL_ACHART_14" hidden="1">#REF!</definedName>
    <definedName name="_53__123Graph_LBL_ACHART_24" hidden="1">#REF!</definedName>
    <definedName name="_54__123Graph_CCHART_18" hidden="1">#REF!</definedName>
    <definedName name="_54__123Graph_LBL_ACHART_24" hidden="1">#REF!</definedName>
    <definedName name="_54__123Graph_LBL_ACHART_26" hidden="1">#REF!</definedName>
    <definedName name="_55__123Graph_CCHART_19" hidden="1">#REF!</definedName>
    <definedName name="_55__123Graph_LBL_ACHART_26" hidden="1">#REF!</definedName>
    <definedName name="_55__123Graph_LBL_ACHART_4" hidden="1">#REF!</definedName>
    <definedName name="_56__123Graph_CCHART_2" hidden="1">#REF!</definedName>
    <definedName name="_56__123Graph_LBL_ACHART_4" hidden="1">#REF!</definedName>
    <definedName name="_56__123Graph_LBL_ACHART_5" hidden="1">#REF!</definedName>
    <definedName name="_57__123Graph_CCHART_20" hidden="1">#REF!</definedName>
    <definedName name="_57__123Graph_LBL_ACHART_5" hidden="1">#REF!</definedName>
    <definedName name="_57__123Graph_LBL_BCHART_24" hidden="1">#REF!</definedName>
    <definedName name="_58__123Graph_CCHART_21" hidden="1">#REF!</definedName>
    <definedName name="_58__123Graph_LBL_BCHART_24" hidden="1">#REF!</definedName>
    <definedName name="_58__123Graph_LBL_BCHART_5" hidden="1">#REF!</definedName>
    <definedName name="_59__123Graph_CCHART_22" hidden="1">#REF!</definedName>
    <definedName name="_59__123Graph_LBL_BCHART_5" hidden="1">#REF!</definedName>
    <definedName name="_59__123Graph_LBL_CCHART_24" hidden="1">#REF!</definedName>
    <definedName name="_5C">#REF!</definedName>
    <definedName name="_5J">#REF!</definedName>
    <definedName name="_5offlineArray100">#REF!</definedName>
    <definedName name="_5offlineArray101">#REF!</definedName>
    <definedName name="_5offlineArray102">#REF!</definedName>
    <definedName name="_5offlineArray103">#REF!</definedName>
    <definedName name="_5offlineArray104">#REF!</definedName>
    <definedName name="_5offlineArray105">#REF!</definedName>
    <definedName name="_5offlineArray106">#REF!</definedName>
    <definedName name="_5offlineArray107">#REF!</definedName>
    <definedName name="_5offlineArray108">#REF!</definedName>
    <definedName name="_5offlineArray109">#REF!</definedName>
    <definedName name="_5offlineArray11">#REF!</definedName>
    <definedName name="_5offlineArray110">#REF!</definedName>
    <definedName name="_5offlineArray111">#REF!</definedName>
    <definedName name="_5offlineArray112">#REF!</definedName>
    <definedName name="_5offlineArray113">#REF!</definedName>
    <definedName name="_5offlineArray114">#REF!</definedName>
    <definedName name="_5offlineArray115">#REF!</definedName>
    <definedName name="_5offlineArray116">#REF!</definedName>
    <definedName name="_5offlineArray12">#REF!</definedName>
    <definedName name="_5offlineArray13">#REF!</definedName>
    <definedName name="_5offlineArray14">#REF!</definedName>
    <definedName name="_5offlineArray15">#REF!</definedName>
    <definedName name="_5offlineArray39">#REF!</definedName>
    <definedName name="_5offlineArray40">#REF!</definedName>
    <definedName name="_5offlineArray41">#REF!</definedName>
    <definedName name="_5offlineArray42">#REF!</definedName>
    <definedName name="_5offlineArray43">#REF!</definedName>
    <definedName name="_5offlineArray44">#REF!</definedName>
    <definedName name="_5offlineArray45">#REF!</definedName>
    <definedName name="_5offlineArray46">#REF!</definedName>
    <definedName name="_5offlineArray47">#REF!</definedName>
    <definedName name="_5offlineArray48">#REF!</definedName>
    <definedName name="_5offlineArray49">#REF!</definedName>
    <definedName name="_5offlineArray50">#REF!</definedName>
    <definedName name="_5offlineArray51">#REF!</definedName>
    <definedName name="_5offlineArray52">#REF!</definedName>
    <definedName name="_5offlineArray53">#REF!</definedName>
    <definedName name="_5offlineArray54">#REF!</definedName>
    <definedName name="_5offlineArray55">#REF!</definedName>
    <definedName name="_5offlineArray56">#REF!</definedName>
    <definedName name="_5offlineArray57">#REF!</definedName>
    <definedName name="_5offlineArray58">#REF!</definedName>
    <definedName name="_5offlineArray59">#REF!</definedName>
    <definedName name="_5offlineArray60">#REF!</definedName>
    <definedName name="_5offlineArray61">#REF!</definedName>
    <definedName name="_5offlineArray62">#REF!</definedName>
    <definedName name="_5offlineArray63">#REF!</definedName>
    <definedName name="_5offlineArray64">#REF!</definedName>
    <definedName name="_5offlineArray65">#REF!</definedName>
    <definedName name="_5offlineArray66">#REF!</definedName>
    <definedName name="_5offlineArray67">#REF!</definedName>
    <definedName name="_5offlineArray68">#REF!</definedName>
    <definedName name="_5offlineArray69">#REF!</definedName>
    <definedName name="_5offlineArray70">#REF!</definedName>
    <definedName name="_5offlineArray71">#REF!</definedName>
    <definedName name="_5offlineArray72">#REF!</definedName>
    <definedName name="_5offlineArray73">#REF!</definedName>
    <definedName name="_5offlineArray74">#REF!</definedName>
    <definedName name="_5offlineArray75">#REF!</definedName>
    <definedName name="_5offlineArray76">#REF!</definedName>
    <definedName name="_5offlineArray77">#REF!</definedName>
    <definedName name="_5offlineArray78">#REF!</definedName>
    <definedName name="_5offlineArray79">#REF!</definedName>
    <definedName name="_5offlineArray80">#REF!</definedName>
    <definedName name="_5offlineArray81">#REF!</definedName>
    <definedName name="_5offlineArray82">#REF!</definedName>
    <definedName name="_5offlineArray83">#REF!</definedName>
    <definedName name="_5offlineArray84">#REF!</definedName>
    <definedName name="_5offlineArray85">#REF!</definedName>
    <definedName name="_5offlineArray86">#REF!</definedName>
    <definedName name="_5offlineArray87">#REF!</definedName>
    <definedName name="_5offlineArray88">#REF!</definedName>
    <definedName name="_5offlineArray89">#REF!</definedName>
    <definedName name="_5offlineArray90">#REF!</definedName>
    <definedName name="_5offlineArray91">#REF!</definedName>
    <definedName name="_5offlineArray92">#REF!</definedName>
    <definedName name="_5offlineArray93">#REF!</definedName>
    <definedName name="_5offlineArray94">#REF!</definedName>
    <definedName name="_5offlineArray95">#REF!</definedName>
    <definedName name="_5offlineArray96">#REF!</definedName>
    <definedName name="_5offlineArray97">#REF!</definedName>
    <definedName name="_5offlineArray98">#REF!</definedName>
    <definedName name="_5offlineArray99">#REF!</definedName>
    <definedName name="_5S">#REF!</definedName>
    <definedName name="_6__123Graph_ACHART_15" hidden="1">#REF!</definedName>
    <definedName name="_6__123Graph_ACHART_17" hidden="1">#REF!</definedName>
    <definedName name="_6__123Graph_ACHART_24" hidden="1">#REF!</definedName>
    <definedName name="_60__123Graph_CCHART_23" hidden="1">#REF!</definedName>
    <definedName name="_60__123Graph_LBL_CCHART_24" hidden="1">#REF!</definedName>
    <definedName name="_60__123Graph_LBL_CCHART_5" hidden="1">#REF!</definedName>
    <definedName name="_61__123Graph_CCHART_24" hidden="1">#REF!</definedName>
    <definedName name="_61__123Graph_LBL_CCHART_5" hidden="1">#REF!</definedName>
    <definedName name="_61__123Graph_LBL_DCHART_24" hidden="1">#REF!</definedName>
    <definedName name="_62__123Graph_CCHART_25" hidden="1">#REF!</definedName>
    <definedName name="_62__123Graph_LBL_DCHART_24" hidden="1">#REF!</definedName>
    <definedName name="_62__123Graph_LBL_DCHART_5" hidden="1">#REF!</definedName>
    <definedName name="_63__123Graph_CCHART_26" hidden="1">#REF!</definedName>
    <definedName name="_63__123Graph_LBL_DCHART_5" hidden="1">#REF!</definedName>
    <definedName name="_63__123Graph_LBL_ECHART_24" hidden="1">#REF!</definedName>
    <definedName name="_64__123Graph_CCHART_29" hidden="1">#REF!</definedName>
    <definedName name="_64__123Graph_LBL_ECHART_24" hidden="1">#REF!</definedName>
    <definedName name="_64__123Graph_LBL_FCHART_24" hidden="1">#REF!</definedName>
    <definedName name="_65__123Graph_CCHART_3" hidden="1">#REF!</definedName>
    <definedName name="_65__123Graph_LBL_FCHART_24" hidden="1">#REF!</definedName>
    <definedName name="_65__123Graph_XCHART_1" hidden="1">#REF!</definedName>
    <definedName name="_66__123Graph_CCHART_32" hidden="1">#REF!</definedName>
    <definedName name="_66__123Graph_XCHART_1" hidden="1">#REF!</definedName>
    <definedName name="_66__123Graph_XCHART_12" hidden="1">#REF!</definedName>
    <definedName name="_67__123Graph_CCHART_33" hidden="1">#REF!</definedName>
    <definedName name="_67__123Graph_XCHART_12" hidden="1">#REF!</definedName>
    <definedName name="_67__123Graph_XCHART_13" hidden="1">#REF!</definedName>
    <definedName name="_68__123Graph_CCHART_34" hidden="1">#REF!</definedName>
    <definedName name="_68__123Graph_XCHART_13" hidden="1">#REF!</definedName>
    <definedName name="_68__123Graph_XCHART_14" hidden="1">#REF!</definedName>
    <definedName name="_69__123Graph_CCHART_38" hidden="1">#REF!</definedName>
    <definedName name="_69__123Graph_XCHART_14" hidden="1">#REF!</definedName>
    <definedName name="_69__123Graph_XCHART_15" hidden="1">#REF!</definedName>
    <definedName name="_6C">#REF!</definedName>
    <definedName name="_6manualassyandwavesolderArray140">#N/A</definedName>
    <definedName name="_6manualassyandwavesolderArray141">#N/A</definedName>
    <definedName name="_6manualassyandwavesolderArray143">#N/A</definedName>
    <definedName name="_6S">#REF!</definedName>
    <definedName name="_7__123Graph_ACHART_17" hidden="1">#REF!</definedName>
    <definedName name="_7__123Graph_ACHART_19" hidden="1">#REF!</definedName>
    <definedName name="_7__123Graph_ACHART_25" hidden="1">#REF!</definedName>
    <definedName name="_70__123Graph_CCHART_4" hidden="1">#REF!</definedName>
    <definedName name="_70__123Graph_XCHART_15" hidden="1">#REF!</definedName>
    <definedName name="_70__123Graph_XCHART_19" hidden="1">#REF!</definedName>
    <definedName name="_71__123Graph_CCHART_5" hidden="1">#REF!</definedName>
    <definedName name="_71__123Graph_XCHART_19" hidden="1">#REF!</definedName>
    <definedName name="_71__123Graph_XChart_1A" hidden="1">#REF!</definedName>
    <definedName name="_72__123Graph_CCHART_6" hidden="1">#REF!</definedName>
    <definedName name="_72__123Graph_XChart_1A" hidden="1">#REF!</definedName>
    <definedName name="_72__123Graph_XCHART_21" hidden="1">#REF!</definedName>
    <definedName name="_73__123Graph_CCHART_7" hidden="1">#REF!</definedName>
    <definedName name="_73__123Graph_XCHART_21" hidden="1">#REF!</definedName>
    <definedName name="_73__123Graph_XCHART_24" hidden="1">#REF!</definedName>
    <definedName name="_74__123Graph_CCHART_8" hidden="1">#REF!</definedName>
    <definedName name="_74__123Graph_XCHART_24" hidden="1">#REF!</definedName>
    <definedName name="_74__123Graph_XCHART_26" hidden="1">#REF!</definedName>
    <definedName name="_75__123Graph_CCHART_9" hidden="1">#REF!</definedName>
    <definedName name="_75__123Graph_XCHART_26" hidden="1">#REF!</definedName>
    <definedName name="_75__123Graph_XCHART_27" hidden="1">#REF!</definedName>
    <definedName name="_76__123Graph_DCHART_1" hidden="1">#REF!</definedName>
    <definedName name="_76__123Graph_XCHART_27" hidden="1">#REF!</definedName>
    <definedName name="_76__123Graph_XCHART_3" hidden="1">#REF!</definedName>
    <definedName name="_77__123Graph_DCHART_10" hidden="1">#REF!</definedName>
    <definedName name="_77__123Graph_XCHART_3" hidden="1">#REF!</definedName>
    <definedName name="_77__123Graph_XCHART_4" hidden="1">#REF!</definedName>
    <definedName name="_78__123Graph_DCHART_11" hidden="1">#REF!</definedName>
    <definedName name="_78__123Graph_XCHART_4" hidden="1">#REF!</definedName>
    <definedName name="_78__123Graph_XCHART_5" hidden="1">#REF!</definedName>
    <definedName name="_79__123Graph_DCHART_12" hidden="1">#REF!</definedName>
    <definedName name="_79__123Graph_XCHART_5" hidden="1">#REF!</definedName>
    <definedName name="_79__123Graph_XCHART_6" hidden="1">#REF!</definedName>
    <definedName name="_7finalassyArray10">#N/A</definedName>
    <definedName name="_7finalassyArray11">#N/A</definedName>
    <definedName name="_7finalassyArray110">#N/A</definedName>
    <definedName name="_7finalassyArray111">#N/A</definedName>
    <definedName name="_7finalassyArray112">#N/A</definedName>
    <definedName name="_7finalassyArray113">#N/A</definedName>
    <definedName name="_7finalassyArray114">#N/A</definedName>
    <definedName name="_7finalassyArray115">#N/A</definedName>
    <definedName name="_7finalassyArray116">#N/A</definedName>
    <definedName name="_7finalassyArray117">#N/A</definedName>
    <definedName name="_7finalassyArray118">#N/A</definedName>
    <definedName name="_7finalassyArray119">#N/A</definedName>
    <definedName name="_7finalassyArray12">#N/A</definedName>
    <definedName name="_7finalassyArray120">#N/A</definedName>
    <definedName name="_7finalassyArray121">#N/A</definedName>
    <definedName name="_7finalassyArray13">#N/A</definedName>
    <definedName name="_7finalassyArray14">#N/A</definedName>
    <definedName name="_7finalassyArray6">#N/A</definedName>
    <definedName name="_7finalassyArray7">#N/A</definedName>
    <definedName name="_7finalassyArray8">#N/A</definedName>
    <definedName name="_7finalassyArray9">#N/A</definedName>
    <definedName name="_7S">#REF!</definedName>
    <definedName name="_8__123Graph_ACHART_19" hidden="1">#REF!</definedName>
    <definedName name="_8__123Graph_AChart_1A" hidden="1">#REF!</definedName>
    <definedName name="_8__123Graph_ACHART_26" hidden="1">#REF!</definedName>
    <definedName name="_80__123Graph_DCHART_13" hidden="1">#REF!</definedName>
    <definedName name="_80__123Graph_XCHART_6" hidden="1">#REF!</definedName>
    <definedName name="_81__123Graph_DCHART_14" hidden="1">#REF!</definedName>
    <definedName name="_82__123Graph_DCHART_15" hidden="1">#REF!</definedName>
    <definedName name="_83__123Graph_DCHART_16" hidden="1">#REF!</definedName>
    <definedName name="_84__123Graph_DCHART_17" hidden="1">#REF!</definedName>
    <definedName name="_85__123Graph_DCHART_18" hidden="1">#REF!</definedName>
    <definedName name="_86__123Graph_DCHART_19" hidden="1">#REF!</definedName>
    <definedName name="_87__123Graph_DCHART_2" hidden="1">#REF!</definedName>
    <definedName name="_88__123Graph_DCHART_20" hidden="1">#REF!</definedName>
    <definedName name="_89__123Graph_DCHART_21" hidden="1">#REF!</definedName>
    <definedName name="_8960C">#REF!</definedName>
    <definedName name="_8S">#REF!</definedName>
    <definedName name="_8testArray14">#REF!</definedName>
    <definedName name="_8testArray17">#REF!</definedName>
    <definedName name="_8testArray2">#REF!</definedName>
    <definedName name="_8testArray36">#REF!</definedName>
    <definedName name="_8testArray39">#REF!</definedName>
    <definedName name="_8testArray8">#REF!</definedName>
    <definedName name="_9__123Graph_AChart_1A" hidden="1">#REF!</definedName>
    <definedName name="_9__123Graph_ACHART_21" hidden="1">#REF!</definedName>
    <definedName name="_9__123Graph_ACHART_29" hidden="1">#REF!</definedName>
    <definedName name="_90__123Graph_DCHART_22" hidden="1">#REF!</definedName>
    <definedName name="_91__123Graph_DCHART_23" hidden="1">#REF!</definedName>
    <definedName name="_92__123Graph_DCHART_24" hidden="1">#REF!</definedName>
    <definedName name="_93__123Graph_DCHART_25" hidden="1">#REF!</definedName>
    <definedName name="_94__123Graph_DCHART_26" hidden="1">#REF!</definedName>
    <definedName name="_95__123Graph_DCHART_29" hidden="1">#REF!</definedName>
    <definedName name="_96__123Graph_DCHART_3" hidden="1">#REF!</definedName>
    <definedName name="_97__123Graph_DCHART_30" hidden="1">#REF!</definedName>
    <definedName name="_98__123Graph_DCHART_31" hidden="1">#REF!</definedName>
    <definedName name="_99__123Graph_DCHART_32" hidden="1">#REF!</definedName>
    <definedName name="_9boxbuildArray119">#REF!</definedName>
    <definedName name="_9boxbuildArray120">#REF!</definedName>
    <definedName name="_9boxbuildArray121">#REF!</definedName>
    <definedName name="_9boxbuildArray122">#REF!</definedName>
    <definedName name="_9boxbuildArray123">#REF!</definedName>
    <definedName name="_9boxbuildArray124">#REF!</definedName>
    <definedName name="_9boxbuildArray125">#REF!</definedName>
    <definedName name="_9boxbuildArray126">#REF!</definedName>
    <definedName name="_9boxbuildArray127">#REF!</definedName>
    <definedName name="_9boxbuildArray128">#REF!</definedName>
    <definedName name="_9boxbuildArray129">#REF!</definedName>
    <definedName name="_9boxbuildArray130">#REF!</definedName>
    <definedName name="_9boxbuildArray131">#REF!</definedName>
    <definedName name="_9boxbuildArray132">#REF!</definedName>
    <definedName name="_9boxbuildArray133">#REF!</definedName>
    <definedName name="_9boxbuildArray134">#REF!</definedName>
    <definedName name="_9boxbuildArray135">#REF!</definedName>
    <definedName name="_9boxbuildArray136">#REF!</definedName>
    <definedName name="_9boxbuildArray137">#REF!</definedName>
    <definedName name="_9boxbuildArray138">#REF!</definedName>
    <definedName name="_9S">#REF!</definedName>
    <definedName name="_a">#REF!</definedName>
    <definedName name="_a_1">#REF!</definedName>
    <definedName name="_a101">#REF!</definedName>
    <definedName name="_a11" hidden="1">{"Annual",#N/A,FALSE,"Sales &amp; Market";"Quarterly",#N/A,FALSE,"Sales &amp; Market"}</definedName>
    <definedName name="_a1111" hidden="1">{"Annual",#N/A,FALSE,"Sales &amp; Market";"Quarterly",#N/A,FALSE,"Sales &amp; Market"}</definedName>
    <definedName name="_a11111" hidden="1">{"Annual",#N/A,FALSE,"Sales &amp; Market";"Quarterly",#N/A,FALSE,"Sales &amp; Market"}</definedName>
    <definedName name="_a201">#REF!</definedName>
    <definedName name="_a301">#REF!</definedName>
    <definedName name="_a302">#REF!</definedName>
    <definedName name="_a303">#REF!</definedName>
    <definedName name="_a304">#REF!</definedName>
    <definedName name="_a305">#REF!</definedName>
    <definedName name="_a306">#REF!</definedName>
    <definedName name="_a307">#REF!</definedName>
    <definedName name="_a308">#REF!</definedName>
    <definedName name="_a309">#REF!</definedName>
    <definedName name="_a310">#REF!</definedName>
    <definedName name="_a311">#REF!</definedName>
    <definedName name="_a312">#REF!</definedName>
    <definedName name="_a313">#REF!</definedName>
    <definedName name="_a314">#REF!</definedName>
    <definedName name="_a315">#REF!</definedName>
    <definedName name="_a316">#REF!</definedName>
    <definedName name="_a317">#REF!</definedName>
    <definedName name="_a318">#REF!</definedName>
    <definedName name="_a319">#REF!</definedName>
    <definedName name="_a320">#REF!</definedName>
    <definedName name="_a321">#REF!</definedName>
    <definedName name="_a322">#REF!</definedName>
    <definedName name="_a323">#REF!</definedName>
    <definedName name="_a324">#REF!</definedName>
    <definedName name="_a325">#REF!</definedName>
    <definedName name="_a326">#REF!</definedName>
    <definedName name="_a327">#REF!</definedName>
    <definedName name="_a401">#REF!</definedName>
    <definedName name="_a402">#REF!</definedName>
    <definedName name="_a501">#REF!</definedName>
    <definedName name="_a502">#REF!</definedName>
    <definedName name="_a601">#REF!</definedName>
    <definedName name="_a602">#REF!</definedName>
    <definedName name="_a701">#REF!</definedName>
    <definedName name="_a702">#REF!</definedName>
    <definedName name="_a703">#REF!</definedName>
    <definedName name="_a801">#REF!</definedName>
    <definedName name="_a802">#REF!</definedName>
    <definedName name="_a803">#REF!</definedName>
    <definedName name="_a804">#REF!</definedName>
    <definedName name="_a901">#REF!</definedName>
    <definedName name="_A91873">#REF!</definedName>
    <definedName name="_aa1" hidden="1">{"'Broadway ML#4'!$J$7:$N$490"}</definedName>
    <definedName name="_AC23" hidden="1">{#N/A,#N/A,FALSE,"Aging Summary";#N/A,#N/A,FALSE,"Ratio Analysis";#N/A,#N/A,FALSE,"Test 120 Day Accts";#N/A,#N/A,FALSE,"Tickmarks"}</definedName>
    <definedName name="_ac26" hidden="1">{#N/A,#N/A,FALSE,"Aging Summary";#N/A,#N/A,FALSE,"Ratio Analysis";#N/A,#N/A,FALSE,"Test 120 Day Accts";#N/A,#N/A,FALSE,"Tickmarks"}</definedName>
    <definedName name="_ac35" hidden="1">{#N/A,#N/A,FALSE,"Aging Summary";#N/A,#N/A,FALSE,"Ratio Analysis";#N/A,#N/A,FALSE,"Test 120 Day Accts";#N/A,#N/A,FALSE,"Tickmarks"}</definedName>
    <definedName name="_ac36" hidden="1">{#N/A,#N/A,FALSE,"Aging Summary";#N/A,#N/A,FALSE,"Ratio Analysis";#N/A,#N/A,FALSE,"Test 120 Day Accts";#N/A,#N/A,FALSE,"Tickmarks"}</definedName>
    <definedName name="_ac370">#REF!</definedName>
    <definedName name="_ac375">#REF!</definedName>
    <definedName name="_ac555" hidden="1">{#N/A,#N/A,FALSE,"Aging Summary";#N/A,#N/A,FALSE,"Ratio Analysis";#N/A,#N/A,FALSE,"Test 120 Day Accts";#N/A,#N/A,FALSE,"Tickmarks"}</definedName>
    <definedName name="_acc345">#REF!</definedName>
    <definedName name="_acc370">#REF!</definedName>
    <definedName name="_acc375">#REF!</definedName>
    <definedName name="_acc730">#REF!</definedName>
    <definedName name="_acc75">#REF!</definedName>
    <definedName name="_ae3" hidden="1">{"one (KEY)",#N/A,FALSE,"P&amp;L"}</definedName>
    <definedName name="_ApackingArray10">#N/A</definedName>
    <definedName name="_ApackingArray11">#N/A</definedName>
    <definedName name="_ApackingArray14">#N/A</definedName>
    <definedName name="_ApackingArray15">#N/A</definedName>
    <definedName name="_ApackingArray16">#N/A</definedName>
    <definedName name="_ApackingArray17">#N/A</definedName>
    <definedName name="_ApackingArray18">#N/A</definedName>
    <definedName name="_ApackingArray19">#N/A</definedName>
    <definedName name="_ApackingArray20">#N/A</definedName>
    <definedName name="_ApackingArray21">#N/A</definedName>
    <definedName name="_ApackingArray22">#N/A</definedName>
    <definedName name="_ApackingArray23">#N/A</definedName>
    <definedName name="_ApackingArray24">#N/A</definedName>
    <definedName name="_ApackingArray25">#N/A</definedName>
    <definedName name="_ApackingArray26">#N/A</definedName>
    <definedName name="_ApackingArray27">#N/A</definedName>
    <definedName name="_ApackingArray28">#N/A</definedName>
    <definedName name="_ApackingArray29">#N/A</definedName>
    <definedName name="_ApackingArray4">#N/A</definedName>
    <definedName name="_ApackingArray48">#N/A</definedName>
    <definedName name="_ApackingArray49">#N/A</definedName>
    <definedName name="_ApackingArray5">#N/A</definedName>
    <definedName name="_ApackingArray50">#N/A</definedName>
    <definedName name="_ApackingArray51">#N/A</definedName>
    <definedName name="_ApackingArray52">#N/A</definedName>
    <definedName name="_ApackingArray53">#N/A</definedName>
    <definedName name="_ApackingArray54">#N/A</definedName>
    <definedName name="_ApackingArray55">#N/A</definedName>
    <definedName name="_ApackingArray56">#N/A</definedName>
    <definedName name="_ApackingArray57">#N/A</definedName>
    <definedName name="_ApackingArray58">#N/A</definedName>
    <definedName name="_ApackingArray59">#N/A</definedName>
    <definedName name="_ApackingArray6">#N/A</definedName>
    <definedName name="_ApackingArray60">#N/A</definedName>
    <definedName name="_ApackingArray61">#N/A</definedName>
    <definedName name="_ApackingArray62">#N/A</definedName>
    <definedName name="_ApackingArray63">#N/A</definedName>
    <definedName name="_ApackingArray64">#N/A</definedName>
    <definedName name="_ApackingArray65">#N/A</definedName>
    <definedName name="_ApackingArray66">#N/A</definedName>
    <definedName name="_ApackingArray67">#N/A</definedName>
    <definedName name="_ApackingArray68">#N/A</definedName>
    <definedName name="_ApackingArray69">#N/A</definedName>
    <definedName name="_ApackingArray7">#N/A</definedName>
    <definedName name="_ApackingArray70">#N/A</definedName>
    <definedName name="_ApackingArray71">#N/A</definedName>
    <definedName name="_ApackingArray72">#N/A</definedName>
    <definedName name="_ApackingArray73">#N/A</definedName>
    <definedName name="_ApackingArray74">#N/A</definedName>
    <definedName name="_ApackingArray75">#N/A</definedName>
    <definedName name="_ApackingArray76">#N/A</definedName>
    <definedName name="_ApackingArray77">#N/A</definedName>
    <definedName name="_ApackingArray78">#N/A</definedName>
    <definedName name="_ApackingArray79">#N/A</definedName>
    <definedName name="_ApackingArray8">#N/A</definedName>
    <definedName name="_ApackingArray80">#N/A</definedName>
    <definedName name="_ApackingArray84">#N/A</definedName>
    <definedName name="_ApackingArray85">#N/A</definedName>
    <definedName name="_ApackingArray86">#N/A</definedName>
    <definedName name="_ApackingArray87">#N/A</definedName>
    <definedName name="_ApackingArray9">#N/A</definedName>
    <definedName name="_ASD1" hidden="1">{#N/A,#N/A,FALSE,"Aging Summary";#N/A,#N/A,FALSE,"Ratio Analysis";#N/A,#N/A,FALSE,"Test 120 Day Accts";#N/A,#N/A,FALSE,"Tickmarks"}</definedName>
    <definedName name="_ass1">#REF!</definedName>
    <definedName name="_ass2">#REF!</definedName>
    <definedName name="_ass3">#REF!</definedName>
    <definedName name="_ass4">#REF!</definedName>
    <definedName name="_att1">#REF!</definedName>
    <definedName name="_att2">#REF!</definedName>
    <definedName name="_att3">#REF!</definedName>
    <definedName name="_att4">#REF!</definedName>
    <definedName name="_aug1">#REF!</definedName>
    <definedName name="_aug15">#REF!</definedName>
    <definedName name="_Aug22">#REF!</definedName>
    <definedName name="_aug8">#REF!</definedName>
    <definedName name="_b">#REF!</definedName>
    <definedName name="_b_1">#REF!</definedName>
    <definedName name="_b101">#REF!</definedName>
    <definedName name="_b102">#REF!</definedName>
    <definedName name="_b201">#REF!</definedName>
    <definedName name="_b202">#REF!</definedName>
    <definedName name="_b203">#REF!</definedName>
    <definedName name="_b301">#REF!</definedName>
    <definedName name="_b302">#REF!</definedName>
    <definedName name="_b401">#REF!</definedName>
    <definedName name="_b402">#REF!</definedName>
    <definedName name="_b403">#REF!</definedName>
    <definedName name="_b404">#REF!</definedName>
    <definedName name="_b501">#REF!</definedName>
    <definedName name="_b502">#REF!</definedName>
    <definedName name="_BassumptionsArray1">#N/A</definedName>
    <definedName name="_BassumptionsArray10">#N/A</definedName>
    <definedName name="_BassumptionsArray11">#N/A</definedName>
    <definedName name="_BassumptionsArray12">#N/A</definedName>
    <definedName name="_BassumptionsArray13">#N/A</definedName>
    <definedName name="_BassumptionsArray14">#N/A</definedName>
    <definedName name="_BassumptionsArray15">#N/A</definedName>
    <definedName name="_BassumptionsArray16">#N/A</definedName>
    <definedName name="_BassumptionsArray17">#N/A</definedName>
    <definedName name="_BassumptionsArray18">#N/A</definedName>
    <definedName name="_BassumptionsArray19">#N/A</definedName>
    <definedName name="_BassumptionsArray2">#N/A</definedName>
    <definedName name="_BassumptionsArray20">#N/A</definedName>
    <definedName name="_BassumptionsArray3">#N/A</definedName>
    <definedName name="_BassumptionsArray4">#N/A</definedName>
    <definedName name="_BassumptionsArray5">#N/A</definedName>
    <definedName name="_BassumptionsArray6">#N/A</definedName>
    <definedName name="_BassumptionsArray7">#N/A</definedName>
    <definedName name="_BassumptionsArray8">#N/A</definedName>
    <definedName name="_BassumptionsArray9">#N/A</definedName>
    <definedName name="_bch1" hidden="1">#REF!</definedName>
    <definedName name="_bch10" hidden="1">#REF!</definedName>
    <definedName name="_bch11" hidden="1">#REF!</definedName>
    <definedName name="_bch12" hidden="1">#REF!</definedName>
    <definedName name="_bch13" hidden="1">#REF!</definedName>
    <definedName name="_bch14" hidden="1">#REF!</definedName>
    <definedName name="_bch15" hidden="1">#REF!</definedName>
    <definedName name="_bch16" hidden="1">#REF!</definedName>
    <definedName name="_bch185" hidden="1">#REF!</definedName>
    <definedName name="_bch19" hidden="1">#REF!</definedName>
    <definedName name="_bch2" hidden="1">#REF!</definedName>
    <definedName name="_bch213" hidden="1">#REF!</definedName>
    <definedName name="_bch22" hidden="1">#REF!</definedName>
    <definedName name="_bch24" hidden="1">#REF!</definedName>
    <definedName name="_bch25" hidden="1">#REF!</definedName>
    <definedName name="_bch26" hidden="1">#REF!</definedName>
    <definedName name="_bch29" hidden="1">#REF!</definedName>
    <definedName name="_bch3" hidden="1">#REF!</definedName>
    <definedName name="_bch32" hidden="1">#REF!</definedName>
    <definedName name="_bch33" hidden="1">#REF!</definedName>
    <definedName name="_bch34" hidden="1">#REF!</definedName>
    <definedName name="_bch38" hidden="1">#REF!</definedName>
    <definedName name="_bch4" hidden="1">#REF!</definedName>
    <definedName name="_bch5" hidden="1">#REF!</definedName>
    <definedName name="_bch6" hidden="1">#REF!</definedName>
    <definedName name="_bch7" hidden="1">#REF!</definedName>
    <definedName name="_bch8" hidden="1">#REF!</definedName>
    <definedName name="_bch9" hidden="1">#REF!</definedName>
    <definedName name="_BEL1">#REF!</definedName>
    <definedName name="_BEL2">#REF!</definedName>
    <definedName name="_BEQ1">#REF!</definedName>
    <definedName name="_BEQ2">#REF!</definedName>
    <definedName name="_BGAbtmside_gsm1">#N/A</definedName>
    <definedName name="_BGAbtmside_gsm2">#N/A</definedName>
    <definedName name="_BGAtopside_gsm2">#N/A</definedName>
    <definedName name="_BUS2">#REF!</definedName>
    <definedName name="_C101">#REF!</definedName>
    <definedName name="_C102">#REF!</definedName>
    <definedName name="_c201">#REF!</definedName>
    <definedName name="_c202">#REF!</definedName>
    <definedName name="_c203">#REF!</definedName>
    <definedName name="_c301">#REF!</definedName>
    <definedName name="_c302">#REF!</definedName>
    <definedName name="_c303">#REF!</definedName>
    <definedName name="_c304">#REF!</definedName>
    <definedName name="_c401">#REF!</definedName>
    <definedName name="_c501">#REF!</definedName>
    <definedName name="_c601">#REF!</definedName>
    <definedName name="_c602">#REF!</definedName>
    <definedName name="_c603">#REF!</definedName>
    <definedName name="_c604">#REF!</definedName>
    <definedName name="_c701">#REF!</definedName>
    <definedName name="_c702">#REF!</definedName>
    <definedName name="_c703">#REF!</definedName>
    <definedName name="_c704">#REF!</definedName>
    <definedName name="_c705">#REF!</definedName>
    <definedName name="_c706">#REF!</definedName>
    <definedName name="_c707">#REF!</definedName>
    <definedName name="_c708">#REF!</definedName>
    <definedName name="_c709">#REF!</definedName>
    <definedName name="_c710">#REF!</definedName>
    <definedName name="_c711">#REF!</definedName>
    <definedName name="_c712">#REF!</definedName>
    <definedName name="_c713">#REF!</definedName>
    <definedName name="_c714">#REF!</definedName>
    <definedName name="_c715">#REF!</definedName>
    <definedName name="_c716">#REF!</definedName>
    <definedName name="_c717">#REF!</definedName>
    <definedName name="_c801">#REF!</definedName>
    <definedName name="_c802">#REF!</definedName>
    <definedName name="_c803">#REF!</definedName>
    <definedName name="_c804">#REF!</definedName>
    <definedName name="_cch1" hidden="1">#REF!</definedName>
    <definedName name="_cch10" hidden="1">#REF!</definedName>
    <definedName name="_cch11" hidden="1">#REF!</definedName>
    <definedName name="_cch12" hidden="1">#REF!</definedName>
    <definedName name="_cch14" hidden="1">#REF!</definedName>
    <definedName name="_cch16" hidden="1">#REF!</definedName>
    <definedName name="_cch18" hidden="1">#REF!</definedName>
    <definedName name="_cch2" hidden="1">#REF!</definedName>
    <definedName name="_cch20" hidden="1">#REF!</definedName>
    <definedName name="_cch21" hidden="1">#REF!</definedName>
    <definedName name="_cch22" hidden="1">#REF!</definedName>
    <definedName name="_cch23" hidden="1">#REF!</definedName>
    <definedName name="_cch24" hidden="1">#REF!</definedName>
    <definedName name="_cch26" hidden="1">#REF!</definedName>
    <definedName name="_cch29" hidden="1">#REF!</definedName>
    <definedName name="_cch3" hidden="1">#REF!</definedName>
    <definedName name="_cch32" hidden="1">#REF!</definedName>
    <definedName name="_cch34" hidden="1">#REF!</definedName>
    <definedName name="_cch38" hidden="1">#REF!</definedName>
    <definedName name="_cch4" hidden="1">#REF!</definedName>
    <definedName name="_cch5" hidden="1">#REF!</definedName>
    <definedName name="_cch6" hidden="1">#REF!</definedName>
    <definedName name="_cch7" hidden="1">#REF!</definedName>
    <definedName name="_cch8" hidden="1">#REF!</definedName>
    <definedName name="_cch9" hidden="1">#REF!</definedName>
    <definedName name="_cht1" hidden="1">#REF!</definedName>
    <definedName name="_cht10" hidden="1">#REF!</definedName>
    <definedName name="_cht11" hidden="1">#REF!</definedName>
    <definedName name="_cht19" hidden="1">#REF!</definedName>
    <definedName name="_cht22" hidden="1">#REF!</definedName>
    <definedName name="_cht23" hidden="1">#REF!</definedName>
    <definedName name="_cht24" hidden="1">#REF!</definedName>
    <definedName name="_cht25" hidden="1">#REF!</definedName>
    <definedName name="_cht26" hidden="1">#REF!</definedName>
    <definedName name="_cht29" hidden="1">#REF!</definedName>
    <definedName name="_cht32" hidden="1">#REF!</definedName>
    <definedName name="_cht33" hidden="1">#REF!</definedName>
    <definedName name="_cht34" hidden="1">#REF!</definedName>
    <definedName name="_cht38" hidden="1">#REF!</definedName>
    <definedName name="_D_PAKbtmside_gsm1">#N/A</definedName>
    <definedName name="_D_PAKbtmside_gsm2">#N/A</definedName>
    <definedName name="_D_PAKtopside_gsm2">#N/A</definedName>
    <definedName name="_d1" hidden="1">{#N/A,#N/A,FALSE,"Sales"}</definedName>
    <definedName name="_d101">#REF!</definedName>
    <definedName name="_d102">#REF!</definedName>
    <definedName name="_d103">#REF!</definedName>
    <definedName name="_d104">#REF!</definedName>
    <definedName name="_d105">#REF!</definedName>
    <definedName name="_d116" hidden="1">{#N/A,#N/A,FALSE,"Sales"}</definedName>
    <definedName name="_d16" hidden="1">{"Annual",#N/A,FALSE,"Sales &amp; Market";"Quarterly",#N/A,FALSE,"Sales &amp; Market"}</definedName>
    <definedName name="_d2" hidden="1">{#N/A,#N/A,FALSE,"Sales"}</definedName>
    <definedName name="_d216" hidden="1">{#N/A,#N/A,FALSE,"Sales"}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h1" hidden="1">#REF!</definedName>
    <definedName name="_dch11" hidden="1">#REF!</definedName>
    <definedName name="_dch12" hidden="1">#REF!</definedName>
    <definedName name="_dch16" hidden="1">#REF!</definedName>
    <definedName name="_dch18" hidden="1">#REF!</definedName>
    <definedName name="_dch185" hidden="1">#REF!</definedName>
    <definedName name="_dch19" hidden="1">#REF!</definedName>
    <definedName name="_dch2" hidden="1">#REF!</definedName>
    <definedName name="_dch20" hidden="1">#REF!</definedName>
    <definedName name="_dch22" hidden="1">#REF!</definedName>
    <definedName name="_dch23" hidden="1">#REF!</definedName>
    <definedName name="_dch25" hidden="1">#REF!</definedName>
    <definedName name="_dch29" hidden="1">#REF!</definedName>
    <definedName name="_dch3" hidden="1">#REF!</definedName>
    <definedName name="_dch30" hidden="1">#REF!</definedName>
    <definedName name="_dch31" hidden="1">#REF!</definedName>
    <definedName name="_dch32" hidden="1">#REF!</definedName>
    <definedName name="_dch33" hidden="1">#REF!</definedName>
    <definedName name="_dch38" hidden="1">#REF!</definedName>
    <definedName name="_dch4" hidden="1">#REF!</definedName>
    <definedName name="_dch5" hidden="1">#REF!</definedName>
    <definedName name="_dch6" hidden="1">#REF!</definedName>
    <definedName name="_dch7" hidden="1">#REF!</definedName>
    <definedName name="_dch8" hidden="1">#REF!</definedName>
    <definedName name="_dch9" hidden="1">#REF!</definedName>
    <definedName name="_ddc14" hidden="1">#REF!</definedName>
    <definedName name="_dep0411">#REF!</definedName>
    <definedName name="_dob0821">#REF!</definedName>
    <definedName name="_dob2">#REF!</definedName>
    <definedName name="_dsa2" hidden="1">{"'B-S Accounts Translation'!$A$1:$G$190"}</definedName>
    <definedName name="_e101">#REF!</definedName>
    <definedName name="_e102">#REF!</definedName>
    <definedName name="_e103">#REF!</definedName>
    <definedName name="_e104">#REF!</definedName>
    <definedName name="_e201">#REF!</definedName>
    <definedName name="_e202">#REF!</definedName>
    <definedName name="_e203">#REF!</definedName>
    <definedName name="_e204">#REF!</definedName>
    <definedName name="_e3" hidden="1">{"'Broadway ML#4'!$J$7:$N$490"}</definedName>
    <definedName name="_e301">#REF!</definedName>
    <definedName name="_eb2" hidden="1">{"one (KEY)",#N/A,FALSE,"P&amp;L"}</definedName>
    <definedName name="_ech1" hidden="1">#REF!</definedName>
    <definedName name="_ech10" hidden="1">#REF!</definedName>
    <definedName name="_ech13" hidden="1">#REF!</definedName>
    <definedName name="_ech14" hidden="1">#REF!</definedName>
    <definedName name="_ech15" hidden="1">#REF!</definedName>
    <definedName name="_ech16" hidden="1">#REF!</definedName>
    <definedName name="_ech17" hidden="1">#REF!</definedName>
    <definedName name="_ech18" hidden="1">#REF!</definedName>
    <definedName name="_ech2" hidden="1">#REF!</definedName>
    <definedName name="_ech20" hidden="1">#REF!</definedName>
    <definedName name="_ech21" hidden="1">#REF!</definedName>
    <definedName name="_ech22" hidden="1">#REF!</definedName>
    <definedName name="_ech23" hidden="1">#REF!</definedName>
    <definedName name="_ech26" hidden="1">#REF!</definedName>
    <definedName name="_ech3" hidden="1">#REF!</definedName>
    <definedName name="_ech30" hidden="1">#REF!</definedName>
    <definedName name="_ech31" hidden="1">#REF!</definedName>
    <definedName name="_ech32" hidden="1">#REF!</definedName>
    <definedName name="_ech33" hidden="1">#REF!</definedName>
    <definedName name="_ech38" hidden="1">#REF!</definedName>
    <definedName name="_ech4" hidden="1">#REF!</definedName>
    <definedName name="_ech5" hidden="1">#REF!</definedName>
    <definedName name="_ech6" hidden="1">#REF!</definedName>
    <definedName name="_ech7" hidden="1">#REF!</definedName>
    <definedName name="_ech8" hidden="1">#REF!</definedName>
    <definedName name="_ech9" hidden="1">#REF!</definedName>
    <definedName name="_ehc24" hidden="1">#REF!</definedName>
    <definedName name="_ehc25" hidden="1">#REF!</definedName>
    <definedName name="_EMS753">#REF!</definedName>
    <definedName name="_END">#REF!</definedName>
    <definedName name="_f1" hidden="1">{"one (KEY)",#N/A,FALSE,"P&amp;L"}</definedName>
    <definedName name="_f101">#REF!</definedName>
    <definedName name="_f102">#REF!</definedName>
    <definedName name="_f103">#REF!</definedName>
    <definedName name="_f201">#REF!</definedName>
    <definedName name="_f202">#REF!</definedName>
    <definedName name="_f203">#REF!</definedName>
    <definedName name="_f204">#REF!</definedName>
    <definedName name="_f205">#REF!</definedName>
    <definedName name="_f301">#REF!</definedName>
    <definedName name="_f302">#REF!</definedName>
    <definedName name="_f303">#REF!</definedName>
    <definedName name="_f401">#REF!</definedName>
    <definedName name="_f402">#REF!</definedName>
    <definedName name="_f501">#REF!</definedName>
    <definedName name="_f601">#REF!</definedName>
    <definedName name="_f701">#REF!</definedName>
    <definedName name="_f702">#REF!</definedName>
    <definedName name="_f703">#REF!</definedName>
    <definedName name="_f704">#REF!</definedName>
    <definedName name="_f801">#REF!</definedName>
    <definedName name="_f802">#REF!</definedName>
    <definedName name="_f803">#REF!</definedName>
    <definedName name="_fch1" hidden="1">#REF!</definedName>
    <definedName name="_fch12" hidden="1">#REF!</definedName>
    <definedName name="_fch13" hidden="1">#REF!</definedName>
    <definedName name="_fch14" hidden="1">#REF!</definedName>
    <definedName name="_fch15" hidden="1">#REF!</definedName>
    <definedName name="_fch17" hidden="1">#REF!</definedName>
    <definedName name="_fch18" hidden="1">#REF!</definedName>
    <definedName name="_fch2" hidden="1">#REF!</definedName>
    <definedName name="_fch203" hidden="1">#REF!</definedName>
    <definedName name="_fch21" hidden="1">#REF!</definedName>
    <definedName name="_fch25" hidden="1">#REF!</definedName>
    <definedName name="_fch26" hidden="1">#REF!</definedName>
    <definedName name="_fch3" hidden="1">#REF!</definedName>
    <definedName name="_fch30" hidden="1">#REF!</definedName>
    <definedName name="_fch31" hidden="1">#REF!</definedName>
    <definedName name="_fch38" hidden="1">#REF!</definedName>
    <definedName name="_fch4" hidden="1">#REF!</definedName>
    <definedName name="_fch6" hidden="1">#REF!</definedName>
    <definedName name="_fch7" hidden="1">#REF!</definedName>
    <definedName name="_fch8" hidden="1">#REF!</definedName>
    <definedName name="_Feb6">#REF!</definedName>
    <definedName name="_fff1" hidden="1">{"Annual",#N/A,FALSE,"Sales &amp; Market";"Quarterly",#N/A,FALSE,"Sales &amp; Market"}</definedName>
    <definedName name="_FILE_UNSEAL__1">#REF!</definedName>
    <definedName name="_Fill" hidden="1">#REF!</definedName>
    <definedName name="_Fill." hidden="1">#REF!</definedName>
    <definedName name="_xlnm._FilterDatabase" localSheetId="0" hidden="1">'Carta Capacidad'!$E$3:$I$14</definedName>
    <definedName name="_xlnm._FilterDatabase" localSheetId="1" hidden="1">HC!$A$2:$S$1460</definedName>
    <definedName name="_xlnm._FilterDatabase" localSheetId="2" hidden="1">'Transfer Out-In'!$A$7:$S$40</definedName>
    <definedName name="_xlnm._FilterDatabase" hidden="1">#REF!</definedName>
    <definedName name="_FilterDatabase1" hidden="1">#REF!</definedName>
    <definedName name="_fix1">balance sheet send</definedName>
    <definedName name="_g2" hidden="1">{"'Broadway ML#4'!$J$7:$N$490"}</definedName>
    <definedName name="_gaa1">#REF!</definedName>
    <definedName name="_gaa2">#REF!</definedName>
    <definedName name="_gaa3">#REF!</definedName>
    <definedName name="_gaa4">#REF!</definedName>
    <definedName name="_GBP1">#REF!</definedName>
    <definedName name="_gc1" hidden="1">{"Annual",#N/A,FALSE,"Sales &amp; Market";"Quarterly",#N/A,FALSE,"Sales &amp; Market"}</definedName>
    <definedName name="_gc2" hidden="1">{"Annual",#N/A,FALSE,"Sales &amp; Market";"Quarterly",#N/A,FALSE,"Sales &amp; Market"}</definedName>
    <definedName name="_HCOSort" hidden="1">#REF!</definedName>
    <definedName name="_HDL">#REF!</definedName>
    <definedName name="_HPD2" hidden="1">{"'Edit'!$A$1:$V$2277"}</definedName>
    <definedName name="_ICP1">#REF!</definedName>
    <definedName name="_ICP12">#REF!</definedName>
    <definedName name="_ICP13">#REF!</definedName>
    <definedName name="_ICP14">#REF!</definedName>
    <definedName name="_ICP15">#REF!</definedName>
    <definedName name="_ICP16">#REF!</definedName>
    <definedName name="_ICP2">#REF!</definedName>
    <definedName name="_ICP20">#REF!</definedName>
    <definedName name="_ICP3">#REF!</definedName>
    <definedName name="_ICP4">#REF!</definedName>
    <definedName name="_ICP5">#REF!</definedName>
    <definedName name="_ICP6">#REF!</definedName>
    <definedName name="_ICP7">#REF!</definedName>
    <definedName name="_ICP9">#REF!</definedName>
    <definedName name="_ICV1" hidden="1">{"one (KEY)",#N/A,FALSE,"P&amp;L"}</definedName>
    <definedName name="_INC10">1.3</definedName>
    <definedName name="_INC2">1.3</definedName>
    <definedName name="_Jul10" hidden="1">{"one (KEY)",#N/A,FALSE,"P&amp;L"}</definedName>
    <definedName name="_Key1" hidden="1">#REF!</definedName>
    <definedName name="_Key1." hidden="1">#REF!</definedName>
    <definedName name="_Key2" hidden="1">#REF!</definedName>
    <definedName name="_Key2." hidden="1">#REF!</definedName>
    <definedName name="_kiii" hidden="1">{"one (KEY)",#N/A,FALSE,"P&amp;L"}</definedName>
    <definedName name="_L10">#REF!</definedName>
    <definedName name="_L11">#REF!</definedName>
    <definedName name="_L12">#REF!</definedName>
    <definedName name="_L13">#REF!</definedName>
    <definedName name="_L16">#REF!</definedName>
    <definedName name="_L17">#REF!</definedName>
    <definedName name="_l3">#REF!</definedName>
    <definedName name="_L4">#REF!</definedName>
    <definedName name="_L5">#REF!</definedName>
    <definedName name="_L6">#REF!</definedName>
    <definedName name="_L7">#REF!</definedName>
    <definedName name="_L8">#REF!</definedName>
    <definedName name="_L9">#REF!</definedName>
    <definedName name="_lab1" localSheetId="1">#REF!</definedName>
    <definedName name="_lab1">#REF!</definedName>
    <definedName name="_lab2" localSheetId="1">#REF!</definedName>
    <definedName name="_lab2">#REF!</definedName>
    <definedName name="_lab3" localSheetId="1">#REF!</definedName>
    <definedName name="_lab3">#REF!</definedName>
    <definedName name="_LHE577">#REF!</definedName>
    <definedName name="_lll" hidden="1">{"one (KEY)",#N/A,FALSE,"P&amp;L"}</definedName>
    <definedName name="_Log1">#REF!</definedName>
    <definedName name="_M1" hidden="1">#REF!</definedName>
    <definedName name="_MAINMENU">#REF!</definedName>
    <definedName name="_MatMult_A" hidden="1">#REF!</definedName>
    <definedName name="_mb2">"文字方塊 25"</definedName>
    <definedName name="_mea1">#REF!</definedName>
    <definedName name="_mea2">#REF!</definedName>
    <definedName name="_mea3">#REF!</definedName>
    <definedName name="_mea4">#REF!</definedName>
    <definedName name="_mea5">#REF!</definedName>
    <definedName name="_MELFbtmside_gsm1">#N/A</definedName>
    <definedName name="_MELFbtmside_gsm2">#N/A</definedName>
    <definedName name="_MELFtopside_gsm2">#N/A</definedName>
    <definedName name="_mer1">#REF!</definedName>
    <definedName name="_mer2">#REF!</definedName>
    <definedName name="_MINI_MELFbtmside_gsm1">#N/A</definedName>
    <definedName name="_MINI_MELFbtmside_gsm2">#N/A</definedName>
    <definedName name="_MINI_MELFtopside_gsm2">#N/A</definedName>
    <definedName name="_mk1">#REF!</definedName>
    <definedName name="_mm1" hidden="1">{"'Broadway ML#4'!$J$7:$N$490"}</definedName>
    <definedName name="_Mo1">#REF!</definedName>
    <definedName name="_Mo2">#REF!</definedName>
    <definedName name="_Mo3">#REF!</definedName>
    <definedName name="_mom2">#REF!</definedName>
    <definedName name="_Month">#REF!</definedName>
    <definedName name="_NAV1">#REF!</definedName>
    <definedName name="_oj1208">#REF!</definedName>
    <definedName name="_ok1" hidden="1">{"Annual",#N/A,FALSE,"Sales &amp; Market";"Quarterly",#N/A,FALSE,"Sales &amp; Market"}</definedName>
    <definedName name="_OPS1">#REF!</definedName>
    <definedName name="_Order1" hidden="1">255</definedName>
    <definedName name="_Order2" hidden="1">255</definedName>
    <definedName name="_p">#REF!</definedName>
    <definedName name="_p_1">#REF!</definedName>
    <definedName name="_PG1">#REF!</definedName>
    <definedName name="_PG2">#REF!</definedName>
    <definedName name="_pg3">#REF!</definedName>
    <definedName name="_pik1">#REF!</definedName>
    <definedName name="_pik2">#REF!</definedName>
    <definedName name="_PLCC28btmside_gsm1">#N/A</definedName>
    <definedName name="_PLCC28btmside_gsm2">#N/A</definedName>
    <definedName name="_PLCC28topside_gsm2">#N/A</definedName>
    <definedName name="_PLCC32btmside_gsm1">#N/A</definedName>
    <definedName name="_PLCC32btmside_gsm2">#N/A</definedName>
    <definedName name="_PLCC32topside_gsm2">#N/A</definedName>
    <definedName name="_PLCC44btmside_gsm1">#N/A</definedName>
    <definedName name="_PLCC44btmside_gsm2">#N/A</definedName>
    <definedName name="_PLCC44topside_gsm2">#N/A</definedName>
    <definedName name="_PM1" hidden="1">{#N/A,#N/A,FALSE,"Summary";#N/A,#N/A,FALSE,"Service";#N/A,#N/A,FALSE,"Carriage";#N/A,#N/A,FALSE,"Backbone"}</definedName>
    <definedName name="_Png1">#N/A</definedName>
    <definedName name="_PQFP_100btmside_gsm1">#N/A</definedName>
    <definedName name="_PQFP_100btmside_gsm2">#N/A</definedName>
    <definedName name="_PQFP_100topside_gsm2">#N/A</definedName>
    <definedName name="_PQFP_120btmside_gsm1">#N/A</definedName>
    <definedName name="_PQFP_120btmside_gsm2">#N/A</definedName>
    <definedName name="_PQFP_120topside_gsm2">#N/A</definedName>
    <definedName name="_PQFP_144btmside_gsm1">#N/A</definedName>
    <definedName name="_PQFP_144btmside_gsm2">#N/A</definedName>
    <definedName name="_PQFP_144topside_gsm2">#N/A</definedName>
    <definedName name="_PQFP_208btmside_gsm1">#N/A</definedName>
    <definedName name="_PQFP_208btmside_gsm2">#N/A</definedName>
    <definedName name="_PQFP_208topside_gsm2">#N/A</definedName>
    <definedName name="_PQFP_280btmside_gsm1">#N/A</definedName>
    <definedName name="_PQFP_280btmside_gsm2">#N/A</definedName>
    <definedName name="_PQFP_280topside_gsm2">#N/A</definedName>
    <definedName name="_PQFP_44btmside_gsm1">#N/A</definedName>
    <definedName name="_PQFP_44btmside_gsm2">#N/A</definedName>
    <definedName name="_PQFP_44topside_gsm2">#N/A</definedName>
    <definedName name="_PQFP_64btmside_gsm1">#N/A</definedName>
    <definedName name="_PQFP_64btmside_gsm2">#N/A</definedName>
    <definedName name="_PQFP_64topside_gsm2">#N/A</definedName>
    <definedName name="_prc1">#REF!</definedName>
    <definedName name="_prc2">#REF!</definedName>
    <definedName name="_prc3">#REF!</definedName>
    <definedName name="_q1" hidden="1">{"Annual",#N/A,FALSE,"Sales &amp; Market";"Quarterly",#N/A,FALSE,"Sales &amp; Market"}</definedName>
    <definedName name="_q3" hidden="1">{"Annual",#N/A,FALSE,"Sales &amp; Market";"Quarterly",#N/A,FALSE,"Sales &amp; Market"}</definedName>
    <definedName name="_q4" hidden="1">{"Annual",#N/A,FALSE,"Sales &amp; Market";"Quarterly",#N/A,FALSE,"Sales &amp; Market"}</definedName>
    <definedName name="_q5" hidden="1">{"'B-S Accounts Translation'!$A$1:$G$190"}</definedName>
    <definedName name="_qt1">#REF!</definedName>
    <definedName name="_qtr1">#REF!</definedName>
    <definedName name="_qtr10">#REF!</definedName>
    <definedName name="_qtr11">#REF!</definedName>
    <definedName name="_qtr12">#REF!</definedName>
    <definedName name="_qtr13">#REF!</definedName>
    <definedName name="_qtr14">#REF!</definedName>
    <definedName name="_qtr15">#REF!</definedName>
    <definedName name="_qtr2">#REF!</definedName>
    <definedName name="_qtr3">#REF!</definedName>
    <definedName name="_qtr4">#REF!</definedName>
    <definedName name="_qtr5">#REF!</definedName>
    <definedName name="_qtr6">#REF!</definedName>
    <definedName name="_qtr7">#REF!</definedName>
    <definedName name="_qtr8">#REF!</definedName>
    <definedName name="_qtr9">#REF!</definedName>
    <definedName name="_QUO1">#REF!</definedName>
    <definedName name="_qwe2" hidden="1">{#N/A,#N/A,FALSE,"Sales"}</definedName>
    <definedName name="_R_19__L_9__D_7">#REF!</definedName>
    <definedName name="_Regression_Int" hidden="1">1</definedName>
    <definedName name="_req2">#REF!</definedName>
    <definedName name="_req3">#REF!</definedName>
    <definedName name="_RFN1" hidden="1">{"Annual",#N/A,FALSE,"Sales &amp; Market";"Quarterly",#N/A,FALSE,"Sales &amp; Market"}</definedName>
    <definedName name="_rfn2" hidden="1">{#N/A,#N/A,FALSE,"Sales"}</definedName>
    <definedName name="_RH6">#REF!</definedName>
    <definedName name="_s" hidden="1">#REF!</definedName>
    <definedName name="_SAP111" hidden="1">10</definedName>
    <definedName name="_SE27">#REF!</definedName>
    <definedName name="_SE28">#REF!</definedName>
    <definedName name="_SE29">#REF!</definedName>
    <definedName name="_SE30">#REF!</definedName>
    <definedName name="_SE31">#REF!</definedName>
    <definedName name="_SE32">#REF!</definedName>
    <definedName name="_SE33">#REF!</definedName>
    <definedName name="_SE34">#REF!</definedName>
    <definedName name="_SE35">#REF!</definedName>
    <definedName name="_SE36">#REF!</definedName>
    <definedName name="_SE37">#REF!</definedName>
    <definedName name="_SE38">#REF!</definedName>
    <definedName name="_SE39">#REF!</definedName>
    <definedName name="_SEC2010">#REF!</definedName>
    <definedName name="_SEC2011">#REF!</definedName>
    <definedName name="_SEC2012">#REF!</definedName>
    <definedName name="_SEC2013">#REF!</definedName>
    <definedName name="_SEC2014">#REF!</definedName>
    <definedName name="_SEC2015">#REF!</definedName>
    <definedName name="_SEC2016">#REF!</definedName>
    <definedName name="_SEC2017">#REF!</definedName>
    <definedName name="_SEC2018">#REF!</definedName>
    <definedName name="_sga1">#REF!</definedName>
    <definedName name="_sga2">#REF!</definedName>
    <definedName name="_sga3">#REF!</definedName>
    <definedName name="_SI800" hidden="1">{"'Broadway ML#4'!$J$7:$N$490"}</definedName>
    <definedName name="_SMT_CONN20btmside_gsm1">#N/A</definedName>
    <definedName name="_SMT_CONN20btmside_gsm2">#N/A</definedName>
    <definedName name="_SMT_CONN20topside_gsm2">#N/A</definedName>
    <definedName name="_SMT_CONN40btmside_gsm1">#N/A</definedName>
    <definedName name="_SMT_CONN40btmside_gsm2">#N/A</definedName>
    <definedName name="_SMT_CONN40topside_gsm2">#N/A</definedName>
    <definedName name="_SMT_CRYSTALbtmside_gsm1">#N/A</definedName>
    <definedName name="_SMT_CRYSTALbtmside_gsm2">#N/A</definedName>
    <definedName name="_SMT_CRYSTALtopside_gsm2">#N/A</definedName>
    <definedName name="_SMT_SOCKETbtmside_gsm1">#N/A</definedName>
    <definedName name="_SMT_SOCKETbtmside_gsm2">#N/A</definedName>
    <definedName name="_SMT_SOCKETtopside_gsm2">#N/A</definedName>
    <definedName name="_SOIC_14btmside_gsm1">#N/A</definedName>
    <definedName name="_SOIC_14btmside_gsm2">#N/A</definedName>
    <definedName name="_SOIC_14topside_gsm2">#N/A</definedName>
    <definedName name="_SOIC_16btmside_gsm1">#N/A</definedName>
    <definedName name="_SOIC_16btmside_gsm2">#N/A</definedName>
    <definedName name="_SOIC_16Lbtmside_gsm1">#N/A</definedName>
    <definedName name="_SOIC_16Lbtmside_gsm2">#N/A</definedName>
    <definedName name="_SOIC_16Ltopside_gsm2">#N/A</definedName>
    <definedName name="_SOIC_16topside_gsm2">#N/A</definedName>
    <definedName name="_SOIC_18btmside_gsm1">#N/A</definedName>
    <definedName name="_SOIC_18btmside_gsm2">#N/A</definedName>
    <definedName name="_SOIC_18Lbtmside_gsm1">#N/A</definedName>
    <definedName name="_SOIC_18Lbtmside_gsm2">#N/A</definedName>
    <definedName name="_SOIC_18Ltopside_gsm2">#N/A</definedName>
    <definedName name="_SOIC_18topside_gsm2">#N/A</definedName>
    <definedName name="_SOIC_20btmside_gsm1">#N/A</definedName>
    <definedName name="_SOIC_20btmside_gsm2">#N/A</definedName>
    <definedName name="_SOIC_20topside_gsm2">#N/A</definedName>
    <definedName name="_SOIC_24btmside_gsm1">#N/A</definedName>
    <definedName name="_SOIC_24btmside_gsm2">#N/A</definedName>
    <definedName name="_SOIC_24topside_gsm2">#N/A</definedName>
    <definedName name="_SOIC_28btmside_gsm1">#N/A</definedName>
    <definedName name="_SOIC_28btmside_gsm2">#N/A</definedName>
    <definedName name="_SOIC_28topside_gsm2">#N/A</definedName>
    <definedName name="_SOIC_32btmside_gsm1">#N/A</definedName>
    <definedName name="_SOIC_32btmside_gsm2">#N/A</definedName>
    <definedName name="_SOIC_32topside_gsm2">#N/A</definedName>
    <definedName name="_SOIC_40btmside_gsm1">#N/A</definedName>
    <definedName name="_SOIC_40btmside_gsm2">#N/A</definedName>
    <definedName name="_SOIC_40topside_gsm2">#N/A</definedName>
    <definedName name="_SOIC_48btmside_gsm1">#N/A</definedName>
    <definedName name="_SOIC_48btmside_gsm2">#N/A</definedName>
    <definedName name="_SOIC_48topside_gsm2">#N/A</definedName>
    <definedName name="_SOIC_8btmside_gsm1">#N/A</definedName>
    <definedName name="_SOIC_8btmside_gsm2">#N/A</definedName>
    <definedName name="_SOIC_8topside_gsm2">#N/A</definedName>
    <definedName name="_Sort" hidden="1">#REF!</definedName>
    <definedName name="_SOT_23btmside_gsm1">#N/A</definedName>
    <definedName name="_SOT_23btmside_gsm2">#N/A</definedName>
    <definedName name="_SOT_23topside_gsm2">#N/A</definedName>
    <definedName name="_SOT_89btmside_gsm1">#N/A</definedName>
    <definedName name="_SOT_89btmside_gsm2">#N/A</definedName>
    <definedName name="_SOT_89topside_gsm2">#N/A</definedName>
    <definedName name="_SSOP_24btmside_gsm1">#N/A</definedName>
    <definedName name="_SSOP_24btmside_gsm2">#N/A</definedName>
    <definedName name="_SSOP_24topside_gsm2">#N/A</definedName>
    <definedName name="_STD1">#REF!</definedName>
    <definedName name="_stk0619">#REF!</definedName>
    <definedName name="_sub1">#REF!</definedName>
    <definedName name="_sub2">#REF!</definedName>
    <definedName name="_Sum2" hidden="1">{#N/A,#N/A,FALSE,"Summary";#N/A,#N/A,FALSE,"Service";#N/A,#N/A,FALSE,"Carriage";#N/A,#N/A,FALSE,"Backbone"}</definedName>
    <definedName name="_Sum22" hidden="1">{#N/A,#N/A,FALSE,"Summary";#N/A,#N/A,FALSE,"Service";#N/A,#N/A,FALSE,"Carriage";#N/A,#N/A,FALSE,"Backbone"}</definedName>
    <definedName name="_sum3" hidden="1">{#N/A,#N/A,FALSE,"Summary";#N/A,#N/A,FALSE,"Service";#N/A,#N/A,FALSE,"Carriage";#N/A,#N/A,FALSE,"Backbone"}</definedName>
    <definedName name="_T_SOP44topside_gsm2">#N/A</definedName>
    <definedName name="_ta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NT_Abtmside_chipshooter2">#N/A</definedName>
    <definedName name="_TANT_Atopside_chipshooter2">#N/A</definedName>
    <definedName name="_TANT_B_C_Dbtmside_chipshooter2">#N/A</definedName>
    <definedName name="_TANT_B_C_Dtopside_chipshooter2">#N/A</definedName>
    <definedName name="_TANT_Ebtmside_chipshooter2">#N/A</definedName>
    <definedName name="_TANT_Etopside_chipshooter2">#N/A</definedName>
    <definedName name="_TANTbtmside_gsm1">#N/A</definedName>
    <definedName name="_TANTbtmside_gsm2">#N/A</definedName>
    <definedName name="_TANTtopside_gsm2">#N/A</definedName>
    <definedName name="_tax1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x2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_tay1" hidden="1">{"Annual",#N/A,FALSE,"Sales &amp; Market";"Quarterly",#N/A,FALSE,"Sales &amp; Market"}</definedName>
    <definedName name="_tay2" hidden="1">{"Annual",#N/A,FALSE,"Sales &amp; Market";"Quarterly",#N/A,FALSE,"Sales &amp; Market"}</definedName>
    <definedName name="_tay3" hidden="1">{"Annual",#N/A,FALSE,"Sales &amp; Market";"Quarterly",#N/A,FALSE,"Sales &amp; Market"}</definedName>
    <definedName name="_tay5" hidden="1">{#N/A,#N/A,FALSE,"Sales"}</definedName>
    <definedName name="_TC1">#REF!</definedName>
    <definedName name="_TC2">#REF!</definedName>
    <definedName name="_tc3">#REF!</definedName>
    <definedName name="_tc4">#REF!</definedName>
    <definedName name="_tc5">#REF!</definedName>
    <definedName name="_TL2" hidden="1">{#N/A,#N/A,FALSE,"Summary";#N/A,#N/A,FALSE,"Service";#N/A,#N/A,FALSE,"Carriage";#N/A,#N/A,FALSE,"Backbone"}</definedName>
    <definedName name="_TOP1">#REF!</definedName>
    <definedName name="_try1" localSheetId="1">balance sheet send</definedName>
    <definedName name="_try1">balance sheet send</definedName>
    <definedName name="_try2">balance sheet send</definedName>
    <definedName name="_TT7">#REF!</definedName>
    <definedName name="_UMG156">#REF!</definedName>
    <definedName name="_UMG2010">#REF!</definedName>
    <definedName name="_UMG2011">#REF!</definedName>
    <definedName name="_UMG2012">#REF!</definedName>
    <definedName name="_UMG2013">#REF!</definedName>
    <definedName name="_UMG2014">#REF!</definedName>
    <definedName name="_UMG2015">#REF!</definedName>
    <definedName name="_UMG2016">#REF!</definedName>
    <definedName name="_UMG2017">#REF!</definedName>
    <definedName name="_UMG2018">#REF!</definedName>
    <definedName name="_Vac1">#REF!</definedName>
    <definedName name="_vol2">#REF!</definedName>
    <definedName name="_vol3">#REF!</definedName>
    <definedName name="_w1" hidden="1">{"'Broadway ML#4'!$J$7:$N$490"}</definedName>
    <definedName name="_w12" hidden="1">{"'Broadway ML#4'!$J$7:$N$490"}</definedName>
    <definedName name="_w2" hidden="1">{#N/A,#N/A,FALSE,"Sales"}</definedName>
    <definedName name="_WEI2010">#REF!</definedName>
    <definedName name="_WEI2011">#REF!</definedName>
    <definedName name="_WEI2012">#REF!</definedName>
    <definedName name="_WEI2013">#REF!</definedName>
    <definedName name="_WEI2014">#REF!</definedName>
    <definedName name="_WEI2015">#REF!</definedName>
    <definedName name="_WEI2016">#REF!</definedName>
    <definedName name="_WEI2017">#REF!</definedName>
    <definedName name="_WEI2018">#REF!</definedName>
    <definedName name="_WIN95">#REF!</definedName>
    <definedName name="_WIP2010">#REF!</definedName>
    <definedName name="_WIP2011">#REF!</definedName>
    <definedName name="_WIP2012">#REF!</definedName>
    <definedName name="_WIP2013">#REF!</definedName>
    <definedName name="_WIP2014">#REF!</definedName>
    <definedName name="_WIP2015">#REF!</definedName>
    <definedName name="_WIP2016">#REF!</definedName>
    <definedName name="_WIP2017">#REF!</definedName>
    <definedName name="_WIP2018">#REF!</definedName>
    <definedName name="_wk1">#REF!</definedName>
    <definedName name="_wk2">#REF!</definedName>
    <definedName name="_WK27">#REF!</definedName>
    <definedName name="_WK28">#REF!</definedName>
    <definedName name="_WK29">#REF!</definedName>
    <definedName name="_wk3">#REF!</definedName>
    <definedName name="_WK30">#REF!</definedName>
    <definedName name="_WK31">#REF!</definedName>
    <definedName name="_WK32">#REF!</definedName>
    <definedName name="_WK33">#REF!</definedName>
    <definedName name="_WK34">#REF!</definedName>
    <definedName name="_WK35">#REF!</definedName>
    <definedName name="_WK36">#REF!</definedName>
    <definedName name="_WK37">#REF!</definedName>
    <definedName name="_WK38">#REF!</definedName>
    <definedName name="_WK39">#REF!</definedName>
    <definedName name="_wk4">#REF!</definedName>
    <definedName name="_wrn1" hidden="1">{"Jabil - Personal View",#N/A,FALSE,"Passives"}</definedName>
    <definedName name="_wrn2" hidden="1">{"one (KEY)",#N/A,FALSE,"P&amp;L"}</definedName>
    <definedName name="_WWW1" hidden="1">{"one (KEY)",#N/A,FALSE,"P&amp;L"}</definedName>
    <definedName name="_X1" hidden="1">{"one (KEY)",#N/A,FALSE,"P&amp;L"}</definedName>
    <definedName name="_xch10" hidden="1">#REF!</definedName>
    <definedName name="_xch11" hidden="1">#REF!</definedName>
    <definedName name="_xch12" hidden="1">#REF!</definedName>
    <definedName name="_xch13" hidden="1">#REF!</definedName>
    <definedName name="_xch15" hidden="1">#REF!</definedName>
    <definedName name="_xch16" hidden="1">#REF!</definedName>
    <definedName name="_xch17" hidden="1">#REF!</definedName>
    <definedName name="_xch19" hidden="1">#REF!</definedName>
    <definedName name="_xch2" hidden="1">#REF!</definedName>
    <definedName name="_xch20" hidden="1">#REF!</definedName>
    <definedName name="_xch21" hidden="1">#REF!</definedName>
    <definedName name="_xch22" hidden="1">#REF!</definedName>
    <definedName name="_xch23" hidden="1">#REF!</definedName>
    <definedName name="_xch25" hidden="1">#REF!</definedName>
    <definedName name="_xch256" hidden="1">#REF!</definedName>
    <definedName name="_xch26" hidden="1">#REF!</definedName>
    <definedName name="_xch3" hidden="1">#REF!</definedName>
    <definedName name="_xch32" hidden="1">#REF!</definedName>
    <definedName name="_xch33" hidden="1">#REF!</definedName>
    <definedName name="_xch4" hidden="1">#REF!</definedName>
    <definedName name="_xch41" hidden="1">#REF!</definedName>
    <definedName name="_xch5" hidden="1">#REF!</definedName>
    <definedName name="_xch6" hidden="1">#REF!</definedName>
    <definedName name="_xch7" hidden="1">#REF!</definedName>
    <definedName name="_xch8" hidden="1">#REF!</definedName>
    <definedName name="_xch9" hidden="1">#REF!</definedName>
    <definedName name="_Year">#REF!</definedName>
    <definedName name="a" hidden="1">#REF!</definedName>
    <definedName name="a111w" hidden="1">{"Annual",#N/A,FALSE,"Sales &amp; Market";"Quarterly",#N/A,FALSE,"Sales &amp; Market"}</definedName>
    <definedName name="A220F220">#REF!</definedName>
    <definedName name="aa" localSheetId="1">balance sheet send</definedName>
    <definedName name="aa">balance sheet send</definedName>
    <definedName name="aaa" localSheetId="1">balance sheet send</definedName>
    <definedName name="aaa">balance sheet send</definedName>
    <definedName name="aaaa">#REF!</definedName>
    <definedName name="aaaaa" localSheetId="1">balance sheet send</definedName>
    <definedName name="aaaaa">balance sheet send</definedName>
    <definedName name="aaaaaa">balance sheet send</definedName>
    <definedName name="AAAAAAAA">#REF!</definedName>
    <definedName name="aaaaaaaaa" hidden="1">{"'Broadway ML#4'!$J$7:$N$490"}</definedName>
    <definedName name="aaaaaaaaaaaaaaaaa" hidden="1">{"'Broadway ML#4'!$J$7:$N$490"}</definedName>
    <definedName name="AAAAAAAAAAAAAAAAAAAAAAA">balance sheet send</definedName>
    <definedName name="aaaaaab">#REF!</definedName>
    <definedName name="aabbbb">#REF!</definedName>
    <definedName name="aas">#REF!</definedName>
    <definedName name="AAUG">#REF!</definedName>
    <definedName name="ab">#REF!</definedName>
    <definedName name="abc" hidden="1">{"one (KEY)",#N/A,FALSE,"P&amp;L"}</definedName>
    <definedName name="abcdefggg">#REF!</definedName>
    <definedName name="abril">#REF!,#REF!,#REF!,#REF!,#REF!,#REF!,#REF!,#REF!,#REF!,#REF!,#REF!,#REF!,#REF!,#REF!</definedName>
    <definedName name="ABRILES">#REF!,#REF!,#REF!,#REF!,#REF!,#REF!,#REF!,#REF!,#REF!,#REF!,#REF!,#REF!,#REF!,#REF!</definedName>
    <definedName name="ac">#REF!</definedName>
    <definedName name="acc">#REF!</definedName>
    <definedName name="accc">#REF!</definedName>
    <definedName name="accc370">#REF!</definedName>
    <definedName name="ACCDEPR">#REF!</definedName>
    <definedName name="AccessDatabase" hidden="1">"P:\F&amp;c\Reports\Forecast\Forecast.mdb"</definedName>
    <definedName name="Account">#REF!</definedName>
    <definedName name="account_table">#REF!</definedName>
    <definedName name="Accountings">#REF!</definedName>
    <definedName name="AccountMan">#REF!</definedName>
    <definedName name="ACCRCOMP">#REF!</definedName>
    <definedName name="ACCRINCTX">#REF!</definedName>
    <definedName name="ACCRINT">#REF!</definedName>
    <definedName name="ACCRPAY">#REF!</definedName>
    <definedName name="ACCRPRLIAB">#REF!</definedName>
    <definedName name="ACCRPSLIAB">#REF!</definedName>
    <definedName name="ACCRTXLIAB">#REF!</definedName>
    <definedName name="ACCRUALS">#REF!</definedName>
    <definedName name="Acct_Perf_Master">#REF!</definedName>
    <definedName name="acd">#REF!</definedName>
    <definedName name="act_bs_input">#REF!</definedName>
    <definedName name="Act_Comment_2">#N/A</definedName>
    <definedName name="Act_Customer">#N/A</definedName>
    <definedName name="act_FA_Additions">#N/A</definedName>
    <definedName name="act_ic_bs">#N/A</definedName>
    <definedName name="act_ic_is">#REF!</definedName>
    <definedName name="act_koi">#N/A</definedName>
    <definedName name="act_last_fcst">#N/A</definedName>
    <definedName name="act_pl_input">#N/A</definedName>
    <definedName name="act_stats">#N/A</definedName>
    <definedName name="actCap">#REF!</definedName>
    <definedName name="actEVA">#REF!</definedName>
    <definedName name="Actfcst" hidden="1">{"'Edit'!$A$1:$V$2277"}</definedName>
    <definedName name="actfcst1" hidden="1">{"'Edit'!$A$1:$V$2277"}</definedName>
    <definedName name="action" hidden="1">{#N/A,#N/A,FALSE,"Summary";#N/A,#N/A,FALSE,"Service";#N/A,#N/A,FALSE,"Carriage";#N/A,#N/A,FALSE,"Backbone"}</definedName>
    <definedName name="ACTJ">#REF!</definedName>
    <definedName name="ACTJ.">#REF!</definedName>
    <definedName name="actOP">#REF!</definedName>
    <definedName name="actOth">#REF!</definedName>
    <definedName name="ActRange">#REF!</definedName>
    <definedName name="actRev">#REF!</definedName>
    <definedName name="Actual">#REF!</definedName>
    <definedName name="ActualBeyond">PeriodInActual*(#REF!&gt;0)</definedName>
    <definedName name="ad">#REF!</definedName>
    <definedName name="adasd" hidden="1">{"one (KEY)",#N/A,FALSE,"P&amp;L"}</definedName>
    <definedName name="add" hidden="1">{"one (KEY)",#N/A,FALSE,"P&amp;L"}</definedName>
    <definedName name="ADD_NSO_DISC">#REF!</definedName>
    <definedName name="ADD_SI_DISC">#REF!</definedName>
    <definedName name="Address">#REF!</definedName>
    <definedName name="ADEC">#REF!</definedName>
    <definedName name="ADF" hidden="1">{"one (KEY)",#N/A,FALSE,"P&amp;L"}</definedName>
    <definedName name="adfas" hidden="1">#REF!</definedName>
    <definedName name="adfgf" hidden="1">{"'Broadway ML#4'!$J$7:$N$490"}</definedName>
    <definedName name="adfs" hidden="1">{"cash",#N/A,FALSE,"Executive Summary";"overview",#N/A,FALSE,"Executive Summary"}</definedName>
    <definedName name="adfsd" hidden="1">{"Annual",#N/A,FALSE,"Sales &amp; Market";"Quarterly",#N/A,FALSE,"Sales &amp; Market"}</definedName>
    <definedName name="adg" hidden="1">#REF!</definedName>
    <definedName name="ADGCXV">balance sheet send</definedName>
    <definedName name="ADGHFJG">balance sheet send</definedName>
    <definedName name="adgjl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Admin_rate">#REF!</definedName>
    <definedName name="ads" hidden="1">#REF!</definedName>
    <definedName name="adsf" hidden="1">{"Annual",#N/A,FALSE,"Sales &amp; Market";"Quarterly",#N/A,FALSE,"Sales &amp; Market"}</definedName>
    <definedName name="adsf1" hidden="1">{"Annual",#N/A,FALSE,"Sales &amp; Market";"Quarterly",#N/A,FALSE,"Sales &amp; Market"}</definedName>
    <definedName name="ADSLSRECBLE">#REF!</definedName>
    <definedName name="ae">#REF!</definedName>
    <definedName name="aejg">#REF!</definedName>
    <definedName name="aetethrshrhrth" hidden="1">{"'Broadway ML#4'!$J$7:$N$490"}</definedName>
    <definedName name="af">#REF!</definedName>
    <definedName name="afasfsf" hidden="1">{"'Broadway ML#4'!$J$7:$N$490"}</definedName>
    <definedName name="afdg" hidden="1">{"one (KEY)",#N/A,FALSE,"P&amp;L"}</definedName>
    <definedName name="AFEB">#REF!</definedName>
    <definedName name="AFFFFFFFFFFFFFF">balance sheet send</definedName>
    <definedName name="afgdfg" hidden="1">{"Jabil - Personal View",#N/A,FALSE,"Passives"}</definedName>
    <definedName name="afsd" hidden="1">{"cash",#N/A,FALSE,"Executive Summary";"overview",#N/A,FALSE,"Executive Summary"}</definedName>
    <definedName name="afsd1" hidden="1">{"cash",#N/A,FALSE,"Executive Summary";"overview",#N/A,FALSE,"Executive Summary"}</definedName>
    <definedName name="afsdffd">balance sheet send</definedName>
    <definedName name="AFSFASF">balance sheet send</definedName>
    <definedName name="AFTER">#REF!</definedName>
    <definedName name="After_Tax_ROIC_Hurdle">#REF!</definedName>
    <definedName name="agdump">#REF!</definedName>
    <definedName name="agdump.">#REF!</definedName>
    <definedName name="agedreceivables">#REF!</definedName>
    <definedName name="agedump">#REF!</definedName>
    <definedName name="agencydump">#REF!</definedName>
    <definedName name="agencydump.">#REF!</definedName>
    <definedName name="AGENCYLY">#REF!</definedName>
    <definedName name="AGENCYLY.">#REF!</definedName>
    <definedName name="AGENCYPLAN">#REF!</definedName>
    <definedName name="AGENCYPLAN.">#REF!</definedName>
    <definedName name="AGFH">balance sheet send</definedName>
    <definedName name="agg" hidden="1">{#N/A,#N/A,FALSE,"Aging Summary";#N/A,#N/A,FALSE,"Ratio Analysis";#N/A,#N/A,FALSE,"Test 120 Day Accts";#N/A,#N/A,FALSE,"Tickmarks"}</definedName>
    <definedName name="agosto">#REF!,#REF!,#REF!,#REF!,#REF!,#REF!,#REF!,#REF!,#REF!,#REF!,#REF!,#REF!,#REF!,#REF!</definedName>
    <definedName name="AGZ">#REF!</definedName>
    <definedName name="aig">#REF!</definedName>
    <definedName name="aigroig">#REF!</definedName>
    <definedName name="AIHmain">#REF!</definedName>
    <definedName name="AIHMB">"文字方塊 11"</definedName>
    <definedName name="AIMaxSpeed">#REF!</definedName>
    <definedName name="AIYN">#REF!</definedName>
    <definedName name="AJAJDALJD" hidden="1">{"'Broadway ML#4'!$J$7:$N$490"}</definedName>
    <definedName name="AJAN">#REF!</definedName>
    <definedName name="ajita">#REF!</definedName>
    <definedName name="AJUL">#REF!</definedName>
    <definedName name="AJUN">#REF!</definedName>
    <definedName name="akhgerg">#REF!</definedName>
    <definedName name="alberto" localSheetId="1">#REF!</definedName>
    <definedName name="alberto">#REF!</definedName>
    <definedName name="alberto_3">#REF!</definedName>
    <definedName name="Alice" hidden="1">{"one (KEY)",#N/A,FALSE,"P&amp;L"}</definedName>
    <definedName name="ALINE_1">#REF!</definedName>
    <definedName name="ALINE_2">#REF!</definedName>
    <definedName name="ALINE_3">#REF!</definedName>
    <definedName name="ALINE_4">#REF!</definedName>
    <definedName name="ALINE_5">#REF!</definedName>
    <definedName name="ALINE_6">#REF!</definedName>
    <definedName name="ALINE_7">#REF!</definedName>
    <definedName name="alkgjr">#REF!</definedName>
    <definedName name="All">#REF!</definedName>
    <definedName name="allinst">#REF!</definedName>
    <definedName name="Alloc">#REF!</definedName>
    <definedName name="AllocatedSGA">#REF!</definedName>
    <definedName name="Allocations">#REF!</definedName>
    <definedName name="AllocTable">#REF!</definedName>
    <definedName name="ALLOWANCE">#REF!</definedName>
    <definedName name="alr">#N/A</definedName>
    <definedName name="ALTATRON">#REF!</definedName>
    <definedName name="AMAR">#REF!</definedName>
    <definedName name="AMAY">#REF!</definedName>
    <definedName name="amer">#REF!</definedName>
    <definedName name="americasdmc">#REF!</definedName>
    <definedName name="AmericasPPV">#REF!</definedName>
    <definedName name="AmericasQMC">#REF!</definedName>
    <definedName name="americasQMP">#REF!</definedName>
    <definedName name="AmericasRevenue">#REF!</definedName>
    <definedName name="americasrevenue2">#REF!</definedName>
    <definedName name="AmericasVAR">#REF!</definedName>
    <definedName name="amos" hidden="1">#REF!</definedName>
    <definedName name="ANA">#REF!</definedName>
    <definedName name="Analysis">#REF!</definedName>
    <definedName name="Analysten">#REF!</definedName>
    <definedName name="Annotate_Area">#REF!</definedName>
    <definedName name="AnnotateNote1">#REF!</definedName>
    <definedName name="AnnotateStart">#REF!</definedName>
    <definedName name="annquote1">#REF!</definedName>
    <definedName name="annquote2">#REF!</definedName>
    <definedName name="annquote3">#REF!</definedName>
    <definedName name="annual">#REF!</definedName>
    <definedName name="Annual_Insertions">#REF!</definedName>
    <definedName name="annual_qty2" hidden="1">{"Annual",#N/A,FALSE,"Sales &amp; Market";"Quarterly",#N/A,FALSE,"Sales &amp; Market"}</definedName>
    <definedName name="annual_quarterly1" hidden="1">{"Annual",#N/A,FALSE,"Sales &amp; Market";"Quarterly",#N/A,FALSE,"Sales &amp; Market"}</definedName>
    <definedName name="Annual_Revenue">#REF!</definedName>
    <definedName name="Annual_ValueAdd">#REF!</definedName>
    <definedName name="ANOV">#REF!</definedName>
    <definedName name="anscount" hidden="1">1</definedName>
    <definedName name="AOCT">#REF!</definedName>
    <definedName name="AOL">#REF!</definedName>
    <definedName name="aoltwx">#REF!</definedName>
    <definedName name="AOM">#REF!</definedName>
    <definedName name="aop">#REF!</definedName>
    <definedName name="aoptable">#REF!</definedName>
    <definedName name="ap">#REF!</definedName>
    <definedName name="APEur">#N/A</definedName>
    <definedName name="Apple">#N/A</definedName>
    <definedName name="Apple_margins">#REF!</definedName>
    <definedName name="AppleNvidia">#N/A</definedName>
    <definedName name="Application">#REF!</definedName>
    <definedName name="ApprovalForm">#REF!</definedName>
    <definedName name="ApprovedSelection">#REF!,#REF!,#REF!,#REF!,#REF!,#REF!,#REF!</definedName>
    <definedName name="ApprovedSelectrions">#REF!,#REF!,#REF!,#REF!,#REF!,#REF!,#REF!</definedName>
    <definedName name="AppTable1">#REF!</definedName>
    <definedName name="AppTable2">#REF!</definedName>
    <definedName name="APR">#REF!</definedName>
    <definedName name="Apri05_Actl">#REF!</definedName>
    <definedName name="april">#REF!</definedName>
    <definedName name="AprSun1">DATEVALUE("4/1/"&amp;#REF!)-WEEKDAY(DATEVALUE("4/1/"&amp;#REF!))+1</definedName>
    <definedName name="AR10_Report">#REF!</definedName>
    <definedName name="AR10LEFT">#REF!</definedName>
    <definedName name="AR10RIGHT">#REF!</definedName>
    <definedName name="AREA">#REF!,#REF!,#REF!,#REF!,#REF!,#REF!,#REF!,#REF!,#REF!</definedName>
    <definedName name="arkgeokg">#REF!</definedName>
    <definedName name="array">#REF!</definedName>
    <definedName name="as">#REF!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df" hidden="1">{#N/A,#N/A,FALSE,"Duran"}</definedName>
    <definedName name="asads" hidden="1">{"Annual",#N/A,FALSE,"Sales &amp; Market";"Quarterly",#N/A,FALSE,"Sales &amp; Market"}</definedName>
    <definedName name="asasf" hidden="1">{"Annual",#N/A,FALSE,"Sales &amp; Market";"Quarterly",#N/A,FALSE,"Sales &amp; Market"}</definedName>
    <definedName name="asbhfk" hidden="1">{"one (KEY)",#N/A,FALSE,"P&amp;L"}</definedName>
    <definedName name="asc" hidden="1">#REF!</definedName>
    <definedName name="asd">#REF!</definedName>
    <definedName name="asda" hidden="1">{"Jabil - Personal View",#N/A,FALSE,"Passives"}</definedName>
    <definedName name="asdad" hidden="1">{"one (KEY)",#N/A,FALSE,"P&amp;L"}</definedName>
    <definedName name="asdas" hidden="1">{"one (KEY)",#N/A,FALSE,"P&amp;L"}</definedName>
    <definedName name="asdasd" hidden="1">{"one (KEY)",#N/A,FALSE,"P&amp;L"}</definedName>
    <definedName name="asdd" hidden="1">{"one (KEY)",#N/A,FALSE,"P&amp;L"}</definedName>
    <definedName name="asdf" hidden="1">{"cash",#N/A,FALSE,"Executive Summary";"overview",#N/A,FALSE,"Executive Summary"}</definedName>
    <definedName name="asdfasdf" hidden="1">{"Annual",#N/A,FALSE,"Sales &amp; Market";"Quarterly",#N/A,FALSE,"Sales &amp; Market"}</definedName>
    <definedName name="asdfasdf1" hidden="1">{"Annual",#N/A,FALSE,"Sales &amp; Market";"Quarterly",#N/A,FALSE,"Sales &amp; Market"}</definedName>
    <definedName name="asdfasdf2" hidden="1">{"Annual",#N/A,FALSE,"Sales &amp; Market";"Quarterly",#N/A,FALSE,"Sales &amp; Market"}</definedName>
    <definedName name="asdfasf" hidden="1">{"Annual",#N/A,FALSE,"Sales &amp; Market";"Quarterly",#N/A,FALSE,"Sales &amp; Market"}</definedName>
    <definedName name="asdfdsa" hidden="1">{#N/A,#N/A,FALSE,"Duran"}</definedName>
    <definedName name="asdfsdf" hidden="1">{"Annual",#N/A,FALSE,"Sales &amp; Market";"Quarterly",#N/A,FALSE,"Sales &amp; Market"}</definedName>
    <definedName name="asdfsdf1" hidden="1">{"Annual",#N/A,FALSE,"Sales &amp; Market";"Quarterly",#N/A,FALSE,"Sales &amp; Market"}</definedName>
    <definedName name="ASDFSDFHG">balance sheet send</definedName>
    <definedName name="asdg" hidden="1">{#N/A,#N/A,FALSE,"Sales"}</definedName>
    <definedName name="asdgh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ASDGHFTHJF">balance sheet send</definedName>
    <definedName name="asdq" hidden="1">{#N/A,#N/A,FALSE,"Sales"}</definedName>
    <definedName name="asdw" hidden="1">{#N/A,#N/A,FALSE,"Sales"}</definedName>
    <definedName name="asdwf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asdwq" hidden="1">{#N/A,#N/A,FALSE,"Sales"}</definedName>
    <definedName name="asdx" hidden="1">{"Annual",#N/A,FALSE,"Sales &amp; Market";"Quarterly",#N/A,FALSE,"Sales &amp; Market"}</definedName>
    <definedName name="asdz" hidden="1">{#N/A,#N/A,FALSE,"Sales"}</definedName>
    <definedName name="asem">#REF!</definedName>
    <definedName name="ASEP">#REF!</definedName>
    <definedName name="asfdasgadgad" hidden="1">{"'Broadway ML#4'!$J$7:$N$490"}</definedName>
    <definedName name="asfgadsfg" hidden="1">{"Jabil - Personal View",#N/A,FALSE,"Passives"}</definedName>
    <definedName name="ASFSDG">balance sheet send</definedName>
    <definedName name="AsiaDMC">#REF!</definedName>
    <definedName name="AsiaPPV">#REF!</definedName>
    <definedName name="AsiaQMC">#REF!</definedName>
    <definedName name="AsiaQMP">#REF!</definedName>
    <definedName name="AsiaRevenue">#REF!</definedName>
    <definedName name="AsiaVAR">#REF!</definedName>
    <definedName name="AsofLaborDate">#REF!</definedName>
    <definedName name="asrdqwe" hidden="1">{"'B-S Accounts Translation'!$A$1:$G$190"}</definedName>
    <definedName name="ass">#REF!</definedName>
    <definedName name="Assemblies">#REF!</definedName>
    <definedName name="ASSEMBLY">#REF!</definedName>
    <definedName name="Assembly.">#REF!</definedName>
    <definedName name="ASSEMBLY..">#REF!</definedName>
    <definedName name="Assembly_Count">#REF!</definedName>
    <definedName name="ASSEMBLY_DETAIL">#REF!</definedName>
    <definedName name="ASSEMBLY_HOURS01">#REF!</definedName>
    <definedName name="ASSEMBLY_HOURS02">#REF!</definedName>
    <definedName name="ASSEMBLY_HOURS03">#REF!</definedName>
    <definedName name="ASSEMBLY_HOURS04">#REF!</definedName>
    <definedName name="ASSEMBLY_HOURS05">#REF!</definedName>
    <definedName name="ASSEMBLY_HOURS06">#REF!</definedName>
    <definedName name="ASSEMBLY_HOURS07">#REF!</definedName>
    <definedName name="ASSEMBLY_HOURS08">#REF!</definedName>
    <definedName name="ASSEMBLY_HOURS09">#REF!</definedName>
    <definedName name="ASSEMBLY_HOURS10">#REF!</definedName>
    <definedName name="ASSEMBLY_HOURS11">#REF!</definedName>
    <definedName name="ASSEMBLY_HOURS12">#REF!</definedName>
    <definedName name="ASSEMBLY_HOURS13">#REF!</definedName>
    <definedName name="ASSEMBLY_HOURS14">#REF!</definedName>
    <definedName name="ASSEMBLY_HOURS15">#REF!</definedName>
    <definedName name="ASSEMBLY_HOURS16">#REF!</definedName>
    <definedName name="ASSEMBLY_HOURS17">#REF!</definedName>
    <definedName name="ASSEMBLY_HOURS18">#REF!</definedName>
    <definedName name="Asset_Category">#REF!</definedName>
    <definedName name="ASSET_TABLE">#REF!</definedName>
    <definedName name="AssetHeader">#REF!</definedName>
    <definedName name="AssetNBV">#REF!</definedName>
    <definedName name="assets">#REF!</definedName>
    <definedName name="AssetTable">#REF!</definedName>
    <definedName name="asssss">#REF!</definedName>
    <definedName name="assumptions">#REF!</definedName>
    <definedName name="assy_list">#REF!</definedName>
    <definedName name="ASSYRATE">#REF!</definedName>
    <definedName name="ASUB_T1">#REF!</definedName>
    <definedName name="ASUB_T2">#REF!</definedName>
    <definedName name="ASUB_T3">#REF!</definedName>
    <definedName name="ASUB_T4">#REF!</definedName>
    <definedName name="ASUB_T5">#REF!</definedName>
    <definedName name="ASUB_T6">#REF!</definedName>
    <definedName name="ASUB_T7">#REF!</definedName>
    <definedName name="ASUST">#REF!</definedName>
    <definedName name="ATS">#REF!</definedName>
    <definedName name="ATSA">#REF!</definedName>
    <definedName name="attachment1">#REF!</definedName>
    <definedName name="attachment2">#REF!</definedName>
    <definedName name="Attribute">#REF!</definedName>
    <definedName name="Attrition">#REF!</definedName>
    <definedName name="AttritionRate">#REF!</definedName>
    <definedName name="AUDITINSPECION" hidden="1">#REF!</definedName>
    <definedName name="AuditInspection2" hidden="1">#REF!</definedName>
    <definedName name="aug">#REF!</definedName>
    <definedName name="Aug05_Act">#REF!</definedName>
    <definedName name="augad" hidden="1">{"one (KEY)",#N/A,FALSE,"P&amp;L"}</definedName>
    <definedName name="augei">#REF!</definedName>
    <definedName name="AugSun1">DATEVALUE("8/1/"&amp;#REF!)-WEEKDAY(DATEVALUE("8/1/"&amp;#REF!))+1</definedName>
    <definedName name="Austin">#REF!</definedName>
    <definedName name="AutoFormatting">TRUE</definedName>
    <definedName name="AutoInsertLabor">#REF!</definedName>
    <definedName name="AutoVins">#REF!</definedName>
    <definedName name="AveOpEx">#REF!</definedName>
    <definedName name="AverageMatLT">#REF!</definedName>
    <definedName name="AvgPrice">#REF!</definedName>
    <definedName name="AvgRT">#REF!</definedName>
    <definedName name="AVL" hidden="1">{"'Broadway ML#4'!$J$7:$N$490"}</definedName>
    <definedName name="awrt" hidden="1">{"Jabil - Personal View",#N/A,FALSE,"Passives"}</definedName>
    <definedName name="ax" hidden="1">{"one (KEY)",#N/A,FALSE,"P&amp;L"}</definedName>
    <definedName name="axdrt" hidden="1">{"Annual",#N/A,FALSE,"Sales &amp; Market";"Quarterly",#N/A,FALSE,"Sales &amp; Market"}</definedName>
    <definedName name="AxesFormat">[0]!AxesFormat</definedName>
    <definedName name="AY_CONTROL_PANEL_LITE">#REF!</definedName>
    <definedName name="AY_TMA">#REF!</definedName>
    <definedName name="az" hidden="1">{#N/A,#N/A,FALSE,"Summary";#N/A,#N/A,FALSE,"Service";#N/A,#N/A,FALSE,"Carriage";#N/A,#N/A,FALSE,"Backbone"}</definedName>
    <definedName name="AZUL">#REF!</definedName>
    <definedName name="AZZZXX" hidden="1">{"one (KEY)",#N/A,FALSE,"P&amp;L"}</definedName>
    <definedName name="b">#REF!</definedName>
    <definedName name="B_DoneDate">#REF!</definedName>
    <definedName name="B_v" hidden="1">{"one (KEY)",#N/A,FALSE,"P&amp;L"}</definedName>
    <definedName name="B0505_P_OHxs_byitem">#REF!</definedName>
    <definedName name="B0703_M_obs_Oh_Invxs_TtlDMD_0_byitem">#REF!</definedName>
    <definedName name="B0705_M_OHxs_byitem">#REF!</definedName>
    <definedName name="B0705_M_OHxs_byproj">#REF!</definedName>
    <definedName name="Baan_Company">#REF!</definedName>
    <definedName name="BaanFin">#REF!</definedName>
    <definedName name="Backend_Lines">#REF!</definedName>
    <definedName name="BackendThres">#REF!</definedName>
    <definedName name="BACKFLUSH">#REF!</definedName>
    <definedName name="BACKUP_1">#REF!</definedName>
    <definedName name="BACKUP_2">#REF!</definedName>
    <definedName name="BACKUP_3">#REF!</definedName>
    <definedName name="BACKUP_4">#REF!</definedName>
    <definedName name="BACKUP_5">#REF!</definedName>
    <definedName name="BACKUP_6">#REF!</definedName>
    <definedName name="BACKUP_7">#REF!</definedName>
    <definedName name="BACKUP_8">#REF!</definedName>
    <definedName name="BACKUP_9">#REF!</definedName>
    <definedName name="BACKUPALL">#REF!</definedName>
    <definedName name="BAL">#REF!</definedName>
    <definedName name="balance">#REF!</definedName>
    <definedName name="Balance_Sheet">#REF!</definedName>
    <definedName name="Balance_Sheet.">#REF!</definedName>
    <definedName name="BalanceSheet">#REF!</definedName>
    <definedName name="Balsht_Input">#REF!</definedName>
    <definedName name="baruch" hidden="1">{"one (KEY)",#N/A,FALSE,"P&amp;L"}</definedName>
    <definedName name="Base">#REF!</definedName>
    <definedName name="Base_Business">#REF!</definedName>
    <definedName name="basic_bom">#REF!</definedName>
    <definedName name="basic_bom._">#REF!</definedName>
    <definedName name="basic_bom.ALID">#REF!</definedName>
    <definedName name="basic_bom.AR1_DATE">#REF!</definedName>
    <definedName name="basic_bom.AR1_DATE_INT">#REF!</definedName>
    <definedName name="basic_bom.AR1_GROUP">#REF!</definedName>
    <definedName name="basic_bom.AR1_NAME">#REF!</definedName>
    <definedName name="basic_bom.AR1_NOTIFY">#REF!</definedName>
    <definedName name="basic_bom.AR1_SWITCH">#REF!</definedName>
    <definedName name="basic_bom.AR2_DATE">#REF!</definedName>
    <definedName name="basic_bom.AR2_DATE_INT">#REF!</definedName>
    <definedName name="basic_bom.AR2_GROUP">#REF!</definedName>
    <definedName name="basic_bom.AR2_NAME">#REF!</definedName>
    <definedName name="basic_bom.AR2_NOTIFY">#REF!</definedName>
    <definedName name="basic_bom.AR2_SWITCH">#REF!</definedName>
    <definedName name="basic_bom.AR3_DATE">#REF!</definedName>
    <definedName name="basic_bom.AR3_DATE_INT">#REF!</definedName>
    <definedName name="basic_bom.AR3_GROUP">#REF!</definedName>
    <definedName name="basic_bom.AR3_NAME">#REF!</definedName>
    <definedName name="basic_bom.AR3_NOTIFY">#REF!</definedName>
    <definedName name="basic_bom.AR3_SWITCH">#REF!</definedName>
    <definedName name="basic_bom.AR4_DATE">#REF!</definedName>
    <definedName name="basic_bom.AR4_DATE_INT">#REF!</definedName>
    <definedName name="basic_bom.AR4_GROUP">#REF!</definedName>
    <definedName name="basic_bom.AR4_NAME">#REF!</definedName>
    <definedName name="basic_bom.AR4_NOTIFY">#REF!</definedName>
    <definedName name="basic_bom.AR4_SWITCH">#REF!</definedName>
    <definedName name="basic_bom.AR5_DATE">#REF!</definedName>
    <definedName name="basic_bom.AR5_DATE_INT">#REF!</definedName>
    <definedName name="basic_bom.AR5_GROUP">#REF!</definedName>
    <definedName name="basic_bom.AR5_NAME">#REF!</definedName>
    <definedName name="basic_bom.AR5_NOTIFY">#REF!</definedName>
    <definedName name="basic_bom.AR5_SWITCH">#REF!</definedName>
    <definedName name="basic_bom.AUTHOR_DATE">#REF!</definedName>
    <definedName name="basic_bom.AUTHOR_DATE_INT">#REF!</definedName>
    <definedName name="basic_bom.AUTHOR_NAME">#REF!</definedName>
    <definedName name="basic_bom.BLANK">#REF!</definedName>
    <definedName name="basic_bom.BOM_COMMENTS">#REF!</definedName>
    <definedName name="basic_bom.CATEGORY_CODE">#REF!</definedName>
    <definedName name="basic_bom.CHANGED">#REF!</definedName>
    <definedName name="basic_bom.CHEM_PART">#REF!</definedName>
    <definedName name="basic_bom.CHILD_ELEMENT">#REF!</definedName>
    <definedName name="basic_bom.CHILD_PART_REV">#REF!</definedName>
    <definedName name="basic_bom.CLASS_NAME">#REF!</definedName>
    <definedName name="basic_bom.CLASS_TYPE">#REF!</definedName>
    <definedName name="basic_bom.COMMENTS">#REF!</definedName>
    <definedName name="basic_bom.CONCAT_DESC">#REF!</definedName>
    <definedName name="basic_bom.COST_COMMENTS">#REF!</definedName>
    <definedName name="basic_bom.CREATE_DATE">#REF!</definedName>
    <definedName name="basic_bom.DERIVED_FROM">#REF!</definedName>
    <definedName name="basic_bom.DERIVED_HOW">#REF!</definedName>
    <definedName name="basic_bom.DESCRIPTION">#REF!</definedName>
    <definedName name="basic_bom.DESIGN_STATUS_RATE">#REF!</definedName>
    <definedName name="basic_bom.DOCUMENT_NUMBER">#REF!</definedName>
    <definedName name="basic_bom.DOCUMENT_RESP">#REF!</definedName>
    <definedName name="basic_bom.EC_PENDING">#REF!</definedName>
    <definedName name="basic_bom.EDC_COST_BASIS">#REF!</definedName>
    <definedName name="basic_bom.EDC_PART_COST">#REF!</definedName>
    <definedName name="basic_bom.EFFECTIVE_FROM">#REF!</definedName>
    <definedName name="basic_bom.EFFECTIVE_TO">#REF!</definedName>
    <definedName name="basic_bom.ELID">#REF!</definedName>
    <definedName name="basic_bom.ENGR_NAME">#REF!</definedName>
    <definedName name="basic_bom.ER_DIVISION">#REF!</definedName>
    <definedName name="basic_bom.EST_CO_CNTRL_DATE">#REF!</definedName>
    <definedName name="basic_bom.EXT_PART_COST">#REF!</definedName>
    <definedName name="basic_bom.EXT_PROJ_COST">#REF!</definedName>
    <definedName name="basic_bom.FINAL_ASSY_LT">#REF!</definedName>
    <definedName name="basic_bom.FUNCTIONAL_BLOCK">#REF!</definedName>
    <definedName name="basic_bom.HC">#REF!</definedName>
    <definedName name="basic_bom.ID_NUMBER">#REF!</definedName>
    <definedName name="basic_bom.IN_PACKET_DMS">#REF!</definedName>
    <definedName name="basic_bom.INFOS">#REF!</definedName>
    <definedName name="basic_bom.INTER_BACKFLUSH">#REF!</definedName>
    <definedName name="basic_bom.JIT_STATUS_FLAG">#REF!</definedName>
    <definedName name="basic_bom.LASTUPDATE_DATE">#REF!</definedName>
    <definedName name="basic_bom.LASTUPDATED_BY">#REF!</definedName>
    <definedName name="basic_bom.LINK_INFOS">#REF!</definedName>
    <definedName name="basic_bom.LINK_LABEL">#REF!</definedName>
    <definedName name="basic_bom.LINK_REF">#REF!</definedName>
    <definedName name="basic_bom.LINK_TYPE">#REF!</definedName>
    <definedName name="basic_bom.MASTER_SCHEDULE">#REF!</definedName>
    <definedName name="basic_bom.MGEO">#REF!</definedName>
    <definedName name="basic_bom.MPN_1">#REF!</definedName>
    <definedName name="basic_bom.MPN_2">#REF!</definedName>
    <definedName name="basic_bom.OBSOLESCENSE_DATE">#REF!</definedName>
    <definedName name="basic_bom.OK_TO_BUY">#REF!</definedName>
    <definedName name="basic_bom.OPTION_NAME">#REF!</definedName>
    <definedName name="basic_bom.OWNER">#REF!</definedName>
    <definedName name="basic_bom.PARENT_ELEMENT">#REF!</definedName>
    <definedName name="basic_bom.PARENT_PACKET">#REF!</definedName>
    <definedName name="basic_bom.PART_OWNER">#REF!</definedName>
    <definedName name="basic_bom.PART_PACKAGE">#REF!</definedName>
    <definedName name="basic_bom.PART_PRESENTATION">#REF!</definedName>
    <definedName name="basic_bom.PART_STATUS">#REF!</definedName>
    <definedName name="basic_bom.PRIMARY_LOCATION">#REF!</definedName>
    <definedName name="basic_bom.PRJCTD_COST">#REF!</definedName>
    <definedName name="basic_bom.PRJCTD_COST_BASIS">#REF!</definedName>
    <definedName name="basic_bom.PROC_STATUS_RATE">#REF!</definedName>
    <definedName name="basic_bom.PROCESS_ENGR">#REF!</definedName>
    <definedName name="basic_bom.PROCUREMENT_ENGR">#REF!</definedName>
    <definedName name="basic_bom.PROD_PART_LT">#REF!</definedName>
    <definedName name="basic_bom.PRODUCT_ENGR">#REF!</definedName>
    <definedName name="basic_bom.PRODUCT_LINE">#REF!</definedName>
    <definedName name="basic_bom.PROJECT_NAME">#REF!</definedName>
    <definedName name="basic_bom.PROTO_PART_LT">#REF!</definedName>
    <definedName name="basic_bom.PULL_POLICY">#REF!</definedName>
    <definedName name="basic_bom.QUANTITY_DMS">#REF!</definedName>
    <definedName name="basic_bom.RD_CONTACT">#REF!</definedName>
    <definedName name="basic_bom.RD_CTLR_NUMBER">#REF!</definedName>
    <definedName name="basic_bom.REF_DESIGNATOR">#REF!</definedName>
    <definedName name="basic_bom.REPL_PART_NUMBER">#REF!</definedName>
    <definedName name="basic_bom.RESERVED_BY">#REF!</definedName>
    <definedName name="basic_bom.RETAIN_RESERVE">#REF!</definedName>
    <definedName name="basic_bom.REV">#REF!</definedName>
    <definedName name="basic_bom.SFU">#REF!</definedName>
    <definedName name="basic_bom.STATE">#REF!</definedName>
    <definedName name="basic_bom.STATE_DATE">#REF!</definedName>
    <definedName name="basic_bom.STD_INFO_ELID">#REF!</definedName>
    <definedName name="basic_bom.STRUCTURE_DMS">#REF!</definedName>
    <definedName name="basic_bom.SUBPARTS">#REF!</definedName>
    <definedName name="basic_bom.SUPPLIER_1">#REF!</definedName>
    <definedName name="basic_bom.SUPPLIER_2">#REF!</definedName>
    <definedName name="basic_bom.UNIQUE_DESC">#REF!</definedName>
    <definedName name="basic_bom.UNIQUE_ID_STRING">#REF!</definedName>
    <definedName name="basic_bom.UNIT_MEASURE">#REF!</definedName>
    <definedName name="basic_bom.VCS_CHG_DESC">#REF!</definedName>
    <definedName name="basic_bom.VCS_CTLR_NUMBER">#REF!</definedName>
    <definedName name="basic_bom.VCS_PART_CLASS">#REF!</definedName>
    <definedName name="basic_bom.VCS_PURCH_CONTACT">#REF!</definedName>
    <definedName name="basic_bom.VIEW_NAME">#REF!</definedName>
    <definedName name="BAT">#REF!</definedName>
    <definedName name="batam">#REF!</definedName>
    <definedName name="batchSize1">#REF!</definedName>
    <definedName name="BATTERY">#REF!</definedName>
    <definedName name="bb" localSheetId="1">balance sheet send</definedName>
    <definedName name="bb">balance sheet send</definedName>
    <definedName name="BB_AP">#REF!</definedName>
    <definedName name="BB_D">#N/A</definedName>
    <definedName name="BB_DSO">#REF!</definedName>
    <definedName name="BB_t">#N/A</definedName>
    <definedName name="BB_Turns">#REF!</definedName>
    <definedName name="bbb" localSheetId="1">balance sheet send</definedName>
    <definedName name="bbb">balance sheet send</definedName>
    <definedName name="BBBB" hidden="1">{"'Broadway ML#4'!$J$7:$N$490"}</definedName>
    <definedName name="bbbbb" hidden="1">{"'Broadway ML#4'!$J$7:$N$490"}</definedName>
    <definedName name="bbbbbbbb" hidden="1">{"'Broadway ML#4'!$J$7:$N$490"}</definedName>
    <definedName name="BBBBBBBBBBBBBBBBBBBB">balance sheet send</definedName>
    <definedName name="BBBBBBBBBBBBBBBBBBBBBB">balance sheet send</definedName>
    <definedName name="bbbr" hidden="1">{#N/A,#N/A,FALSE,"Summary";#N/A,#N/A,FALSE,"Service";#N/A,#N/A,FALSE,"Carriage";#N/A,#N/A,FALSE,"Backbone"}</definedName>
    <definedName name="bc1h7" hidden="1">#REF!</definedName>
    <definedName name="bc23h" hidden="1">#REF!</definedName>
    <definedName name="bc2h0" hidden="1">#REF!</definedName>
    <definedName name="bcht10" hidden="1">#REF!</definedName>
    <definedName name="BCXVBCVN">balance sheet send</definedName>
    <definedName name="BDAIC">#REF!</definedName>
    <definedName name="BDDPO">#REF!</definedName>
    <definedName name="BDDSO">#REF!</definedName>
    <definedName name="BDFTC">#REF!</definedName>
    <definedName name="BDHL">#REF!</definedName>
    <definedName name="BDIFD">#REF!</definedName>
    <definedName name="BDLIC">#REF!</definedName>
    <definedName name="BDLIT">#REF!</definedName>
    <definedName name="BDMC">#REF!</definedName>
    <definedName name="BDNS">#REF!</definedName>
    <definedName name="BDOCT">#REF!</definedName>
    <definedName name="BDOEC">#REF!</definedName>
    <definedName name="BDOFD">#REF!</definedName>
    <definedName name="BDPMC">#REF!</definedName>
    <definedName name="BDRMCC">#REF!</definedName>
    <definedName name="BDRMCT">#REF!</definedName>
    <definedName name="BDSMT">#REF!</definedName>
    <definedName name="BE">#REF!</definedName>
    <definedName name="BEF">#REF!</definedName>
    <definedName name="BEFA">#REF!</definedName>
    <definedName name="BEFORE">#REF!</definedName>
    <definedName name="BeginDate">#REF!</definedName>
    <definedName name="BeginDate2">#REF!</definedName>
    <definedName name="BeginDate3">#REF!</definedName>
    <definedName name="BeginDate4">#REF!</definedName>
    <definedName name="Begining_of_Table">#REF!</definedName>
    <definedName name="BEI">#REF!</definedName>
    <definedName name="Best_Buy">#N/A</definedName>
    <definedName name="betaut" hidden="1">{"one (KEY)",#N/A,FALSE,"P&amp;L"}</definedName>
    <definedName name="BFDGDF">balance sheet send</definedName>
    <definedName name="bff" hidden="1">{"'Broadway ML#4'!$J$7:$N$490"}</definedName>
    <definedName name="BFGFG">balance sheet send</definedName>
    <definedName name="BFRate">#REF!</definedName>
    <definedName name="BG_BP">OFFSET(#REF!,MATCH(#REF!,#REF!,0),1,COUNTIF(#REF!,#REF!))</definedName>
    <definedName name="BG_Del" hidden="1">15</definedName>
    <definedName name="BG_Ins" hidden="1">4</definedName>
    <definedName name="BG_Mod" hidden="1">6</definedName>
    <definedName name="BGAPinCount">#REF!</definedName>
    <definedName name="BGAReworkLabor">#REF!</definedName>
    <definedName name="BGARwk">#REF!</definedName>
    <definedName name="BGATABLE">#REF!</definedName>
    <definedName name="bgt" hidden="1">{"'Broadway ML#4'!$J$7:$N$490"}</definedName>
    <definedName name="BHGGJHJGJH">#REF!</definedName>
    <definedName name="bhgty" hidden="1">{"'Broadway ML#4'!$J$7:$N$490"}</definedName>
    <definedName name="BICost">#REF!</definedName>
    <definedName name="BICust">#REF!</definedName>
    <definedName name="BICycleTime">#REF!</definedName>
    <definedName name="BIDepYN">#REF!</definedName>
    <definedName name="BIGPRINT">#REF!</definedName>
    <definedName name="BILdULdRate">#REF!</definedName>
    <definedName name="BIOS">#REF!</definedName>
    <definedName name="BIRepairTime">#REF!</definedName>
    <definedName name="BITime">#REF!</definedName>
    <definedName name="BIYield">#REF!</definedName>
    <definedName name="BIYN">#REF!</definedName>
    <definedName name="bla" hidden="1">{"one (KEY)",#N/A,FALSE,"P&amp;L"}</definedName>
    <definedName name="blabla" hidden="1">{"one (KEY)",#N/A,FALSE,"P&amp;L"}</definedName>
    <definedName name="Black">"1000000000110110_01-00"</definedName>
    <definedName name="BlackWhiteNote">#REF!</definedName>
    <definedName name="blank">#REF!</definedName>
    <definedName name="BLDG">#REF!</definedName>
    <definedName name="BLDG_1">#REF!</definedName>
    <definedName name="BLDGIMP">#REF!</definedName>
    <definedName name="BLDGIMP_1">#REF!</definedName>
    <definedName name="BLDGREV">#REF!</definedName>
    <definedName name="BLDGREV_1">#REF!</definedName>
    <definedName name="BLENDED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SUM">#REF!</definedName>
    <definedName name="bnm" hidden="1">{#N/A,#N/A,FALSE,"Summary";#N/A,#N/A,FALSE,"Service";#N/A,#N/A,FALSE,"Carriage";#N/A,#N/A,FALSE,"Backbone"}</definedName>
    <definedName name="Board_Length">#REF!</definedName>
    <definedName name="Board_Length..">#REF!</definedName>
    <definedName name="BoardpBI">#REF!</definedName>
    <definedName name="bob">#REF!</definedName>
    <definedName name="body1">#REF!</definedName>
    <definedName name="bom_smt_3">#REF!</definedName>
    <definedName name="BONE">#REF!</definedName>
    <definedName name="Bonus">#N/A</definedName>
    <definedName name="BONUSTAMPOI">#REF!</definedName>
    <definedName name="bord">#REF!</definedName>
    <definedName name="boris">#REF!</definedName>
    <definedName name="bottleneck">#REF!</definedName>
    <definedName name="Box">#N/A</definedName>
    <definedName name="boxbuild_noParts">#REF!</definedName>
    <definedName name="BoxCount">#REF!</definedName>
    <definedName name="BOXTESTREPdef">#REF!</definedName>
    <definedName name="BP_List">#REF!</definedName>
    <definedName name="BPPL_RnO">OFFSET(#REF!,1,0,COUNTA(#REF!)-COUNTBLANK(#REF!)-1)</definedName>
    <definedName name="BraCPMF">#REF!</definedName>
    <definedName name="BraRD">#REF!</definedName>
    <definedName name="BraReb">#REF!</definedName>
    <definedName name="brazil">#REF!</definedName>
    <definedName name="Brazil2">#REF!</definedName>
    <definedName name="Breakout_Report">#REF!</definedName>
    <definedName name="breaktable">#REF!</definedName>
    <definedName name="Brenneman_Cost_Reduction">#REF!</definedName>
    <definedName name="Brenneman_Ext_Cost">#REF!</definedName>
    <definedName name="Brenneman_Reduction_Percentage">#REF!</definedName>
    <definedName name="Brutus" hidden="1">{"'Edit'!$A$1:$V$2277"}</definedName>
    <definedName name="BS_temp" localSheetId="1">balance sheet send</definedName>
    <definedName name="BS_temp">balance sheet send</definedName>
    <definedName name="BSLockandSend">#REF!</definedName>
    <definedName name="BSRate">#REF!</definedName>
    <definedName name="BSStaff">#REF!</definedName>
    <definedName name="BSyield">#REF!</definedName>
    <definedName name="btmside_no_smtParts">#N/A</definedName>
    <definedName name="btmside_xy_table_allowCS1Line5">#N/A</definedName>
    <definedName name="btmside_xy_table_allowCS2Line5">#N/A</definedName>
    <definedName name="btmside_xy_table_allowCS3Line5">#N/A</definedName>
    <definedName name="btmside_xy_table_allowICP1Line5">#N/A</definedName>
    <definedName name="BtmSMTCycleTime">#N/A</definedName>
    <definedName name="BTO_List">#REF!</definedName>
    <definedName name="BUD">#REF!</definedName>
    <definedName name="BUD..">#REF!</definedName>
    <definedName name="buda">#REF!</definedName>
    <definedName name="budget">#REF!</definedName>
    <definedName name="budget1">#REF!</definedName>
    <definedName name="budget2">#REF!</definedName>
    <definedName name="Buffer">#REF!</definedName>
    <definedName name="Buffer_Loader_Unloader">#N/A</definedName>
    <definedName name="bugget2">#REF!</definedName>
    <definedName name="Build">#REF!</definedName>
    <definedName name="Building_2_Labor_Cost_Control____to_Shipment_versus_Target">#REF!,#REF!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LKHEAD">#REF!</definedName>
    <definedName name="BULKHEAD..">#REF!</definedName>
    <definedName name="burden">#REF!,#REF!,#REF!,#REF!,#REF!</definedName>
    <definedName name="BUrev">#REF!</definedName>
    <definedName name="BurninDebugTimeAdder">#REF!</definedName>
    <definedName name="BurninDefaultComp">#REF!</definedName>
    <definedName name="BurnInDLabor">#REF!</definedName>
    <definedName name="BurnInDRepair">#REF!</definedName>
    <definedName name="BurnInDYield">#REF!</definedName>
    <definedName name="BurnInSLabor">#REF!</definedName>
    <definedName name="BurnInSRepair">#REF!</definedName>
    <definedName name="BurnInSYield">#REF!</definedName>
    <definedName name="BusPartnerExistList">#REF!</definedName>
    <definedName name="BuypMonth">#REF!</definedName>
    <definedName name="BW">#REF!</definedName>
    <definedName name="BW..">#REF!</definedName>
    <definedName name="BXBX">balance sheet send</definedName>
    <definedName name="BXDF">balance sheet send</definedName>
    <definedName name="BzPPMHi">#REF!</definedName>
    <definedName name="BzPPMLo">#REF!</definedName>
    <definedName name="BzPPMSu">#REF!</definedName>
    <definedName name="BzPTLHi">#REF!</definedName>
    <definedName name="BzPTLLo">#REF!</definedName>
    <definedName name="BzPTLSu">#REF!</definedName>
    <definedName name="ç" hidden="1">{"one (KEY)",#N/A,FALSE,"P&amp;L"}</definedName>
    <definedName name="C_">#REF!</definedName>
    <definedName name="C_DoneDate">#REF!</definedName>
    <definedName name="CA">#REF!</definedName>
    <definedName name="CABHOME">#REF!</definedName>
    <definedName name="CABLETIME">#REF!</definedName>
    <definedName name="Caccamo">#N/A</definedName>
    <definedName name="cad">#REF!</definedName>
    <definedName name="CADA">#REF!</definedName>
    <definedName name="CAG">#REF!</definedName>
    <definedName name="CALC">#REF!</definedName>
    <definedName name="CalcAgencyPrice">#REF!</definedName>
    <definedName name="CalcAgencyPrice.">#REF!</definedName>
    <definedName name="canada">#REF!</definedName>
    <definedName name="CANCEL" hidden="1">{"'Broadway ML#4'!$J$7:$N$490"}</definedName>
    <definedName name="CANDOANALYSIS">#REF!</definedName>
    <definedName name="CANDOANALYSISDETAILS">#REF!</definedName>
    <definedName name="CANDOANALYSISSOP">#REF!</definedName>
    <definedName name="CanDoBestCanDo_For_Reference_Worksheet">#REF!</definedName>
    <definedName name="CanDoBestCanDo_For_Reference_Worksheet_335">#REF!</definedName>
    <definedName name="CanDoBestCanDo_For_Reference_Worksheet_335_Summary">#REF!</definedName>
    <definedName name="CanDoChart">#REF!</definedName>
    <definedName name="candy" hidden="1">{"'Broadway ML#4'!$J$7:$N$490"}</definedName>
    <definedName name="Cap" hidden="1">{"one (KEY)",#N/A,FALSE,"P&amp;L"}</definedName>
    <definedName name="CapacityAnalysis">#REF!</definedName>
    <definedName name="capex">#REF!</definedName>
    <definedName name="capex1" hidden="1">{"one (KEY)",#N/A,FALSE,"P&amp;L"}</definedName>
    <definedName name="CApex123" hidden="1">{"one (KEY)",#N/A,FALSE,"P&amp;L"}</definedName>
    <definedName name="CAPEX2" hidden="1">{"one (KEY)",#N/A,FALSE,"P&amp;L"}</definedName>
    <definedName name="CAPEX3" hidden="1">{"one (KEY)",#N/A,FALSE,"P&amp;L"}</definedName>
    <definedName name="CapexB" localSheetId="1">balance sheet send</definedName>
    <definedName name="CapexB">balance sheet send</definedName>
    <definedName name="CapexC" hidden="1">{"one (KEY)",#N/A,FALSE,"P&amp;L"}</definedName>
    <definedName name="capexp">#REF!</definedName>
    <definedName name="capexpcba1">#REF!</definedName>
    <definedName name="CAra" hidden="1">{"Jabil - Personal View",#N/A,FALSE,"Passives"}</definedName>
    <definedName name="CARDS">#REF!</definedName>
    <definedName name="Carts">#N/A</definedName>
    <definedName name="CAS" hidden="1">{"'Broadway ML#4'!$J$7:$N$490"}</definedName>
    <definedName name="CASE">#REF!</definedName>
    <definedName name="Cash_Debt">#REF!</definedName>
    <definedName name="Cash_Debt.">#REF!</definedName>
    <definedName name="Cash_Flow">#REF!</definedName>
    <definedName name="Cash_Flow.">#REF!</definedName>
    <definedName name="CASHEQUIV">#REF!</definedName>
    <definedName name="cat">#REF!</definedName>
    <definedName name="Category">#REF!</definedName>
    <definedName name="Cateory">#REF!</definedName>
    <definedName name="cb" hidden="1">#REF!</definedName>
    <definedName name="CB_05PJR">#REF!</definedName>
    <definedName name="CB_32NCC">#REF!</definedName>
    <definedName name="CB_5504D">#REF!</definedName>
    <definedName name="CB_9410W">#REF!</definedName>
    <definedName name="CBCXBXC">balance sheet send</definedName>
    <definedName name="cbs">#REF!</definedName>
    <definedName name="CBSChanges">#REF!</definedName>
    <definedName name="CBSDECDOB">#REF!</definedName>
    <definedName name="CBSSORT">#REF!</definedName>
    <definedName name="cbsvia">#REF!</definedName>
    <definedName name="CBWorkbookPriority" hidden="1">-2053230173</definedName>
    <definedName name="cc" hidden="1">{#N/A,#N/A,FALSE,"Summary";#N/A,#N/A,FALSE,"Service";#N/A,#N/A,FALSE,"Carriage";#N/A,#N/A,FALSE,"Backbone"}</definedName>
    <definedName name="çç" hidden="1">{"one (KEY)",#N/A,FALSE,"P&amp;L"}</definedName>
    <definedName name="cc1h" hidden="1">#REF!</definedName>
    <definedName name="cc1h5" hidden="1">#REF!</definedName>
    <definedName name="cc1h7" hidden="1">#REF!</definedName>
    <definedName name="cc1h9" hidden="1">#REF!</definedName>
    <definedName name="cc2h5" hidden="1">#REF!</definedName>
    <definedName name="cc3h3" hidden="1">#REF!</definedName>
    <definedName name="ccc" hidden="1">{"'Broadway ML#4'!$J$7:$N$490"}</definedName>
    <definedName name="CCCC" hidden="1">{"'Broadway ML#4'!$J$7:$N$490"}</definedName>
    <definedName name="ccccc" hidden="1">{"'Broadway ML#4'!$J$7:$N$490"}</definedName>
    <definedName name="ccccccc" hidden="1">{"'Broadway ML#4'!$J$7:$N$490"}</definedName>
    <definedName name="CCCCCCCCCCCCCCCCCCCC">balance sheet send</definedName>
    <definedName name="ccdec">#REF!</definedName>
    <definedName name="ccnov">#REF!</definedName>
    <definedName name="CCoatingRate">#REF!</definedName>
    <definedName name="ccoct">#REF!</definedName>
    <definedName name="cd" hidden="1">{#N/A,#N/A,FALSE,"Summary";#N/A,#N/A,FALSE,"Service";#N/A,#N/A,FALSE,"Carriage";#N/A,#N/A,FALSE,"Backbone"}</definedName>
    <definedName name="cdefg" hidden="1">{#N/A,#N/A,FALSE,"Sales per customer";#N/A,#N/A,FALSE,"FC vs old FC";#N/A,#N/A,FALSE,"Sales deviation summary";#N/A,#N/A,FALSE,"Quantity deviation";#N/A,#N/A,FALSE,"BOM%"}</definedName>
    <definedName name="cdfButton_Click" localSheetId="1">#REF!</definedName>
    <definedName name="cdfButton_Click">#REF!</definedName>
    <definedName name="cdhg" hidden="1">#REF!</definedName>
    <definedName name="CELESTICA">#REF!</definedName>
    <definedName name="CellAbove">INDIRECT(ADDRESS(ROW()-1,COLUMN()))</definedName>
    <definedName name="CellLeft">INDIRECT(ADDRESS(ROW(),COLUMN()-1))</definedName>
    <definedName name="Cellsdown">#REF!</definedName>
    <definedName name="CER">#REF!</definedName>
    <definedName name="CFCFC">#REF!</definedName>
    <definedName name="CFCHGCGH">#REF!</definedName>
    <definedName name="CFFCVV">#REF!</definedName>
    <definedName name="CFFCWW">#REF!</definedName>
    <definedName name="CFT">#REF!</definedName>
    <definedName name="CFT.">#REF!</definedName>
    <definedName name="CFT..">#REF!</definedName>
    <definedName name="CFTCalcPercent">#REF!</definedName>
    <definedName name="CFTMonths">#REF!</definedName>
    <definedName name="CFTStartingPercent">#REF!</definedName>
    <definedName name="CFVJH">#REF!</definedName>
    <definedName name="CFworksheet2" hidden="1">{"TOTAL",#N/A,FALSE,"Balance Sheet";"SUSASMF",#N/A,FALSE,"Balance Sheet";"SPINE",#N/A,FALSE,"Balance Sheet";"CANADA US",#N/A,FALSE,"Balance Sheet";"ALL ELIM",#N/A,FALSE,"Balance Sheet";"CANADA",#N/A,FALSE,"Balance Sheet"}</definedName>
    <definedName name="CFworksheet3" hidden="1">{"TOTAL",#N/A,FALSE,"Balance Sheet";"SUSASMF",#N/A,FALSE,"Balance Sheet";"SPINE",#N/A,FALSE,"Balance Sheet";"CANADA US",#N/A,FALSE,"Balance Sheet";"ALL ELIM",#N/A,FALSE,"Balance Sheet";"CANADA",#N/A,FALSE,"Balance Sheet"}</definedName>
    <definedName name="cgt" hidden="1">{#N/A,#N/A,FALSE,"Summary";#N/A,#N/A,FALSE,"Service";#N/A,#N/A,FALSE,"Carriage";#N/A,#N/A,FALSE,"Backbone"}</definedName>
    <definedName name="Chart">#REF!,#REF!,#REF!,#REF!,#REF!,#REF!,#REF!,#REF!,#REF!,#REF!,#REF!</definedName>
    <definedName name="CHAW" hidden="1">#N/A</definedName>
    <definedName name="che">#REF!</definedName>
    <definedName name="check2">#REF!</definedName>
    <definedName name="check3">#REF!</definedName>
    <definedName name="Checkbox">#REF!</definedName>
    <definedName name="checked">#REF!</definedName>
    <definedName name="checklistdescription">#REF!</definedName>
    <definedName name="checkout" hidden="1">#REF!</definedName>
    <definedName name="CHF">#REF!</definedName>
    <definedName name="CHFA">#REF!</definedName>
    <definedName name="chgj" hidden="1">#REF!</definedName>
    <definedName name="China">balance sheet send</definedName>
    <definedName name="ChipDerateS">#REF!</definedName>
    <definedName name="ChipMaxS">#REF!</definedName>
    <definedName name="chkIpoPrice">#REF!</definedName>
    <definedName name="choice_amts">#REF!,#REF!,#REF!</definedName>
    <definedName name="choices">#REF!,#REF!,#REF!</definedName>
    <definedName name="cindy">#REF!</definedName>
    <definedName name="CIQWBGuid" hidden="1">"8d59d38b-56c2-4e5b-8bf3-faf636bb3d18"</definedName>
    <definedName name="Circuit_City">#N/A</definedName>
    <definedName name="Cisco_margins">#REF!</definedName>
    <definedName name="cisco1">#REF!</definedName>
    <definedName name="cisco2">#REF!</definedName>
    <definedName name="cisco3">#REF!</definedName>
    <definedName name="cisco4">#REF!</definedName>
    <definedName name="cisco5">#REF!</definedName>
    <definedName name="CiscoCalculations">#REF!</definedName>
    <definedName name="ciscocomplexity">#REF!</definedName>
    <definedName name="ciscoinput">#REF!</definedName>
    <definedName name="ciscolabor">#REF!</definedName>
    <definedName name="CiscoOutput">#REF!</definedName>
    <definedName name="ciscotest">#REF!</definedName>
    <definedName name="CiscoTestInputs">#REF!</definedName>
    <definedName name="CLASS">#REF!</definedName>
    <definedName name="Claus">#REF!</definedName>
    <definedName name="cleanProcess">#N/A</definedName>
    <definedName name="Client">#REF!</definedName>
    <definedName name="Closed">#REF!</definedName>
    <definedName name="CM">#REF!</definedName>
    <definedName name="CMLEFT">#REF!</definedName>
    <definedName name="CMNames">#REF!</definedName>
    <definedName name="CMRIGHT">#REF!</definedName>
    <definedName name="CMTable">#REF!</definedName>
    <definedName name="CNC_MACH_HOURS01">#REF!</definedName>
    <definedName name="CNC_MACH_HOURS02">#REF!</definedName>
    <definedName name="CNC_MACH_HOURS03">#REF!</definedName>
    <definedName name="CNC_MACH_HOURS04">#REF!</definedName>
    <definedName name="CNC_MACH_HOURS05">#REF!</definedName>
    <definedName name="CNC_MACH_HOURS06">#REF!</definedName>
    <definedName name="CNC_MACH_HOURS07">#REF!</definedName>
    <definedName name="CNC_MACH_HOURS08">#REF!</definedName>
    <definedName name="CNC_MACH_HOURS09">#REF!</definedName>
    <definedName name="CNC_MACH_HOURS10">#REF!</definedName>
    <definedName name="CNC_MACH_HOURS11">#REF!</definedName>
    <definedName name="CNC_MACH_HOURS12">#REF!</definedName>
    <definedName name="CNC_MACH_HOURS13">#REF!</definedName>
    <definedName name="CNC_MACH_HOURS14">#REF!</definedName>
    <definedName name="CNC_MACH_HOURS15">#REF!</definedName>
    <definedName name="CNC_MACH_HOURS16">#REF!</definedName>
    <definedName name="CNC_MACH_HOURS17">#REF!</definedName>
    <definedName name="CNC_MACH_HOURS18">#REF!</definedName>
    <definedName name="CNC_PROGRAMMING_HOURS01">#REF!</definedName>
    <definedName name="CNC_PROGRAMMING_HOURS02">#REF!</definedName>
    <definedName name="CNC_PROGRAMMING_HOURS03">#REF!</definedName>
    <definedName name="CNC_PROGRAMMING_HOURS04">#REF!</definedName>
    <definedName name="CNC_PROGRAMMING_HOURS05">#REF!</definedName>
    <definedName name="CNC_PROGRAMMING_HOURS06">#REF!</definedName>
    <definedName name="CNC_PROGRAMMING_HOURS07">#REF!</definedName>
    <definedName name="CNC_PROGRAMMING_HOURS08">#REF!</definedName>
    <definedName name="CNC_PROGRAMMING_HOURS09">#REF!</definedName>
    <definedName name="CNC_PROGRAMMING_HOURS10">#REF!</definedName>
    <definedName name="CNC_PROGRAMMING_HOURS11">#REF!</definedName>
    <definedName name="CNC_PROGRAMMING_HOURS12">#REF!</definedName>
    <definedName name="CNC_PROGRAMMING_HOURS13">#REF!</definedName>
    <definedName name="CNC_PROGRAMMING_HOURS14">#REF!</definedName>
    <definedName name="CNC_PROGRAMMING_HOURS15">#REF!</definedName>
    <definedName name="CNC_PROGRAMMING_HOURS16">#REF!</definedName>
    <definedName name="CNC_PROGRAMMING_HOURS17">#REF!</definedName>
    <definedName name="CNC_PROGRAMMING_HOURS18">#REF!</definedName>
    <definedName name="cnh">#REF!</definedName>
    <definedName name="coah">#REF!</definedName>
    <definedName name="CoatLabor">#REF!</definedName>
    <definedName name="code">#REF!</definedName>
    <definedName name="col">#REF!</definedName>
    <definedName name="col_bs">#REF!,#REF!</definedName>
    <definedName name="col_fa">#N/A</definedName>
    <definedName name="Col_Flex4_IC_Sales">#N/A</definedName>
    <definedName name="col_HC">#N/A</definedName>
    <definedName name="col_IC_BS">#REF!,#REF!,#REF!,#REF!</definedName>
    <definedName name="col_IC_PL">#N/A</definedName>
    <definedName name="col_IC_PL_2">#N/A</definedName>
    <definedName name="col_icbs">#N/A</definedName>
    <definedName name="col_ICPL">#REF!,#REF!</definedName>
    <definedName name="col_key_ratios">#REF!,#REF!</definedName>
    <definedName name="col_koi">#N/A</definedName>
    <definedName name="col_pl">#N/A</definedName>
    <definedName name="col_pl_2">#N/A</definedName>
    <definedName name="col_sales">#N/A</definedName>
    <definedName name="col_sales_2">#N/A</definedName>
    <definedName name="Col_Sales_Tracker">#REF!,#REF!</definedName>
    <definedName name="col_stats">#N/A</definedName>
    <definedName name="Columbia">#REF!</definedName>
    <definedName name="columna" localSheetId="1">#REF!</definedName>
    <definedName name="columna">#REF!</definedName>
    <definedName name="columna_3">#REF!</definedName>
    <definedName name="ColumnTitle1">#REF!</definedName>
    <definedName name="COM">#REF!</definedName>
    <definedName name="com_price">#REF!</definedName>
    <definedName name="COMBINED">#REF!</definedName>
    <definedName name="COMBINEDPANDL">#REF!</definedName>
    <definedName name="combo">#REF!</definedName>
    <definedName name="comdef">#REF!</definedName>
    <definedName name="comeon" hidden="1">{"one (KEY)",#N/A,FALSE,"P&amp;L"}</definedName>
    <definedName name="comment1">#REF!</definedName>
    <definedName name="COMMENT2">#REF!</definedName>
    <definedName name="COMMENT3">#REF!</definedName>
    <definedName name="COMMENT4">#REF!</definedName>
    <definedName name="CommentLine">#N/A</definedName>
    <definedName name="comments">#REF!</definedName>
    <definedName name="Commission">#REF!</definedName>
    <definedName name="Commission.">#REF!</definedName>
    <definedName name="commit">#REF!</definedName>
    <definedName name="Commit_Data" localSheetId="1">#REF!</definedName>
    <definedName name="Commit_Data">#REF!</definedName>
    <definedName name="comp" localSheetId="1">#REF!</definedName>
    <definedName name="COMP">#REF!</definedName>
    <definedName name="COMP_1">#REF!</definedName>
    <definedName name="Comp1Site">#REF!</definedName>
    <definedName name="comp2" hidden="1">{"'B-S Accounts Translation'!$A$1:$G$190"}</definedName>
    <definedName name="Comp2Site">#REF!</definedName>
    <definedName name="Comp3Site">#REF!</definedName>
    <definedName name="COMPANY">#REF!</definedName>
    <definedName name="COMPANY_P_L_AND_B_S">#REF!</definedName>
    <definedName name="CompanyName">#REF!</definedName>
    <definedName name="CompanyName1">#REF!</definedName>
    <definedName name="CompanyName2">#REF!</definedName>
    <definedName name="CompanyName3">#REF!</definedName>
    <definedName name="CompanyTicker1">#REF!</definedName>
    <definedName name="CompanyTicker2">#REF!</definedName>
    <definedName name="CompanyTicker3">#REF!</definedName>
    <definedName name="compar">#N/A</definedName>
    <definedName name="Comparison">#REF!</definedName>
    <definedName name="ComPartCost">#REF!</definedName>
    <definedName name="ComParts">#REF!</definedName>
    <definedName name="CompBS1Flags">#REF!</definedName>
    <definedName name="CompBS2Flags">#REF!</definedName>
    <definedName name="CompBS3Flags">#REF!</definedName>
    <definedName name="COMPCOUNT">#REF!</definedName>
    <definedName name="ComplexMode">#REF!</definedName>
    <definedName name="ComplexTable">#REF!</definedName>
    <definedName name="Component">#REF!</definedName>
    <definedName name="COMPONENTSHORTAGEDETAILS">#REF!</definedName>
    <definedName name="ComponentType">#REF!</definedName>
    <definedName name="CompPL1Flags">#REF!</definedName>
    <definedName name="CompPL1MatFlags">#REF!</definedName>
    <definedName name="CompPL1SI">#REF!</definedName>
    <definedName name="CompPL2Flags">#REF!</definedName>
    <definedName name="CompPL2MatFlags">#REF!</definedName>
    <definedName name="CompPL2SI">#REF!</definedName>
    <definedName name="CompPL3Flags">#REF!</definedName>
    <definedName name="CompPl3MatFlags">#REF!</definedName>
    <definedName name="CompPL3SI">#REF!</definedName>
    <definedName name="CompTable">#REF!</definedName>
    <definedName name="CompUSA">#N/A</definedName>
    <definedName name="computing" hidden="1">{"one (KEY)",#N/A,FALSE,"P&amp;L"}</definedName>
    <definedName name="ConfCoatCust">#REF!</definedName>
    <definedName name="ConfCoatYN">#REF!</definedName>
    <definedName name="CONFIG">#REF!</definedName>
    <definedName name="consol">#REF!</definedName>
    <definedName name="consol1">#REF!</definedName>
    <definedName name="consolflx">#REF!</definedName>
    <definedName name="consum">#REF!</definedName>
    <definedName name="Contact">#REF!</definedName>
    <definedName name="converter">#REF!</definedName>
    <definedName name="converter2">#REF!</definedName>
    <definedName name="Conveyors">#N/A</definedName>
    <definedName name="COPY">#REF!</definedName>
    <definedName name="copy_area">#REF!</definedName>
    <definedName name="COPY_IC_TABLE">#REF!</definedName>
    <definedName name="copy1" localSheetId="1">#REF!</definedName>
    <definedName name="copy1">#REF!</definedName>
    <definedName name="COPYIC">#REF!</definedName>
    <definedName name="cork">#N/A</definedName>
    <definedName name="CORKNYV1">#REF!</definedName>
    <definedName name="CORKNYV2">#REF!</definedName>
    <definedName name="CORKNYV3">#REF!</definedName>
    <definedName name="Corp.Procurement">#REF!</definedName>
    <definedName name="Corp_Admin">#N/A</definedName>
    <definedName name="Corp_Cent_Price">#N/A</definedName>
    <definedName name="Corp_Eng">#N/A</definedName>
    <definedName name="Corp_Finance">#N/A</definedName>
    <definedName name="Corp_HR">#N/A</definedName>
    <definedName name="Corp_HS">#N/A</definedName>
    <definedName name="Corp_IT">#N/A</definedName>
    <definedName name="Corp_Lean">#N/A</definedName>
    <definedName name="Corp_Mktg">#N/A</definedName>
    <definedName name="Corp_Ops">#N/A</definedName>
    <definedName name="Corp_Quality">#N/A</definedName>
    <definedName name="Corp_RD">#N/A</definedName>
    <definedName name="Corp_Sales">#N/A</definedName>
    <definedName name="Corp_Supply">#N/A</definedName>
    <definedName name="Corp_Train">#N/A</definedName>
    <definedName name="Corporate" hidden="1">{#N/A,#N/A,FALSE,"Op_Stmt";#N/A,#N/A,FALSE,"Consol_Op_Stmt";#N/A,#N/A,FALSE,"rev_summ";#N/A,#N/A,FALSE,"Unit_Summ";#N/A,#N/A,FALSE,"EBIT_summ";#N/A,#N/A,FALSE,"RONA_NetAssets"}</definedName>
    <definedName name="CorpWACC">#REF!</definedName>
    <definedName name="COSMETIC">#REF!</definedName>
    <definedName name="COSMO" hidden="1">{"'Broadway ML#4'!$J$7:$N$490"}</definedName>
    <definedName name="COSRetRange">#REF!</definedName>
    <definedName name="cost">#REF!</definedName>
    <definedName name="COST_">#REF!</definedName>
    <definedName name="Cost_Centers">#REF!</definedName>
    <definedName name="Cost_of_Capital">#REF!</definedName>
    <definedName name="Cost_of_Capital.">#REF!</definedName>
    <definedName name="Costco">#N/A</definedName>
    <definedName name="CostRegion">#N/A</definedName>
    <definedName name="count">#N/A</definedName>
    <definedName name="Country">#REF!</definedName>
    <definedName name="country_table">#REF!</definedName>
    <definedName name="CountryRiskTable">#REF!</definedName>
    <definedName name="coversheet">#REF!</definedName>
    <definedName name="cp">OFFSET(#REF!,,,COUNTA(#REF!)-1)</definedName>
    <definedName name="cpcbpa">#REF!</definedName>
    <definedName name="CPCPRO">#REF!</definedName>
    <definedName name="CPEX2" hidden="1">{"one (KEY)",#N/A,FALSE,"P&amp;L"}</definedName>
    <definedName name="cpk_Area_Style_Click" localSheetId="1">#REF!</definedName>
    <definedName name="cpk_Area_Style_Click">#REF!</definedName>
    <definedName name="cpk_Change_LSL_Click" localSheetId="1">#REF!</definedName>
    <definedName name="cpk_Change_LSL_Click">#REF!</definedName>
    <definedName name="cpk_Change_USL_Click" localSheetId="1">#REF!</definedName>
    <definedName name="cpk_Change_USL_Click">#REF!</definedName>
    <definedName name="cpk_Line_Style_Click" localSheetId="1">#REF!</definedName>
    <definedName name="cpk_Line_Style_Click">#REF!</definedName>
    <definedName name="cpk_No_LSL_Click" localSheetId="1">#REF!</definedName>
    <definedName name="cpk_No_LSL_Click">#REF!</definedName>
    <definedName name="cpk_No_USL_Click" localSheetId="1">#REF!</definedName>
    <definedName name="cpk_No_USL_Click">#REF!</definedName>
    <definedName name="cpk_Res_Spinner_Click" localSheetId="1">#REF!</definedName>
    <definedName name="cpk_Res_Spinner_Click">#REF!</definedName>
    <definedName name="cpkButton_Click" localSheetId="1">#REF!</definedName>
    <definedName name="cpkButton_Click">#REF!</definedName>
    <definedName name="CR">#REF!</definedName>
    <definedName name="CreditRatingList">#REF!</definedName>
    <definedName name="CreditRiskTable">#REF!</definedName>
    <definedName name="creed">#REF!</definedName>
    <definedName name="Creedmoor">#REF!</definedName>
    <definedName name="_xlnm.Criteria">#REF!</definedName>
    <definedName name="Criteria_MI">#N/A</definedName>
    <definedName name="Criteriao">#N/A</definedName>
    <definedName name="CriticalShortage">#REF!</definedName>
    <definedName name="CRITICALSHORTAGEDETAILS">#REF!</definedName>
    <definedName name="crknyann">#REF!</definedName>
    <definedName name="crknyannv2">#REF!</definedName>
    <definedName name="crknyannv3">#REF!</definedName>
    <definedName name="Crng_Landscape">#REF!</definedName>
    <definedName name="Crng_Normal">#REF!</definedName>
    <definedName name="Crng_Portrait">#REF!</definedName>
    <definedName name="Crng_WPane">#REF!</definedName>
    <definedName name="Crocodile">#REF!</definedName>
    <definedName name="CS_Aktienkennzahlen_ENGLISH">#REF!</definedName>
    <definedName name="CS_Aktienkennzahlen_GERMAN">#REF!</definedName>
    <definedName name="CS_GuV_ENGLISH">#REF!</definedName>
    <definedName name="CS_GuV_GERMAN">#REF!</definedName>
    <definedName name="CS_Unternehmenszahlen_ENGLISH">#REF!</definedName>
    <definedName name="CS_Unternehmenszahlen_GERMAN">#REF!</definedName>
    <definedName name="CSCM">#REF!</definedName>
    <definedName name="CSCMMthWg">#REF!</definedName>
    <definedName name="csDesignMode">1</definedName>
    <definedName name="Curr" hidden="1">{"one (KEY)",#N/A,FALSE,"P&amp;L"}</definedName>
    <definedName name="CurrCost">#REF!</definedName>
    <definedName name="Currency">#REF!</definedName>
    <definedName name="Currency_Types">#REF!</definedName>
    <definedName name="CurrencyCell">#REF!</definedName>
    <definedName name="CurrencySymbol">#REF!</definedName>
    <definedName name="CurrencyTable">#REF!</definedName>
    <definedName name="Current">#REF!</definedName>
    <definedName name="currentchklistrev">#REF!</definedName>
    <definedName name="CURRENTQTR1DECREASEDOLLAR">#REF!</definedName>
    <definedName name="CURRENTQTR1DECREASEQTY">#REF!</definedName>
    <definedName name="CURRENTQTR1INCREASEDOLLAR">#REF!</definedName>
    <definedName name="CURRENTQTR1INCREASEQTY">#REF!</definedName>
    <definedName name="CURRENTQUARTERDECREASEDOLLAR">#REF!</definedName>
    <definedName name="CURRENTQUARTERDECREASEQTY">#REF!</definedName>
    <definedName name="CURRENTQUARTERINCREASEDOLLAR">#REF!</definedName>
    <definedName name="CURRENTQUARTERINCREASEQTY">#REF!</definedName>
    <definedName name="cust">#REF!</definedName>
    <definedName name="cust_master">#REF!</definedName>
    <definedName name="cust2">#REF!</definedName>
    <definedName name="cust3">#REF!</definedName>
    <definedName name="custconv">#REF!</definedName>
    <definedName name="Customer">#REF!</definedName>
    <definedName name="CustomerLookup">#REF!</definedName>
    <definedName name="customers">#REF!</definedName>
    <definedName name="customers2">#REF!</definedName>
    <definedName name="customers6">#REF!</definedName>
    <definedName name="CustomIndexDate">#REF!</definedName>
    <definedName name="CustomIndexValue">#REF!</definedName>
    <definedName name="custtotals">#REF!</definedName>
    <definedName name="cutoff">#REF!</definedName>
    <definedName name="cv">#REF!</definedName>
    <definedName name="CVBXCVBXB">balance sheet send</definedName>
    <definedName name="cvc" hidden="1">{"'Broadway ML#4'!$J$7:$N$490"}</definedName>
    <definedName name="cvgjdhj" hidden="1">#REF!</definedName>
    <definedName name="CY">#REF!</definedName>
    <definedName name="CY_Data">OFFSET(#REF!,0,0,1,COUNTA(#REF!))</definedName>
    <definedName name="CY_YTD_RetRange">#REF!</definedName>
    <definedName name="CYCLETIME">#REF!</definedName>
    <definedName name="cycletime_secsAxial">#N/A</definedName>
    <definedName name="cycletime_secsDIP">#N/A</definedName>
    <definedName name="cycletime_secsRadial">#N/A</definedName>
    <definedName name="cyzs" hidden="1">{#N/A,#N/A,FALSE,"Sales per customer";#N/A,#N/A,FALSE,"FC vs old FC";#N/A,#N/A,FALSE,"Sales deviation summary";#N/A,#N/A,FALSE,"Quantity deviation";#N/A,#N/A,FALSE,"BOM%"}</definedName>
    <definedName name="CZKA">#REF!</definedName>
    <definedName name="czz" hidden="1">{"'Broadway ML#4'!$J$7:$N$490"}</definedName>
    <definedName name="d" hidden="1">{"one (KEY)",#N/A,FALSE,"P&amp;L"}</definedName>
    <definedName name="D_DoneDate">#REF!</definedName>
    <definedName name="D1ER">#REF!</definedName>
    <definedName name="d2c4" hidden="1">#REF!</definedName>
    <definedName name="D2DO">#REF!</definedName>
    <definedName name="D3ER">#REF!</definedName>
    <definedName name="da" hidden="1">{"Jabil - Personal View",#N/A,FALSE,"Passives"}</definedName>
    <definedName name="dad" hidden="1">{"one (KEY)",#N/A,FALSE,"P&amp;L"}</definedName>
    <definedName name="dadh1" hidden="1">{"Annual",#N/A,FALSE,"Sales &amp; Market";"Quarterly",#N/A,FALSE,"Sales &amp; Market"}</definedName>
    <definedName name="dadh2" hidden="1">{"Annual",#N/A,FALSE,"Sales &amp; Market";"Quarterly",#N/A,FALSE,"Sales &amp; Market"}</definedName>
    <definedName name="dag">#REF!</definedName>
    <definedName name="Daily">#REF!</definedName>
    <definedName name="DARIES">#REF!</definedName>
    <definedName name="DaRWk1">#REF!</definedName>
    <definedName name="Darwk1.">#REF!</definedName>
    <definedName name="DaRWk10">#REF!</definedName>
    <definedName name="Darwk10.">#REF!</definedName>
    <definedName name="DaRWk11">#REF!</definedName>
    <definedName name="Darwk11.">#REF!</definedName>
    <definedName name="DaRWk12">#REF!</definedName>
    <definedName name="Darwk12.">#REF!</definedName>
    <definedName name="DaRWk2">#REF!</definedName>
    <definedName name="Darwk2.">#REF!</definedName>
    <definedName name="DaRWk3">#REF!</definedName>
    <definedName name="Darwk3.">#REF!</definedName>
    <definedName name="DaRWk4">#REF!</definedName>
    <definedName name="Darwk4.">#REF!</definedName>
    <definedName name="DaRWk5">#REF!</definedName>
    <definedName name="Darwk5.">#REF!</definedName>
    <definedName name="DaRWk6">#REF!</definedName>
    <definedName name="Darwk6.">#REF!</definedName>
    <definedName name="DaRWk8">#REF!</definedName>
    <definedName name="Darwk8.">#REF!</definedName>
    <definedName name="DaRwk9">#REF!</definedName>
    <definedName name="Darwk9.">#REF!</definedName>
    <definedName name="das" hidden="1">{"Jabil - Personal View",#N/A,FALSE,"Passives"}</definedName>
    <definedName name="Dashboard">#REF!</definedName>
    <definedName name="dashboard2">#REF!</definedName>
    <definedName name="dassd" hidden="1">{"Jabil - Personal View",#N/A,FALSE,"Passives"}</definedName>
    <definedName name="DAT1886846">#REF!</definedName>
    <definedName name="data" hidden="1">#REF!</definedName>
    <definedName name="Data.Row.Count">#REF!</definedName>
    <definedName name="Data_Table_2">#REF!</definedName>
    <definedName name="Data_Table_3">#REF!</definedName>
    <definedName name="Data_Table_4">#REF!</definedName>
    <definedName name="data0" hidden="1">{"budget",#N/A,FALSE,"4011"}</definedName>
    <definedName name="data1">#REF!</definedName>
    <definedName name="DATA10">#REF!</definedName>
    <definedName name="data101802">#REF!</definedName>
    <definedName name="DATA11">#REF!</definedName>
    <definedName name="Data116" hidden="1">{#N/A,#N/A,FALSE,"Sales"}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5">#REF!</definedName>
    <definedName name="DATA6">#REF!</definedName>
    <definedName name="DATA7">#REF!</definedName>
    <definedName name="DATA8">#REF!</definedName>
    <definedName name="data80902">#REF!</definedName>
    <definedName name="data8202">#REF!</definedName>
    <definedName name="data82302">#REF!</definedName>
    <definedName name="DATA9">#REF!</definedName>
    <definedName name="DataAdjust">#REF!</definedName>
    <definedName name="_xlnm.Database">#REF!</definedName>
    <definedName name="Database.">#REF!</definedName>
    <definedName name="Database..">#REF!</definedName>
    <definedName name="Database_MI">#N/A</definedName>
    <definedName name="database1900">#REF!</definedName>
    <definedName name="database2900flx">#REF!</definedName>
    <definedName name="database2900fmx">#REF!</definedName>
    <definedName name="DataRange">#REF!</definedName>
    <definedName name="datatable">#REF!</definedName>
    <definedName name="Date">#REF!</definedName>
    <definedName name="DateClos">#REF!</definedName>
    <definedName name="DateFG0">#REF!</definedName>
    <definedName name="DateReq">#REF!</definedName>
    <definedName name="DateSubmit">#REF!</definedName>
    <definedName name="DATOS">#REF!</definedName>
    <definedName name="david">#REF!</definedName>
    <definedName name="dawd" hidden="1">{"one (KEY)",#N/A,FALSE,"P&amp;L"}</definedName>
    <definedName name="DaWk7">#REF!</definedName>
    <definedName name="Dawk7.">#REF!</definedName>
    <definedName name="Day">#REF!</definedName>
    <definedName name="DAY_IO">#REF!</definedName>
    <definedName name="day_range">#REF!</definedName>
    <definedName name="day_range.">#REF!</definedName>
    <definedName name="day_range..">#REF!</definedName>
    <definedName name="DAY_TOTAL">#REF!</definedName>
    <definedName name="DAY2WEEK">#REF!</definedName>
    <definedName name="DaypMonth">#REF!</definedName>
    <definedName name="DayspYear">#REF!</definedName>
    <definedName name="daysrange">#REF!</definedName>
    <definedName name="daysrange.">#REF!</definedName>
    <definedName name="daysrange..">#REF!</definedName>
    <definedName name="DB" localSheetId="1">#REF!</definedName>
    <definedName name="DB">#REF!</definedName>
    <definedName name="DB_3">#REF!</definedName>
    <definedName name="DBASE">#REF!</definedName>
    <definedName name="dbrwk1">#REF!</definedName>
    <definedName name="dbrwk1.">#REF!</definedName>
    <definedName name="dbrwk10">#REF!</definedName>
    <definedName name="dbrwk10.">#REF!</definedName>
    <definedName name="dbrwk11">#REF!</definedName>
    <definedName name="dbrwk11.">#REF!</definedName>
    <definedName name="dbrwk12">#REF!</definedName>
    <definedName name="dbrwk12.">#REF!</definedName>
    <definedName name="dbrwk2">#REF!</definedName>
    <definedName name="dbrwk2.">#REF!</definedName>
    <definedName name="dbrwk3">#REF!</definedName>
    <definedName name="dbrwk3.">#REF!</definedName>
    <definedName name="dbrwk4">#REF!</definedName>
    <definedName name="dbrwk4.">#REF!</definedName>
    <definedName name="dbrwk5">#REF!</definedName>
    <definedName name="dbrwk5.">#REF!</definedName>
    <definedName name="dbrwk6">#REF!</definedName>
    <definedName name="dbrwk6.">#REF!</definedName>
    <definedName name="dbrwk7">#REF!</definedName>
    <definedName name="dbrwk7.">#REF!</definedName>
    <definedName name="dbrwk8">#REF!</definedName>
    <definedName name="dbrwk8.">#REF!</definedName>
    <definedName name="dbrwk9">#REF!</definedName>
    <definedName name="dbrwk9.">#REF!</definedName>
    <definedName name="DBTACCTSADV">#REF!</definedName>
    <definedName name="dc" hidden="1">#REF!</definedName>
    <definedName name="DC_S">#REF!</definedName>
    <definedName name="dc1h4" hidden="1">#REF!</definedName>
    <definedName name="dc2h1" hidden="1">#REF!</definedName>
    <definedName name="dc2h6" hidden="1">#REF!</definedName>
    <definedName name="dcfd">#REF!</definedName>
    <definedName name="DCONSOLA">#REF!</definedName>
    <definedName name="dcrwk1">#REF!</definedName>
    <definedName name="dcrwk1.">#REF!</definedName>
    <definedName name="dcrwk10">#REF!</definedName>
    <definedName name="dcrwk10.">#REF!</definedName>
    <definedName name="dcrwk11">#REF!</definedName>
    <definedName name="dcrwk11.">#REF!</definedName>
    <definedName name="dcrwk12">#REF!</definedName>
    <definedName name="dcrwk12.">#REF!</definedName>
    <definedName name="dcrwk2">#REF!</definedName>
    <definedName name="dcrwk2.">#REF!</definedName>
    <definedName name="dcrwk3">#REF!</definedName>
    <definedName name="dcrwk3.">#REF!</definedName>
    <definedName name="dcrwk4">#REF!</definedName>
    <definedName name="dcrwk4.">#REF!</definedName>
    <definedName name="dcrwk5">#REF!</definedName>
    <definedName name="dcrwk5.">#REF!</definedName>
    <definedName name="dcrwk6">#REF!</definedName>
    <definedName name="dcrwk6.">#REF!</definedName>
    <definedName name="dcrwk7">#REF!</definedName>
    <definedName name="dcrwk7.">#REF!</definedName>
    <definedName name="dcrwk8">#REF!</definedName>
    <definedName name="dcrwk8.">#REF!</definedName>
    <definedName name="dcrwk9">#REF!</definedName>
    <definedName name="dcrwk9.">#REF!</definedName>
    <definedName name="dcw" hidden="1">{#N/A,#N/A,FALSE,"Summary";#N/A,#N/A,FALSE,"Service";#N/A,#N/A,FALSE,"Carriage";#N/A,#N/A,FALSE,"Backbone"}</definedName>
    <definedName name="DCWMCARN">#REF!</definedName>
    <definedName name="dd">#REF!</definedName>
    <definedName name="DDA">#REF!</definedName>
    <definedName name="DDD" hidden="1">{"one (KEY)",#N/A,FALSE,"P&amp;L"}</definedName>
    <definedName name="dddd">#REF!</definedName>
    <definedName name="ddddddd" hidden="1">{"'Broadway ML#4'!$J$7:$N$490"}</definedName>
    <definedName name="DDDDDDDDDDD">balance sheet send</definedName>
    <definedName name="dddddddddddd" hidden="1">{"one (KEY)",#N/A,FALSE,"P&amp;L"}</definedName>
    <definedName name="DDDDDDDDDDDDDDDDD">balance sheet send</definedName>
    <definedName name="ddf" hidden="1">{"one (KEY)",#N/A,FALSE,"P&amp;L"}</definedName>
    <definedName name="DDFDGGGFGFGBFG">balance sheet send</definedName>
    <definedName name="DDFF">balance sheet send</definedName>
    <definedName name="ddfhjfhk" hidden="1">#REF!</definedName>
    <definedName name="de">#REF!</definedName>
    <definedName name="debt" hidden="1">{"Annual",#N/A,FALSE,"Sales &amp; Market";"Quarterly",#N/A,FALSE,"Sales &amp; Market"}</definedName>
    <definedName name="debt1" hidden="1">{"Annual",#N/A,FALSE,"Sales &amp; Market";"Quarterly",#N/A,FALSE,"Sales &amp; Market"}</definedName>
    <definedName name="DEBUG_HOURS01">#REF!</definedName>
    <definedName name="DEBUG_HOURS02">#REF!</definedName>
    <definedName name="DEBUG_HOURS03">#REF!</definedName>
    <definedName name="DEBUG_HOURS04">#REF!</definedName>
    <definedName name="DEBUG_HOURS05">#REF!</definedName>
    <definedName name="DEBUG_HOURS06">#REF!</definedName>
    <definedName name="DEBUG_HOURS07">#REF!</definedName>
    <definedName name="DEBUG_HOURS08">#REF!</definedName>
    <definedName name="DEBUG_HOURS09">#REF!</definedName>
    <definedName name="DEBUG_HOURS10">#REF!</definedName>
    <definedName name="DEBUG_HOURS11">#REF!</definedName>
    <definedName name="DEBUG_HOURS12">#REF!</definedName>
    <definedName name="DEBUG_HOURS13">#REF!</definedName>
    <definedName name="DEBUG_HOURS14">#REF!</definedName>
    <definedName name="DEBUG_HOURS15">#REF!</definedName>
    <definedName name="DEBUG_HOURS16">#REF!</definedName>
    <definedName name="DEBUG_HOURS17">#REF!</definedName>
    <definedName name="DEBUG_HOURS18">#REF!</definedName>
    <definedName name="debug_timeFunctional1">#N/A</definedName>
    <definedName name="debug_timeFunctional2">#N/A</definedName>
    <definedName name="debug_timeFunctional3">#N/A</definedName>
    <definedName name="debug_timeHiPot">#N/A</definedName>
    <definedName name="debug_timeICT">#N/A</definedName>
    <definedName name="debug_timeLife">#N/A</definedName>
    <definedName name="debug_timeSystems">#N/A</definedName>
    <definedName name="dec">#REF!</definedName>
    <definedName name="Dec05_Act">#REF!</definedName>
    <definedName name="DecFilings">#REF!</definedName>
    <definedName name="DecSun1">DATEVALUE("12/1/"&amp;#REF!)-WEEKDAY(DATEVALUE("12/1/"&amp;#REF!))+1</definedName>
    <definedName name="DedicatedLine">#REF!</definedName>
    <definedName name="DedicatedTest">#REF!</definedName>
    <definedName name="DefaultDoneDate">#REF!</definedName>
    <definedName name="Defcode">#REF!</definedName>
    <definedName name="DEFECT">#REF!</definedName>
    <definedName name="DEFREV">#REF!</definedName>
    <definedName name="DEFRVLT">#REF!</definedName>
    <definedName name="DELARUE">#REF!</definedName>
    <definedName name="DELAY">#REF!</definedName>
    <definedName name="delay_PO_release_2">#REF!</definedName>
    <definedName name="DelDC">#REF!</definedName>
    <definedName name="DelDC.">#REF!</definedName>
    <definedName name="DelDm">#REF!</definedName>
    <definedName name="DelDm.">#REF!</definedName>
    <definedName name="DELHOME">#REF!</definedName>
    <definedName name="Delivery">#REF!</definedName>
    <definedName name="Delivery.">#REF!</definedName>
    <definedName name="DeliveryModel">#REF!</definedName>
    <definedName name="DeliveryModelTable">#REF!</definedName>
    <definedName name="DeltCost">#REF!</definedName>
    <definedName name="DelType">#REF!</definedName>
    <definedName name="DelType.">#REF!</definedName>
    <definedName name="DEM">#REF!</definedName>
    <definedName name="DEMA">#REF!</definedName>
    <definedName name="demand">#REF!</definedName>
    <definedName name="Demand_Category_200909_v909">#REF!</definedName>
    <definedName name="Demand_Category_200910_v184">#REF!</definedName>
    <definedName name="DEMANDA" localSheetId="1">#REF!</definedName>
    <definedName name="DEMANDA">#REF!</definedName>
    <definedName name="DEMANDA_3">#REF!</definedName>
    <definedName name="DemandCat1">#REF!</definedName>
    <definedName name="DemandCompare_For_Reference_Worksheet">#REF!</definedName>
    <definedName name="DemandCompare_For_Reference_Worksheet_335">#REF!</definedName>
    <definedName name="DemandCompare_For_Reference_Worksheet_335_Summary">#REF!</definedName>
    <definedName name="DEMO">#REF!</definedName>
    <definedName name="DepanelLabor">#REF!</definedName>
    <definedName name="DepanTime">#REF!</definedName>
    <definedName name="Department_List">#REF!</definedName>
    <definedName name="depcn">#REF!</definedName>
    <definedName name="Depr">#REF!</definedName>
    <definedName name="deptLookup">#REF!</definedName>
    <definedName name="deptlookup.">#REF!</definedName>
    <definedName name="der" hidden="1">{"Annual",#N/A,FALSE,"Sales &amp; Market";"Quarterly",#N/A,FALSE,"Sales &amp; Market"}</definedName>
    <definedName name="Description">#REF!</definedName>
    <definedName name="DESGN">#REF!</definedName>
    <definedName name="DESIGN_COST01">#REF!</definedName>
    <definedName name="DESIGN_HOURS01">#REF!</definedName>
    <definedName name="DESIGN_HOURS02">#REF!</definedName>
    <definedName name="DESIGN_HOURS03">#REF!</definedName>
    <definedName name="DESIGN_HOURS04">#REF!</definedName>
    <definedName name="DESIGN_HOURS05">#REF!</definedName>
    <definedName name="DESIGN_HOURS06">#REF!</definedName>
    <definedName name="DESIGN_HOURS07">#REF!</definedName>
    <definedName name="DESIGN_HOURS08">#REF!</definedName>
    <definedName name="DESIGN_HOURS09">#REF!</definedName>
    <definedName name="DESIGN_HOURS10">#REF!</definedName>
    <definedName name="DESIGN_HOURS11">#REF!</definedName>
    <definedName name="DESIGN_HOURS12">#REF!</definedName>
    <definedName name="DESIGN_HOURS13">#REF!</definedName>
    <definedName name="DESIGN_HOURS14">#REF!</definedName>
    <definedName name="DESIGN_HOURS15">#REF!</definedName>
    <definedName name="DESIGN_HOURS16">#REF!</definedName>
    <definedName name="DESIGN_HOURS17">#REF!</definedName>
    <definedName name="DESIGN_HOURS18">#REF!</definedName>
    <definedName name="DET">#REF!</definedName>
    <definedName name="Detail">#REF!</definedName>
    <definedName name="Detail___0">#REF!</definedName>
    <definedName name="DETAILS">#REF!</definedName>
    <definedName name="details1">#REF!</definedName>
    <definedName name="detg" hidden="1">{"one (KEY)",#N/A,FALSE,"P&amp;L"}</definedName>
    <definedName name="DEV">#REF!</definedName>
    <definedName name="DEVISES">#REF!</definedName>
    <definedName name="df">balance sheet send</definedName>
    <definedName name="dfa" hidden="1">{"Jabil - Personal View",#N/A,FALSE,"Passives"}</definedName>
    <definedName name="DFAAAAAAAAAAAA">balance sheet send</definedName>
    <definedName name="dfdfdfg">balance sheet send</definedName>
    <definedName name="DFF">balance sheet send</definedName>
    <definedName name="DFFF">balance sheet send</definedName>
    <definedName name="DFFFFFFFFFFFFFFFFFFF">balance sheet send</definedName>
    <definedName name="DFFFGG">balance sheet send</definedName>
    <definedName name="DFFSDFS">balance sheet send</definedName>
    <definedName name="dfgasdfasd" hidden="1">{#N/A,#N/A,FALSE,"Sales"}</definedName>
    <definedName name="DFGDF">balance sheet send</definedName>
    <definedName name="dfgdfg" hidden="1">{"one (KEY)",#N/A,FALSE,"P&amp;L"}</definedName>
    <definedName name="DFGDFS">balance sheet send</definedName>
    <definedName name="DFGDFSG">balance sheet send</definedName>
    <definedName name="dfgdsf" hidden="1">{"Jabil - Personal View",#N/A,FALSE,"Passives"}</definedName>
    <definedName name="DFGFH">balance sheet send</definedName>
    <definedName name="dfgh" hidden="1">{"Jabil - Personal View",#N/A,FALSE,"Passives"}</definedName>
    <definedName name="DFGHFJGF">balance sheet send</definedName>
    <definedName name="dfghg" hidden="1">#REF!</definedName>
    <definedName name="dfghgjh" hidden="1">#REF!</definedName>
    <definedName name="dfgjyuj" hidden="1">#REF!</definedName>
    <definedName name="DFGR">balance sheet send</definedName>
    <definedName name="dfhfgh" hidden="1">{"Jabil - Personal View",#N/A,FALSE,"Passives"}</definedName>
    <definedName name="dfrt" hidden="1">{#N/A,#N/A,FALSE,"Financial";#N/A,#N/A,FALSE,"Balance Sheet";#N/A,#N/A,FALSE,"Income stmt";#N/A,#N/A,FALSE,"Ratio"}</definedName>
    <definedName name="dfsdf">balance sheet send</definedName>
    <definedName name="dfsdgsf" hidden="1">{"one (KEY)",#N/A,FALSE,"P&amp;L"}</definedName>
    <definedName name="DFSDSF">balance sheet send</definedName>
    <definedName name="dfsg" hidden="1">{"Jabil - Personal View",#N/A,FALSE,"Passives"}</definedName>
    <definedName name="dfsgdfg" hidden="1">{"Jabil - Personal View",#N/A,FALSE,"Passives"}</definedName>
    <definedName name="dfsgdsg" hidden="1">{"one (KEY)",#N/A,FALSE,"P&amp;L"}</definedName>
    <definedName name="dfwa" hidden="1">{"Annual",#N/A,FALSE,"Sales &amp; Market";"Quarterly",#N/A,FALSE,"Sales &amp; Market"}</definedName>
    <definedName name="DG.DMG" hidden="1">{"'Broadway ML#4'!$J$7:$N$490"}</definedName>
    <definedName name="dgasadsg">#REF!</definedName>
    <definedName name="DGD">balance sheet send</definedName>
    <definedName name="DGDF">balance sheet send</definedName>
    <definedName name="DGDFHGJ">balance sheet send</definedName>
    <definedName name="DGFUJH">balance sheet send</definedName>
    <definedName name="dgh">#REF!</definedName>
    <definedName name="dghd" hidden="1">{"Jabil - Personal View",#N/A,FALSE,"Passives"}</definedName>
    <definedName name="dghfgh" hidden="1">{"one (KEY)",#N/A,FALSE,"P&amp;L"}</definedName>
    <definedName name="dghgf" hidden="1">{"Jabil - Personal View",#N/A,FALSE,"Passives"}</definedName>
    <definedName name="dghjkjhkfg" hidden="1">#REF!</definedName>
    <definedName name="dghjkjkl" hidden="1">#REF!</definedName>
    <definedName name="dgkjgkl" hidden="1">#REF!</definedName>
    <definedName name="dgtnthj" hidden="1">#REF!</definedName>
    <definedName name="dh" hidden="1">{"Jabil - Personal View",#N/A,FALSE,"Passives"}</definedName>
    <definedName name="dhe" hidden="1">{"one (KEY)",#N/A,FALSE,"P&amp;L"}</definedName>
    <definedName name="dhfh">#REF!</definedName>
    <definedName name="dhfhdh">#REF!</definedName>
    <definedName name="dhfkjhjk" hidden="1">#REF!</definedName>
    <definedName name="dhgjdh" hidden="1">#REF!</definedName>
    <definedName name="dhhfdhfg">#REF!</definedName>
    <definedName name="dhhg">#REF!</definedName>
    <definedName name="dhj" hidden="1">#REF!</definedName>
    <definedName name="dhjfjuf" hidden="1">#REF!</definedName>
    <definedName name="dhjfkl" hidden="1">#REF!</definedName>
    <definedName name="DHJTR" hidden="1">{"Jabil - Personal View",#N/A,FALSE,"Passives"}</definedName>
    <definedName name="DHT">#REF!</definedName>
    <definedName name="DHTHOME">#REF!</definedName>
    <definedName name="Diagram_Back_Click" localSheetId="1">#REF!</definedName>
    <definedName name="Diagram_Back_Click">#REF!</definedName>
    <definedName name="Diagram_Finish_Click" localSheetId="1">#REF!</definedName>
    <definedName name="Diagram_Finish_Click">#REF!</definedName>
    <definedName name="Diagrams_Dialog_Constructor" localSheetId="1">#REF!</definedName>
    <definedName name="Diagrams_Dialog_Constructor">#REF!</definedName>
    <definedName name="diana">#REF!</definedName>
    <definedName name="DIAS" localSheetId="1">#REF!</definedName>
    <definedName name="DIAS">#REF!</definedName>
    <definedName name="DIAS_3">#REF!</definedName>
    <definedName name="dicabr">#REF!,#REF!,#REF!,#REF!,#REF!,#REF!,#REF!,#REF!,#REF!,#REF!,#REF!,#REF!,#REF!,#REF!</definedName>
    <definedName name="DikeTaxRate">#REF!</definedName>
    <definedName name="DIOB">#REF!</definedName>
    <definedName name="DIP">#REF!</definedName>
    <definedName name="DIRECT" localSheetId="1">#REF!</definedName>
    <definedName name="direct">#REF!</definedName>
    <definedName name="Direct_HC">#REF!</definedName>
    <definedName name="directlab">#REF!</definedName>
    <definedName name="directlabor">#REF!</definedName>
    <definedName name="DIRLAB2">#REF!</definedName>
    <definedName name="DIRLAB3">#REF!</definedName>
    <definedName name="Discount" hidden="1">#REF!</definedName>
    <definedName name="display_area_2" hidden="1">#REF!</definedName>
    <definedName name="Display_Week">#REF!</definedName>
    <definedName name="DISPLAY10L">"A0652877"</definedName>
    <definedName name="DISPLAY3L">"A0679920"</definedName>
    <definedName name="DISPLAYJAP">"A0729702"</definedName>
    <definedName name="Disposition">#REF!</definedName>
    <definedName name="Div_009">#REF!</definedName>
    <definedName name="Div_009_Address">#REF!</definedName>
    <definedName name="Div_Method">#REF!</definedName>
    <definedName name="Div001Address">#REF!</definedName>
    <definedName name="divisor">#REF!</definedName>
    <definedName name="DivMgr">#REF!</definedName>
    <definedName name="djhukfgjgj" hidden="1">#REF!</definedName>
    <definedName name="djkj" hidden="1">#REF!</definedName>
    <definedName name="DK">#REF!</definedName>
    <definedName name="DKFL" hidden="1">{"'Broadway ML#4'!$J$7:$N$490"}</definedName>
    <definedName name="DKK">#REF!</definedName>
    <definedName name="DKKA">#REF!</definedName>
    <definedName name="DLBenefit">#REF!</definedName>
    <definedName name="DLBonus">#REF!</definedName>
    <definedName name="dlsaj" hidden="1">{"one (KEY)",#N/A,FALSE,"P&amp;L"}</definedName>
    <definedName name="dlsummary">#REF!</definedName>
    <definedName name="dlsummarypcba1">#REF!</definedName>
    <definedName name="DM">#REF!</definedName>
    <definedName name="DMODEL">#REF!</definedName>
    <definedName name="DMTAEPmax">#REF!</definedName>
    <definedName name="DMTAEPspd">#REF!</definedName>
    <definedName name="DMTAIOLRate">#REF!</definedName>
    <definedName name="DMTassyyld">#REF!</definedName>
    <definedName name="DMTCPIAOI">#REF!</definedName>
    <definedName name="DMTdspf">#REF!</definedName>
    <definedName name="DMTHCF">#REF!</definedName>
    <definedName name="DMTLCF">#REF!</definedName>
    <definedName name="DMTLFWA">#REF!</definedName>
    <definedName name="DMTManufLT">#REF!</definedName>
    <definedName name="DMTMCF">#REF!</definedName>
    <definedName name="DMTMEPmax">#REF!</definedName>
    <definedName name="DMTMEPspd">#REF!</definedName>
    <definedName name="DMTNbrSqUnit">#REF!</definedName>
    <definedName name="DMTPackTime">#REF!</definedName>
    <definedName name="DMTPFAOI">#REF!</definedName>
    <definedName name="DMTPFrep">#REF!</definedName>
    <definedName name="DMTPINDM">#REF!</definedName>
    <definedName name="DMTpins">#REF!</definedName>
    <definedName name="DMTPINSrep">#REF!</definedName>
    <definedName name="DMTPINSstrspd">#REF!</definedName>
    <definedName name="DMTPINSstspd">#REF!</definedName>
    <definedName name="DMTPINSyld">#REF!</definedName>
    <definedName name="DMTScrapAdj">#REF!</definedName>
    <definedName name="DMTTL">#REF!</definedName>
    <definedName name="dn">OFFSET(#REF!,,,COUNTA(#REF!)-1)</definedName>
    <definedName name="DOB">#REF!</definedName>
    <definedName name="DOBEntry">#REF!</definedName>
    <definedName name="DOCK_PORT">#REF!</definedName>
    <definedName name="DODA">#REF!</definedName>
    <definedName name="Domingo">#REF!</definedName>
    <definedName name="dop" hidden="1">{#N/A,#N/A,TRUE,"index";#N/A,#N/A,TRUE,"Summary";#N/A,#N/A,TRUE,"Continuing Business";#N/A,#N/A,TRUE,"Disposals";#N/A,#N/A,TRUE,"Acquisitions";#N/A,#N/A,TRUE,"Actual &amp; Plan Reconciliation"}</definedName>
    <definedName name="DOPCARIES">#REF!</definedName>
    <definedName name="DOPCTAURUS">#REF!</definedName>
    <definedName name="Doumen">#REF!</definedName>
    <definedName name="dp" hidden="1">#REF!</definedName>
    <definedName name="DPM">#N/A</definedName>
    <definedName name="Dppms">#REF!,#REF!,#REF!,#REF!,#REF!,#REF!,#REF!,#REF!,#REF!,#REF!,#REF!</definedName>
    <definedName name="DPT">#REF!</definedName>
    <definedName name="DPY_Articles">#REF!</definedName>
    <definedName name="DPY_Variants">#REF!</definedName>
    <definedName name="DPY_Volume">#REF!</definedName>
    <definedName name="Dr">#REF!</definedName>
    <definedName name="DRIVE">#REF!</definedName>
    <definedName name="drivers">#REF!</definedName>
    <definedName name="drivers1">#REF!</definedName>
    <definedName name="DriverSelectrion">#REF!,#REF!,#REF!,#REF!,#REF!,#REF!,#REF!</definedName>
    <definedName name="DriverSummary">#REF!,#REF!,#REF!</definedName>
    <definedName name="ds">#REF!</definedName>
    <definedName name="DSA">#REF!</definedName>
    <definedName name="DSAD">balance sheet send</definedName>
    <definedName name="dsd" hidden="1">{"one (KEY)",#N/A,FALSE,"P&amp;L"}</definedName>
    <definedName name="dsds" hidden="1">{"one (KEY)",#N/A,FALSE,"P&amp;L"}</definedName>
    <definedName name="DSDSSD">balance sheet send</definedName>
    <definedName name="dsfg">#REF!</definedName>
    <definedName name="dsfgd" hidden="1">{"Jabil - Personal View",#N/A,FALSE,"Passives"}</definedName>
    <definedName name="dsfgdf" hidden="1">{"Jabil - Personal View",#N/A,FALSE,"Passives"}</definedName>
    <definedName name="dsfgdfg" hidden="1">{"one (KEY)",#N/A,FALSE,"P&amp;L"}</definedName>
    <definedName name="dsfgdsgdf" hidden="1">{"one (KEY)",#N/A,FALSE,"P&amp;L"}</definedName>
    <definedName name="dsfghhj" hidden="1">#REF!</definedName>
    <definedName name="dsfgsdf" hidden="1">{"Jabil - Personal View",#N/A,FALSE,"Passives"}</definedName>
    <definedName name="dsfgsdgdgf" hidden="1">{"Jabil - Personal View",#N/A,FALSE,"Passives"}</definedName>
    <definedName name="dsfgsg" hidden="1">{"one (KEY)",#N/A,FALSE,"P&amp;L"}</definedName>
    <definedName name="dsfhytydf" hidden="1">{"one (KEY)",#N/A,FALSE,"P&amp;L"}</definedName>
    <definedName name="DSFSD">balance sheet send</definedName>
    <definedName name="DSFSDGR">balance sheet send</definedName>
    <definedName name="DSGDFG">balance sheet send</definedName>
    <definedName name="dsgdsfg" hidden="1">{"Jabil - Personal View",#N/A,FALSE,"Passives"}</definedName>
    <definedName name="dsgfdg" hidden="1">{"Jabil - Personal View",#N/A,FALSE,"Passives"}</definedName>
    <definedName name="dsghdfj" hidden="1">{"Jabil - Personal View",#N/A,FALSE,"Passives"}</definedName>
    <definedName name="DSGHJTYJ">balance sheet send</definedName>
    <definedName name="dsgsdgdsf" hidden="1">{"one (KEY)",#N/A,FALSE,"P&amp;L"}</definedName>
    <definedName name="dsh" hidden="1">{"one (KEY)",#N/A,FALSE,"P&amp;L"}</definedName>
    <definedName name="DSHDF">balance sheet send</definedName>
    <definedName name="dso">#REF!</definedName>
    <definedName name="DSSpeedFactor">#REF!</definedName>
    <definedName name="DSSSSSSSSSSSSSSSSSSSSSSSSSSSSSSSSSSSSSSSSSSS">balance sheet send</definedName>
    <definedName name="dszfgsrt" hidden="1">#REF!</definedName>
    <definedName name="DT_case">#REF!</definedName>
    <definedName name="DT_DIP">#REF!</definedName>
    <definedName name="DT_SMT">#REF!</definedName>
    <definedName name="DTAURUS">#REF!</definedName>
    <definedName name="dthdth" hidden="1">#REF!</definedName>
    <definedName name="dty" hidden="1">#REF!</definedName>
    <definedName name="dtyr" hidden="1">{"one (KEY)",#N/A,FALSE,"P&amp;L"}</definedName>
    <definedName name="dudrtuy">#REF!</definedName>
    <definedName name="DueDate">#REF!</definedName>
    <definedName name="dumppr">#REF!</definedName>
    <definedName name="dumppr.">#REF!</definedName>
    <definedName name="duty">#REF!</definedName>
    <definedName name="dwq" hidden="1">{#N/A,#N/A,FALSE,"Summary";#N/A,#N/A,FALSE,"Service";#N/A,#N/A,FALSE,"Carriage";#N/A,#N/A,FALSE,"Backbone"}</definedName>
    <definedName name="dyfhj" hidden="1">#REF!</definedName>
    <definedName name="dyjlkjgklf" hidden="1">#REF!</definedName>
    <definedName name="e" hidden="1">#REF!</definedName>
    <definedName name="E_DoneDate">#REF!</definedName>
    <definedName name="Earnings" hidden="1">{#N/A,#N/A,FALSE,"Duran"}</definedName>
    <definedName name="eb" hidden="1">{#N/A,#N/A,FALSE,"Summary";#N/A,#N/A,FALSE,"Service";#N/A,#N/A,FALSE,"Carriage";#N/A,#N/A,FALSE,"Backbone"}</definedName>
    <definedName name="EBN">#REF!</definedName>
    <definedName name="EBNHOME">#REF!</definedName>
    <definedName name="ec1h2" hidden="1">#REF!</definedName>
    <definedName name="ec1h9" hidden="1">#REF!</definedName>
    <definedName name="ed" hidden="1">{#N/A,#N/A,FALSE,"Summary";#N/A,#N/A,FALSE,"Service";#N/A,#N/A,FALSE,"Carriage";#N/A,#N/A,FALSE,"Backbone"}</definedName>
    <definedName name="EDSFDS">balance sheet send</definedName>
    <definedName name="edt" hidden="1">{#N/A,#N/A,FALSE,"Summary";#N/A,#N/A,FALSE,"Service";#N/A,#N/A,FALSE,"Carriage";#N/A,#N/A,FALSE,"Backbone"}</definedName>
    <definedName name="Edwina">#REF!</definedName>
    <definedName name="ee" hidden="1">{#N/A,#N/A,FALSE,"Summary";#N/A,#N/A,FALSE,"Service";#N/A,#N/A,FALSE,"Carriage";#N/A,#N/A,FALSE,"Backbone"}</definedName>
    <definedName name="EEE">balance sheet send</definedName>
    <definedName name="EEEE" hidden="1">{"Annual",#N/A,FALSE,"Sales &amp; Market";"Quarterly",#N/A,FALSE,"Sales &amp; Market"}</definedName>
    <definedName name="eeeeee">balance sheet send</definedName>
    <definedName name="eeeeeee">balance sheet send</definedName>
    <definedName name="EEEEEEEEEE">balance sheet send</definedName>
    <definedName name="EEEEEEEEEEEEE">balance sheet send</definedName>
    <definedName name="EEEEEEEEEEEEEEE">balance sheet send</definedName>
    <definedName name="EEEEEEEEFVB">balance sheet send</definedName>
    <definedName name="EERECV">#REF!</definedName>
    <definedName name="EEWITH">#REF!</definedName>
    <definedName name="EEWWE">balance sheet send</definedName>
    <definedName name="efef" hidden="1">{"'Broadway ML#4'!$J$7:$N$490"}</definedName>
    <definedName name="efrf" hidden="1">{"one (KEY)",#N/A,FALSE,"P&amp;L"}</definedName>
    <definedName name="EFV" hidden="1">{"one (KEY)",#N/A,FALSE,"P&amp;L"}</definedName>
    <definedName name="ehag">#REF!</definedName>
    <definedName name="Einfluss">#REF!</definedName>
    <definedName name="EL_Test">#N/A</definedName>
    <definedName name="elbow_force">#REF!</definedName>
    <definedName name="elbow_posture">#REF!</definedName>
    <definedName name="Electricity">#REF!</definedName>
    <definedName name="Electronics_Boutique">#N/A</definedName>
    <definedName name="emea">#REF!</definedName>
    <definedName name="END">#REF!</definedName>
    <definedName name="endcell">#REF!</definedName>
    <definedName name="EndDate">#REF!</definedName>
    <definedName name="EndDate2">#REF!</definedName>
    <definedName name="EndDate3">#REF!</definedName>
    <definedName name="EndDate4">#REF!</definedName>
    <definedName name="ENG">#REF!</definedName>
    <definedName name="ENG._COST01">#REF!</definedName>
    <definedName name="ENG._COST02">#REF!</definedName>
    <definedName name="ENG._COST03">#REF!</definedName>
    <definedName name="ENG._COST04">#REF!</definedName>
    <definedName name="ENG._COST05">#REF!</definedName>
    <definedName name="ENG._COST06">#REF!</definedName>
    <definedName name="ENG._COST07">#REF!</definedName>
    <definedName name="ENG._COST08">#REF!</definedName>
    <definedName name="ENG._COST09">#REF!</definedName>
    <definedName name="ENG._COST10">#REF!</definedName>
    <definedName name="ENG._COST11">#REF!</definedName>
    <definedName name="ENG._COST12">#REF!</definedName>
    <definedName name="ENG._COST13">#REF!</definedName>
    <definedName name="ENG._COST14">#REF!</definedName>
    <definedName name="ENG._COST15">#REF!</definedName>
    <definedName name="ENG._COST16">#REF!</definedName>
    <definedName name="ENG._COST17">#REF!</definedName>
    <definedName name="ENG._COST18">#REF!</definedName>
    <definedName name="ENG._COST19">#REF!</definedName>
    <definedName name="ENG._COST20">#REF!</definedName>
    <definedName name="ENG._COST21">#REF!</definedName>
    <definedName name="ENG._COST22">#REF!</definedName>
    <definedName name="ENG._COST23">#REF!</definedName>
    <definedName name="English">#REF!</definedName>
    <definedName name="EngPCOPMgrLA">#REF!</definedName>
    <definedName name="EngpMonth">#REF!</definedName>
    <definedName name="Entity_Lead">#REF!</definedName>
    <definedName name="entry1" hidden="1">{#N/A,#N/A,FALSE,"Sales"}</definedName>
    <definedName name="EOGroupByHorizon">#REF!</definedName>
    <definedName name="EOGroupByType">#REF!</definedName>
    <definedName name="EORate">#REF!</definedName>
    <definedName name="EPMWorkbookOptions_1" hidden="1">"eXEAAB|LCAAAAAAABADtXW1zojoY/b4z|x8cv6vguzvWnYhY2SpweVn3bqfDIMaWqQI3YN3||xtRFJTuutZ2gU1n2rHJSfJwcpIAORPbn38s5rkniFzTtq7ydJHK56Bl2FPTur/KL71Zga7nP3c|fmiPbfQ4se1HwfEw1M3hcpb76Yc7vco/eJ7zqVRarVbFVaVoo/tSmaLo0rfRUDYe4ELP78Dmr8EF03I93TJgHreay7UZ27KgsW5TsZklQtD"</definedName>
    <definedName name="EPMWorkbookOptions_1_1" hidden="1">"OCcAAB|LCAAAAAAABADtWm1vokoU/r7J/gfDd3kRfNmGusERq4kCl5d9axqCMCpZBXYYa/vv74CiUGnXenubauyHRs8858yZZ54znOCIXx8W88o9RLEfBtcUR7NUBQZu6PnB9Jpa4kmVa1Bf258/id9D9Hschr/VCBNoXCF|QXz1EHvX1Azj6IphVqsVveLpEE2ZGstyzI/R0HBncOFQW7D/d3DVD2LsBC6kyKyVigjCIIBuMqcZgiVCMMDffLh"</definedName>
    <definedName name="EPMWorkbookOptions_1_1_1" hidden="1">"6DEAAB|LCAAAAAAABADtW21vqkgU/n6T|x|M3xVQUdtQb3Acq4kCC9jtTdMQxFHJVWCHsbb/fkd8A6W9athdYW2aBmeec|bMw3M4pwLCj/f5LPeGsG|7zkOeK7L5HHIsd2Q7k4f8gowLXDX/o/H9m/Cni38NXfeX7BEK9XPUzvHv3/3RQ35KiHfPMMvlsrgsF108YUosyzHP/Z5mTdHczO/A9u/BBdvxielYKE9XzeUE4DoOslZr6i5YYIwc8mS"</definedName>
    <definedName name="EPMWorkbookOptions_1_2" hidden="1">"LicAAB|LCAAAAAAABADtmltv4joQx99X2u|AeIckJOFSUVbBpAUJSJRLz|6pqshJTBstJFnHlPbbHydcA24XEKuzIPpQgf2f8Xj8szw4aX57m4wLrwgnQRTeFoUyXyyg0Iv8IHy|LU7JqCRUi99aX780/4nwTzeKfmoxodKkQO3C5OYt8W|LL4TENxw3m83KM7Ec4WeuwvMC933QN70XNIHFlTj4vbgUhAmBoYeKdNRCoQmiMEReOqYVgSnGKCQ"</definedName>
    <definedName name="EPMWorkbookOptions_1_3" hidden="1">"FSQAAB|LCAAAAAAABADtmltv4jgUx99Hmu|AeIckJOFSpYyCSQsSkGwus7NbVZGTODQaSDKOKe23XycQrmmHst2qsPShAvt/jo|Pf8cxkaVvT9NJ6RHhJIjC6zJXZcslFLqRF4Tj6/KM|BWuXv7W/vpF|jPCP50o|qnGhEqTErULk6unxLsuPxASXzHMfD6vzvlqhMdMjWU55sdwYLgPaArLK3Hwe3ElCBMCQxeV6ailkgSiMERuOqYZgRnGKCT"</definedName>
    <definedName name="EPMWorkbookOptions_1_4" hidden="1">"GzkAAB|LCAAAAAAABADtW2tvokoY/r7J/gfjdwW81W2om3GkSqLAcmn3nKaZII4tWQV2wNr||zMg3gq1aN2cytqYRmfe9533eXjmBgP//Xk6KTxh4tuuc1XkymyxgB3LHdnOw1VxFoxLXKP4vfX1C3/rkl9D1/0lewE19QvUz/Evn/3RVfExCLxLhpnP5|V5teySB6bCshzzc9DXrEc8NYsrY/t945Lt|IHpWLhIWy0UeOg6DrbCNnUXzgjBTnB"</definedName>
    <definedName name="EPMWorkbookOptions_1_5" hidden="1">"KzoAAB|LCAAAAAAABADtW2tvokoY/r7J/gfjdwW81W2om3Gk6kYYDpd2z2kagji2ZBU8A9b2358BUbFSiy2bo6yNaXTey8zz8MwNBv7783RSeMLEs13nqsiV2WIBO5Y7sp2Hq|LcH5e4RvF76|sX/tYlv4au|wvNfOrqFWic410|e6Or4qPvzy4ZZrFYlBfVsksemArLcsxPcaBaj3hqFtfO9vvOJdvxfNOxcJHWWijw0HUcbAV1ai6cE4Id/8b"</definedName>
    <definedName name="EPMWorkbookOptions_10" hidden="1">"GNpqiPsJ32x72yj9/2na7|gbnxv|XmCnK/HkAAA=="</definedName>
    <definedName name="EPMWorkbookOptions_2" hidden="1">"yvppw5WdGsnu6p29TcTqvL|Cm2V2THlw4S2T6baouRCKCM4jrM2ARX0a|o/XFkdYVmZFMU9rtttDEMWiqOJvDHx6yLdNwi4a9KLm6s84p3Wm3uID2RFP4k|BApPvk4H9m|tyFd|3SOo59VMBx5qahhxg8ObqgjmgtoeTtRXf2YRy0vuFrT2Gu9GLWwJxOodUzF9By/Vhfhu7jdCMYjJIf7NWuDsae26jjoSVsl2IyflbUv4qYkkdXty2INeHh/u"</definedName>
    <definedName name="EPMWorkbookOptions_2_1" hidden="1">"KBwvDXQc7GyuxK84CrqfdTonhIloiP53TiiHSEJxAEs|FNFkG1bZ72sjuaGBkcKx9u3EaRy7H0pM5fMAoDHw3pt1wwcROlIwwd/YtcbDvOZZ8UiOInJQc8mXizGN4JzJJHruspCia|66TY/Dg7LIYxSg582bR7V0aT2Zf87WjsMI8O9T3PQ8GXX8BgzjN9XnoLs|4gCEoYxautjFAOA9RG6MlFJmSgZdc01WUeO6tbuNINIHJfvWc|xD5mOSVbs"</definedName>
    <definedName name="EPMWorkbookOptions_2_1_1" hidden="1">"jZTAZmW6ZxNyM0nHJnKP1srslCZp7C2wHaw58hBWMxoj6s1CRbiPfMNpK32gqoK9xrPGyMfJNyyHVO54eeMzQs5hX44VijDeOpUeyh7AZ8EE/jM2Zj14FZrX0PhDR82a2ZYZIOzmgrY|ol9DwZp|NfRgHq68p2rOWYz6d6tijEXJa9hw5Ky34EWAUugM92b49tGc2|ThAU/wONHDsvxYoCEu0LHfhECMcbxzuyNk6uAbBCyQwmw8H8TFnBZjIdo"</definedName>
    <definedName name="EPMWorkbookOptions_2_2" hidden="1">"PAZplnbnuDiRw0Urbh3CC5sOuhiRoEk9xkI1pJwjrGI0Q9eehMp1GseXc6QOnrYOBKfDO48IogV5Iqg2Zfog5N/a4J|eRapxXgaeftBhhmOWDfhnBcYKemlw69DoQJY7HgQc3krZ3QEsfeS8bzYt5ttZhbI0|T9E6awXuw65u4Pso7AQTFKYsJDlhXroSPQRJ4AbjgLxvqal|JbLD4NcUZWEpnhdNQ|JsxsvS7TibB9cieIqa3OLLVnzcQQGeZD"</definedName>
    <definedName name="EPMWorkbookOptions_2_3" hidden="1">"fAzTPOre6u5DAZSttH8EpWgy7GpKgaTzDQTamlSCsYeQj6s9FVTqNctu|0YZ2RwNDg2Ptu6WRE7scW/Un6IngKAzcpOpGUyaBcdrD3Nt31MB|5Fj6SY0Rhlly6BcfThJ0LzFpHOuo5DieBC7cyODB0eU|tr1sNC8n3V6HsTP6Il/rFJaYF7t6geehsBtMUZhksb4sXceZbGmoyniI5isfIJpEuE3wDElMQcdrptksCiz3Zrc0pEwQul438DHCAa"</definedName>
    <definedName name="EPMWorkbookOptions_2_4" hidden="1">"j43lUuVXdMQMzLqXlkjnFi2ZXTQZ46s2IHbVp|JgoBI8xjWfhMoVRbKFrZYDaChxoHIvuYqehZ3FseTzBzwFxHdvyy5Y7ZXzTC2uYe3RHHdATx9JvsoeJGZFDf4zNiY/veSbMY50V8LyJbZkbDGbObhljO8pGcQy6tU7jVesLvhIUZqiilQM8HWJiOPbvGY6i3kGgC11Z/ee|fNfj6D8AdQP00TXUdIo7YZ|I2LNpnsR6fFkbFahCLh17clUMyA"</definedName>
    <definedName name="EPMWorkbookOptions_2_5" hidden="1">"Gi9C4Ze6YvhmV0nLJnOJltesqfTydzYkd1ql7mMgEjzHNZ|EyhVFsGdeyaLRlKKoca9xFQcOZxbHl8QQ/|8R1bMsrW|6U8cxZYGHujTsaYDxxLP2GZpiYITn0x9icePieZ4J2bFoFZrOJbZkxBlO3bpVjO0usOALd2jTjVe1LvnYoTGGiRhFPh5jojv3vHIdZ7yDQhC5S/r4v3/U4|g9ATQcD4xqqGsW947|TsWfTdhLr8WXjVKAKuXTsyVXRJ3"</definedName>
    <definedName name="EPMWorkbookOptions_3" hidden="1">"rrTzYyPRyX3xmbwkd5J5Tvm8j1QgHE5x9UtIvyZYJORYVxqmX|t4T|lQPDsJeWp4U7PA73s|o25ONBXqPoSpMOVRDXLX5ZAU0h6lDt0uZDbO2uM9efRWTjyLznDl2r12ZwMivU6tNqoVqetQrNGoQFSofl6nTSqDYmlXXL0VIxFQ9115PhHI93OB3BxQRPWzGwqD5jARiyKR|i6RYwjKDyiiaIrAQUTuDlu|LtgMZ/KpQmgyEr4/F8VOyF6gcm7"</definedName>
    <definedName name="EPMWorkbookOptions_3_1" hidden="1">"baeW/sAP|ej2KcS6B8/EmgbZbPE3QoKo|zAv/PEqYrl1w3XAbYzm94Ge6lcGvySZHXWY5vcbkAZduS|qrIg6jNisz6Q2n0OJo7jxoKSWb4sc3VG/UJHE|q9YYnVIXa5Eu1VYewyjqwJnjjptAc88nMRa|SwEMnxgack3qH3gguxuTYKoEV9VkKIJC1f46mWwkA1VJMW9VkXTIHqmLc0bd9jvzjWZ4jtbzn8kzovk82BLmzxx20Qs6|q8CfX1OJj"</definedName>
    <definedName name="EPMWorkbookOptions_3_1_1" hidden="1">"BJ0MTFH|nehOsTQJ0gnOptrLJfw1aq99BdnQXLTfUeVI|s3VjpTgudjqV6A30oagMVav/NJiLgL0tLeLP7AnhUfrSpu18UuDMXb2KNmfjKNNh9jGUMK4Eh7S8Ieidt883FNqFxBVV|bXw0d4J928Y|CQUQP3/gaBfl5wSdikq4MofdrcmnDSPPcuU6F3IQd1oCWxmPEG6wArM|iPXuezPzQ8EujYyKjOOr/BgNxwW|OqoUKqXxXaHOI1RgTVSqj"</definedName>
    <definedName name="EPMWorkbookOptions_3_2" hidden="1">"oAEvQc4ffznkSUEECdIHzW00h3v4m9s55DL10FLzrrORgxmbvxzntbWLTtrCcwUBXTNlTz/5lETvzp0bI52fUBuHP8mC/RelAQjSO8iJXR8ZlpNnuGJSMrmSGtLwh6I3fwNcIBoXFlp/zceKdvD/u7ACdkIwB2/5ajVZQfJ2hf1YlP5k138|TTglHmBbEubDhgLUtmq2Ef4Rbf5OYfmN6TeAzfdRzRyChkglyVR8gdleSqL5WkyqhRqssIlXiIK"</definedName>
    <definedName name="EPMWorkbookOptions_3_3" hidden="1">"FxZYuxMN7rO8D|JsAJ2QiguH/H0SrKlxN0qGpTZ4XBrxnKZi67bjQLib254EW619wtkk|LXGQ5vsltOChalsxWxR7CbVZiFh8KvSfxBD5rOKKRkec2J9ZFHzl|Rax7QkWo|a1KU0SowkJUEzynITQcPh1526rA8QAmxEATWu/IG6KpQ7etAtk2n4UCKlnYb6TpTgZAtUamrWqKLpt9dWTcV|96HP3HszxHa3nP5AXXvYAuCHYfntfSEt37rsJgc"</definedName>
    <definedName name="EPMWorkbookOptions_3_4" hidden="1">"wXC0zSq2NPsROKNbsXzxwRtKzpUJB0QV3C1mWdooYwv5g7QAeaCrcBiyEHEujnF3aEEMorefdj0LQot5hVRYeGqgoSXHVrQ|vkF68uDoQl0ArLNco/dBUNgJpfxAMBaIYqaBQw/SiCKsod8WQGrx01GxU9ezTCzqphfwdlK6Mb27eH9sQOXjJBaEEzwA8ueeGZtNoU7sKUWiFenol/7AD9flrHAeH6AaRBMDlpGOHKTyPWSWMQw6tguSeNQfWCR"</definedName>
    <definedName name="EPMWorkbookOptions_3_5" hidden="1">"NcLDC7UR17ip1ArOmjeCZD0EjVoCBpgrKCrSGNooYwv5g7QAOqArcB9wMOJDDIL|wQIURreQ8i0LQot5gVWYO6oggSXHdrXe3kF6/WF4UV0ArLNcp/aYohAiW/iEUBqLoiqBQw/ciC0ked/skMXnssMUPPHo2ws67Y20PZ2unG9uyhPbH9l1QQWtD08YNLXngmyZrAXdCkVoCXZ6Ife0C/36xsQLieD2kSTE4aRrDyU4l10hj6wVWw3JPGoMz8Z"</definedName>
    <definedName name="EPMWorkbookOptions_4" hidden="1">"hRkPDzvoTk8/32yzPlVfi2l/MGY|nlnn1a2XfrVhV|amS4YAp5hNXnAsgqh51g4FTrtrLRLpwy70MzxZhNed|kK6P78SY6iqk2KOn2Oo7M3x3VVWZCuA3mOWGagddV|HwwFTUy7UC/Dich0gfZ9oA4ARygJyeRaBT082X8BEiC8hKQiD7h/AU8ouR2UA6mM1e8Dgb/WZLWbdlYStfiJOvIsiDS8fEyXhnf2Qlip1GrVavX0hbCcyYVQBJLCs5Im"</definedName>
    <definedName name="EPMWorkbookOptions_4_1" hidden="1">"Kgn9fTyRh/mKzJ/W/Rbs9KRhpICZNvoy7J5oWdfNCx76qyIzCEllzs1/rfDrrOMVTQ9/oBjWaHFsoefb9z5nW8dy1D1m0yeGuhI9q||1ZcGtnbRaWmax|lUcxAOILLJTntLFx|tWZ6v1wVBOFyztbPUrCbppiLrtqarXQuYmX6l4ZA069rw1KX79syAgQFUW5FN2/gO|qfOz8cpbeBgOA3R49EF3WhybKvVPLyg|fMraCCZ8o2q/9yWMTAtaWj3"</definedName>
    <definedName name="EPMWorkbookOptions_4_1_1" hidden="1">"Ia1Sm1YXq0ctYpx3DN9oqEZ7R3RqI/mQ9oCx8Ci|owFUMjaPkTTiwiAPJB0Q1agKupdWdJeiy8djv5pij1RAtDQOhDqtFs8sv1kjY5Nzwy2ph97aI421PeOPXvIr/SUP2juvj7jp9lG0vhfoafMlrkbK4esdIABgKGAm2COqKmwLH9j5ZCVrgTkPjTgswIlDaadH4E55WodKjj/WJ1sLnwZTy6vjSxbqbPs6aWRy15pbA40WX3cCrUPQcegIhWl"</definedName>
    <definedName name="EPMWorkbookOptions_4_2" hidden="1">"pLv1qSaK6Yj560YjvswISYa09oR|QM0cWkJzJDl|WQKqGRuv5GmRwUAzR5ajqarhmL1tKH5VH7sCvRfW|krQ6A6ZldVLVot7th|MEY3oCuDvZf3tbRAC|qbMBjfFlOeilvF3ecrvp9tbhuzssjtk8YNEv4YwO1pouHn46HleanO8/szK1wes23b1Iz7Jac6aCvOv127q/Qc/copM8zjONUhJiHCDl1pf|qRo5kVRVmWJGl/ZisHMAtRw200pEbJ"</definedName>
    <definedName name="EPMWorkbookOptions_4_3" hidden="1">"l1OMSrv1NPrC32YrcT8btLvnZWOPJBHQLGNnqKYp54eiTkEro36|M/KujNLVDw|vpRZVmiy7OGVzJ1fJXcsQ9Vvc0410JHtv3tWT|7b2oXTwjCP41SDmIQI23SlvZlLjmaW50VREITDma29gVmIWk6rJbQqnuPwFUHkmhXHb8AKrHu80|LFWs33PgezmqybI0W3NV3tWsBM|RV2|O1YNve/fRQdmqL|oNsf3Z56lj5PpQNI0DjCz0fXd73Bsc1m"</definedName>
    <definedName name="EPMWorkbookOptions_4_4" hidden="1">"RjrtLuFTstOGsBykP9/QGwZ7xyLN8Gu9zuJ8Vp7dNeNQnfikjjXlIpdrhH6FM8UViJHurcM6L7v2nxyiR3QvKJN3cI5UZfB/9omfrCRQHr9q0CrLN8mKKvVG2oBluXOnABtbhyz6GYz3IL8Eteos1y1yW0ESLsska9MRpi0WJ5ZfEmN7nsT80UhLs2MioyrN|pjPByX6o1RrVSrjL|VmnWMS6yJK7XR8KJ2MayGLW97pQTum36g4Qm2AjxarHvS"</definedName>
    <definedName name="EPMWorkbookOptions_4_5" hidden="1">"RrrtLuFRstOGsBqkP9/QGw57x2L42A3|52d8Vp9dDeVQnfikqitCYZ9oSH6hMgEVsJAurf06b7v2nxyie3TdoWbumXwji1F/LVNPD/WgGT7q0TrVr5NUFqvN9QCLMudO74R3zim0U083ZL8Eteos1y1ycUSJF2WMBaRESYtlmeWXxKze7OJ|SITl7aMioyrN|pjPByX6o1RrVSrjL|VmnWMS6yJK7XR8KJ2MawGNW9HJSQemJ6v4gm2fDxarnuS"</definedName>
    <definedName name="EPMWorkbookOptions_5" hidden="1">"SkJPZZRgVANJ4mSN45Wh1pV6Xb6Xdg2/AUVDzI0oDtPOTHJGN6N78N5Gz2eP6XqDpprNxuljupK9Mc0Ahb0WpH93MmUUFQy1PiP/tY|mh5R8UQkfYT56LEP4CA8ZUSJ8hPiQWTETfCRopbNdj8GBQvSaFzn1eqXyG29yqhlc7ARZYVheYaVAq4qg4NWOYYhWY8M8Q6vrLUUZGe|4rVLLnlB7QAGyxERVyq2FywPyBBEf5hla5dZTqmG/o1br2dO"</definedName>
    <definedName name="EPMWorkbookOptions_5_1" hidden="1">"gHHyLeQHUmoYY0AShei/NEyNBs|/omMSzlCsqmECWTFlPZOrqZpErQBctFqa5hFaTV7bGch9x1cX9fMTalcyJUMHRZUOEuEq0sl3SB9Hq4PkSHXDd9Rq4/y0msoSqPk|PjNdhFqW5hFC1SO8TtU9vlt9vVib5ydWXTOBpeuyArYdq2V0L0ItTfMIoZrE9o4KbZ2fQs3BSM6kWWM5gZasm1PX51tw8YP80ZJy8t3PG|miRffkzoWLlIsG/Y|p2yN"</definedName>
    <definedName name="EPMWorkbookOptions_5_1_1" hidden="1">"R0NJu06TpITy0dYVo8bV0s7KVWWvYmLiIGxQ/Y8WFrk4k8tlnq9UKqdncimTmayIqi5B1VBUuTWg7clGwmKvZzQVpZd26SbPTAtSaoD|aABFe0w7PdeT2ed9FRuTz9Uax9brtdPzuZy9fAaiDh9l9ecui4E|EHtGG2ip/7/jipR65vft8V1ktVoun9FGVjIoVlnTAZR0qG7lqss6VSsAN63GhnmBVs|6qZLIV4F89oTaEnVRU0FUpd2VcCUx9Q3"</definedName>
    <definedName name="EPMWorkbookOptions_5_2" hidden="1">"d12xJMlCveSOarAEq77oNkS5Uhn5fwezumJYQ9VwdEPr2MBK|ZW2|G3bjiCeO8N/OkW9fqc3vD/3LP09O/2w2wHG/q7WBL5er|2/v8XLO5OAYqn3mvFjeSopwLKVvnMHzGvtxA7zGFIPvAJi10/VqigeUEBJFwirZlpAHVqqscTV0ixKKwBXVplhHsHqQfd8J/l1Kl8eqB3FUkwD5CntpeAOlf6VVWaYR7B60H3uSVitXh6rGZZAWxUA/QWptOk"</definedName>
    <definedName name="EPMWorkbookOptions_5_3" hidden="1">"4/D65s/vmQRkU7lV9b/yp5IMTEse2DfAuJydisM8htQoIYAGivC/OT/V6zz/hgOUcIawqoYJlJGp6DmupmpSWgG4sFoY5hGspu|rDOx|4G928fxA7cqmbOhgm9J|Cu5IHlxYLQzzCFb76ZbqRh/Iav38WM2wBOrqADBYkkqbLqAWhXkEqHpMFqG6x59W3w5r4/xg1TUTWLqujMDqxGoZ3QuohWEeAapJ2z6Q0Ob5EWr2h0qO5g/6V5VHJ//Ef49"</definedName>
    <definedName name="EPMWorkbookOptions_5_4" hidden="1">"yHpncRWbJJdYAELZkHQk09UV0EVZ0pZLzDboAwkKSOsJQqZNctzGQSuvt694Nt9dq84/Q0|VrXKnzgrPZBHXRv/4Y926PfNl8nB4V2bZWpNls/dkLn89uW1ostrdvvHRlRXt1EV6HD66moY0UeoCRVYFBGUJKWdiImL6Mh3p6QCnIaCJAPV|nHkJeVFgG6B/e0YPiGepJKRy|ir5VHOfYpLAwQTR2WM0s4KD58FqtV6v1WrZ58FKLudBBai6JKh"</definedName>
    <definedName name="EPMWorkbookOptions_5_5" hidden="1">"yHpncRW57C6xAIRIlzQD0dUV0PpIUldLzDYYAAkKhtoThFSb5KiOD6283r7i6WL3rTp/Dz1VtsqdOis8k0Zcsf7x27p1e|4h8vDxrsyytSbLpu/JXP56cltXkdLdvvHRRbJ66iLNho|uqhpqX|oCGSmCAZFkyGdiAmJk2AbGPz29B/pnSmKU0AIEAf1yJmVDyg/Q1YHS16Uc0HJUk59sEt/BxKDTx2hu|R|eCKvVer1Wq6WfCCu5nAhloGiSoBi"</definedName>
    <definedName name="EPMWorkbookOptions_6" hidden="1">"qL0tGCD/nBklEqHFhniFUyfE2oRrnP|3|vlgb2ROrJCqMKkksz|xuV1U59W|rkiNUBae9o0Kb2VOowo3YQJpliq4X/1EkbQSktGv0Enx8wz9FwKf|DuhC2mgU/RtDwobPRrUI1GvCxXbWyIQykrOujVggqxIrv|Pa1sre2hawiEW6tgKwEif0OPLu5bdAkWjiQe1SnNs5khrAcW1xZvD3sYgj6NjI|5VR/CsuJvlI07rHaWMIH|fPmoJ04xGiP2"</definedName>
    <definedName name="EPMWorkbookOptions_6_1" hidden="1">"Jv/CR8lFP|TDky88A5Wke8VwbyZJh6bLxjs|2L|f3bMtYJDJNfrGS9YHaHVzevbwKVMimHCQyZTeKCtYMTqLtX7jKG/cvaYk6nCAYz9RAjWCQ3cUpGlMcmEMHJUHVwHDuYYZ8ak6x2W00ok2c0pih9weK|JW32TVxEH9zkO|M53AE0XQXYc/||dMu7Ob2W/tfGFduijgnAAA="</definedName>
    <definedName name="EPMWorkbookOptions_6_1_1" hidden="1">"S9Wj1rJtniWi1mj2tBrIEcriN3w7dhBoX5gVCPfsOaSJirWVPrKqig4GqQgnsOtaB1kq7UBNko3drheLDvCBrT38eIJF0rWcvXfVuH26VWWK5evEPXTX6opp2jSbBxzP9KYpS6tvBRLXRgqm/fiXKhwb/tzdIDvjgs8LH9dS38x4XS6TG3WWvxm1ZpDKlvwpUu3Krm/qrWIIqPQEUiSYeJDBxz8NHRrdw6u34DYHw4PFbBYKKxhj5U9mRvd0jkd"</definedName>
    <definedName name="EPMWorkbookOptions_6_2" hidden="1">"KKivMI0A9|NL|JLDWLg9WQ7eAbRjqEKwqVtvsXEFlhnkEqPs/lTkJofXLI9TqDdQlmt/pX1kZXk98dphH8HnYQ7eTMNq4PEaXWaSIprdUqtHTOr3rb6iDRLlo2KImx3qrKNe6lFNvu|9ZbTbuvpvVNNAIo|RFC7V49WA535bJwBhBnPrUQhO|ouXz1e3mTLt8B42iSbIsLtW7HXn9zF8sWrOXPEAcQHeMBgg/rz3stH/9sna7eOet9R|nC8e1Li"</definedName>
    <definedName name="EPMWorkbookOptions_6_3" hidden="1">"c1FhOqMrWyb//eKdc1Kt/mLo9lPVTz8fn2buGimxYumJ84P7VOr/9K88ixTR9g6nofbXbv/y|fpNoK5pikcQUXZfYas3l1Nv|bZLNxv0bKJKOfIySBzVUYxTmFw22GzMdmCCIU6dqaMBHlCt3mzNtftWGskmyNObq/Y5t/dxbrprUT75DHEBngoYIj9ce9tq/flm7XV7taf8DCaxysxUkAAA="</definedName>
    <definedName name="EPMWorkbookOptions_6_4" hidden="1">"IUeWOAfVQv5X4rnj7b|7LKbxwK16UTI9H/h5mQsX0DHAroI5wA8M1wwDd9rW/eT21iyUR6QLsnVl6k6VrUW|LOhIliKDeRZpOJ9YTJ|nzzKH7PeFImTkbFxzbbF5knzmr|Zs5P3hIIo77KZV6LEoGQM0FH5|o5|75WC/97k|jUa3ucfunlsPO|6HDPnHYs1Z3wdnv2e1RnjjU8yfUD5/QiiOftboLzn7P6I|i1Ub|tPqxY3Vx2LNQd8HZ/yDGUc"</definedName>
    <definedName name="EPMWorkbookOptions_6_5" hidden="1">"ygjo61OK3xduynOo5QJT|KKWbLTOVNTNnXl7z0tPBrWB0hBsYLBpE43ag/skLqjf6ldiHClLRtWZArWtARTj5nVH2SoJAAp0|kOjCYkCNN4aIUj2rOmaWjmcKPewJR8LE2bjg2GbzIv3EWc3fxPnJQxJR3qNUalaUiEDJBR9H1HMPfKyXfPen0ahWD7j9U8th5/3UYZ8o7Vmr||Ac9uw2kycO9fwJ9dMntKLMZ63ug3PYM/pMtNrIn1Y/d6wuSn"</definedName>
    <definedName name="EPMWorkbookOptions_7" hidden="1">"obj4ZCrON/hXV80|nENr4Fvsr9O2bZm|HuSXzzn6ZIgLlhJQ2DlNTbx5NzC5NkJ7AOW5NWq9oqTCeTSqFao5uFyayhF/T6tDJpVWrl8myaANnGWhlZ/jv|JWbGjZnRJ2XEDUVOAXIW3IyX0QqxAxPn|AmUlO8y5pBO1PJHvMAX1WzGja6XZaa8YybtvCRnSBMDcBRIDMCH|UlR6qtNUcS9l3FT1IVIGd9oG162b1ZSzkpyRvCfceBk0NpIHDhv7"</definedName>
    <definedName name="EPMWorkbookOptions_7_1" hidden="1">"aNnWqeaT|TFLndnGDTq|dMm1FCY4re7djEz4aLVRPl8Namrj0Ykz6hjysPO|2fP63cLq66t/8Fv8o||iUvAAA="</definedName>
    <definedName name="EPMWorkbookOptions_7_1_1" hidden="1">"GxAAZmyMQrn7KjmW9o|2Tg4XCA3b49QaVJAha36OOJKH452pw0oes/mdg2hzPUR3iy93A0/v3b3u3mbY3G38rWTgvoMQAA"</definedName>
    <definedName name="EPMWorkbookOptions_7_2" hidden="1">"cAAA=="</definedName>
    <definedName name="EPMWorkbookOptions_7_3" hidden="1">"zEepU/sR5/HjIKeRHqPjgHnLTJRKHN/Cn0MydYo6AnqdEs|PhJ/8pAOvsVUEbaqJWBcbk/lpzmEWPXYYfsMhm/vuVv/Dr|PHoUMu8qTWG0lU2yEc8kvTS2Vboyp9F236mLF|6|h8ereEyw9yQ78gw7q2OS24WhHZxgkwRBZUczn/HK8m1xaLt64ZBq0w9pXFnvVmzbL0bRVeNF784ktjmc4AEmj5sIO|Vfv2zCRi84tv4FAX3ooxs5AAA="</definedName>
    <definedName name="EPMWorkbookOptions_7_4" hidden="1">"R6kT|xHn4eMg55FuouOHuctDmKQpv5U|hHTrDGQT|lRo/Bx0/6VwbSya|AjqSNWhkY5/tj6WkeMHbtd8juKOPXt/yNX4efR49D5l2lGYy2skk34pm0l8a2SpfmNFrynbrNwuR7eLyKxwT7j7Ije9hZHpPcLozs4ASbJAwqO5r5hJeWr4sj2|ULh1SbQUTj0jpZsW0/H8VXjRf9G5PY5nCCB5g8rCMkyr9|WYeNX3Bs/QepE6YIGzkAAA=="</definedName>
    <definedName name="EPMWorkbookOptions_7_5" hidden="1">"sW6j44hx/EyESsF/kT68fPQ0Ypz0LdB|eAkzaZKLSZP4V|5gRrlPQoNZoFHz/pXxlIJ78CykgbzVAbqvDH3pN|xUetDPTuqXNxPGP5YYcOMxnPv|VvPP/4|fwoZd5VmsJpqzXJTjyT9BLdVunKnWbbfccwXrj7XiKv4DHB3iNy0Aw7q2Oj24WhH5xgkwRJkaOaT3jl|bo49F29gEm16Yc0rrx3Ddv|i1F01fi|d2MS2xxOsIjJwybDTvnXL5u00"</definedName>
    <definedName name="EPMWorkbookOptions_8" hidden="1">"8DRxo/E07gFnr2dro1viO8klo7sGAwuScgIkOU2Psx0|C0y6HYlfgvit3i130JBUHeX6PmPOi2CIIjH4q/wWOy7m7gsfOCrXBaK5K8Du|ctnlU0pq8pQLpO/wF0yblnIQaLMPBSm|YjwANVTv9O6GUo2dgrCCUhSjbvO/tD9lva|UjUVEY2yy8q2IxvlidHumRTOAokm8KH|UlRKtkUjgLJpvBxflK0ylnOkmyAHgLPPC9DVMkW6NuKlRzrEgaS"</definedName>
    <definedName name="EPMWorkbookOptions_8_1" hidden="1">"DwAAA=="</definedName>
    <definedName name="EPMWorkbookOptions_8_2" hidden="1">"i98tv4DVpRomys6AAA="</definedName>
    <definedName name="EPMWorkbookOptions_8_3" hidden="1">"joAAA=="</definedName>
    <definedName name="EPMWorkbookOptions_9" hidden="1">"Y10O8pMiVHKsy3HnEVNJKD8pQn1/U0lGT3bJoKkkOSolhzQcAIlpIJSfMdNAOPH4W/7aEpwh6D4IluBAK9gtjib6OGYOdbSuVLBk/QkGyMNkHxt8nSHWpufTGKCPM6L41XTba23O/aojU5/M4Qii|30NR|kfP|yr3X59Yud/W3skp3lxAAA="</definedName>
    <definedName name="EQ">#REF!</definedName>
    <definedName name="eqpppp">#REF!</definedName>
    <definedName name="Equipo">#REF!</definedName>
    <definedName name="er" hidden="1">#REF!</definedName>
    <definedName name="erase" hidden="1">#REF!</definedName>
    <definedName name="eraseme" hidden="1">#REF!</definedName>
    <definedName name="Erdley_Baseline">#REF!</definedName>
    <definedName name="Erdley_Cost_Reduction">#REF!</definedName>
    <definedName name="Erdley_Ext_Cost">#REF!</definedName>
    <definedName name="Erdley_Reduction_Percentage">#REF!</definedName>
    <definedName name="erger" hidden="1">{"one (KEY)",#N/A,FALSE,"P&amp;L"}</definedName>
    <definedName name="ergr" hidden="1">{"one (KEY)",#N/A,FALSE,"P&amp;L"}</definedName>
    <definedName name="ergweg" hidden="1">{"Jabil - Personal View",#N/A,FALSE,"Passives"}</definedName>
    <definedName name="ERICSSON">#REF!</definedName>
    <definedName name="Ericsson_margins">#REF!</definedName>
    <definedName name="ERIHOME">#REF!</definedName>
    <definedName name="err" hidden="1">{"Annual",#N/A,FALSE,"Sales &amp; Market";"Quarterly",#N/A,FALSE,"Sales &amp; Market"}</definedName>
    <definedName name="ert" hidden="1">{"Annual",#N/A,FALSE,"Sales &amp; Market";"Quarterly",#N/A,FALSE,"Sales &amp; Market"}</definedName>
    <definedName name="erter">balance sheet send</definedName>
    <definedName name="ertert" hidden="1">{"Jabil - Personal View",#N/A,FALSE,"Passives"}</definedName>
    <definedName name="ERTEWRRRWEWEWER">balance sheet send</definedName>
    <definedName name="ertewrter" hidden="1">{"one (KEY)",#N/A,FALSE,"P&amp;L"}</definedName>
    <definedName name="ertrth" hidden="1">#REF!</definedName>
    <definedName name="ertrtyyt" hidden="1">#REF!</definedName>
    <definedName name="ertwre" hidden="1">{"Jabil - Personal View",#N/A,FALSE,"Passives"}</definedName>
    <definedName name="ERTY">#REF!</definedName>
    <definedName name="ertytr" hidden="1">{"one (KEY)",#N/A,FALSE,"P&amp;L"}</definedName>
    <definedName name="eruytu" hidden="1">{"one (KEY)",#N/A,FALSE,"P&amp;L"}</definedName>
    <definedName name="eruytut" hidden="1">{"one (KEY)",#N/A,FALSE,"P&amp;L"}</definedName>
    <definedName name="erwe" hidden="1">{#N/A,#N/A,FALSE,"Summary";#N/A,#N/A,FALSE,"Service";#N/A,#N/A,FALSE,"Carriage";#N/A,#N/A,FALSE,"Backbone"}</definedName>
    <definedName name="erwg" hidden="1">{"Jabil - Personal View",#N/A,FALSE,"Passives"}</definedName>
    <definedName name="erwgewr" hidden="1">{"Jabil - Personal View",#N/A,FALSE,"Passives"}</definedName>
    <definedName name="erwgwergw" hidden="1">{"Jabil - Personal View",#N/A,FALSE,"Passives"}</definedName>
    <definedName name="ERWR">balance sheet send</definedName>
    <definedName name="ERWRW">balance sheet send</definedName>
    <definedName name="erwt" hidden="1">{"one (KEY)",#N/A,FALSE,"P&amp;L"}</definedName>
    <definedName name="erwte" hidden="1">{"Jabil - Personal View",#N/A,FALSE,"Passives"}</definedName>
    <definedName name="erwter" hidden="1">{"one (KEY)",#N/A,FALSE,"P&amp;L"}</definedName>
    <definedName name="erwtewr" hidden="1">{"Jabil - Personal View",#N/A,FALSE,"Passives"}</definedName>
    <definedName name="erwtwre" hidden="1">{"Jabil - Personal View",#N/A,FALSE,"Passives"}</definedName>
    <definedName name="esojf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ss.Calc.Connection.1">"Sheet1!1"</definedName>
    <definedName name="Ess.Calc.File.1">"Sheet1!F1AggCus"</definedName>
    <definedName name="Ess.ColumnHeaderRange.1">#REF!</definedName>
    <definedName name="Ess.ColumnHeaderRange.10">#REF!</definedName>
    <definedName name="Ess.ColumnHeaderRange.11">#REF!</definedName>
    <definedName name="Ess.ColumnHeaderRange.12">#REF!</definedName>
    <definedName name="Ess.ColumnHeaderRange.13">#REF!</definedName>
    <definedName name="Ess.ColumnHeaderRange.14">#REF!</definedName>
    <definedName name="Ess.ColumnHeaderRange.15">#REF!</definedName>
    <definedName name="Ess.ColumnHeaderRange.2">#REF!</definedName>
    <definedName name="Ess.ColumnHeaderRange.3">#REF!</definedName>
    <definedName name="Ess.ColumnHeaderRange.4">#REF!</definedName>
    <definedName name="Ess.ColumnHeaderRange.5">#REF!</definedName>
    <definedName name="Ess.ColumnHeaderRange.6">#REF!</definedName>
    <definedName name="Ess.ColumnHeaderRange.7">#REF!</definedName>
    <definedName name="Ess.ColumnHeaderRange.9">#REF!</definedName>
    <definedName name="Ess.DataRange.1">#REF!</definedName>
    <definedName name="Ess.DataRange.10">#REF!</definedName>
    <definedName name="Ess.DataRange.11">#REF!</definedName>
    <definedName name="Ess.DataRange.12">#REF!</definedName>
    <definedName name="Ess.DataRange.13">#REF!</definedName>
    <definedName name="Ess.DataRange.14">#REF!</definedName>
    <definedName name="Ess.DataRange.15">#REF!</definedName>
    <definedName name="Ess.DataRange.2">#REF!</definedName>
    <definedName name="Ess.DataRange.3">#REF!</definedName>
    <definedName name="Ess.DataRange.4">#REF!</definedName>
    <definedName name="Ess.DataRange.5">#REF!</definedName>
    <definedName name="Ess.DataRange.6">#REF!</definedName>
    <definedName name="Ess.DataRange.7">#REF!</definedName>
    <definedName name="Ess.DataRange.9">#REF!</definedName>
    <definedName name="Ess.PageHeaderRange.1">#REF!</definedName>
    <definedName name="Ess.PageHeaderRange.10">#REF!</definedName>
    <definedName name="Ess.PageHeaderRange.11">#REF!</definedName>
    <definedName name="Ess.PageHeaderRange.12">#REF!</definedName>
    <definedName name="Ess.PageHeaderRange.13">#REF!</definedName>
    <definedName name="Ess.PageHeaderRange.14">#REF!</definedName>
    <definedName name="Ess.PageHeaderRange.15">#REF!</definedName>
    <definedName name="Ess.PageHeaderRange.2">#REF!</definedName>
    <definedName name="Ess.PageHeaderRange.3">#REF!</definedName>
    <definedName name="Ess.PageHeaderRange.4">#REF!</definedName>
    <definedName name="Ess.PageHeaderRange.5">#REF!</definedName>
    <definedName name="Ess.PageHeaderRange.6">#REF!</definedName>
    <definedName name="Ess.PageHeaderRange.7">#REF!</definedName>
    <definedName name="Ess.PageHeaderRange.9">#REF!</definedName>
    <definedName name="Ess.Retrieve.Connection.1">"Sheet1!1"</definedName>
    <definedName name="Ess.Retrieve.Connection.10">"OTH_EQTY!1"</definedName>
    <definedName name="Ess.Retrieve.Connection.11">"CF_DETAIL!1"</definedName>
    <definedName name="Ess.Retrieve.Connection.12">"FA!1"</definedName>
    <definedName name="Ess.Retrieve.Connection.13">"DISPOSALS!1"</definedName>
    <definedName name="Ess.Retrieve.Connection.14">"FA_IC!1"</definedName>
    <definedName name="Ess.Retrieve.Connection.15">"IS_USD!1"</definedName>
    <definedName name="Ess.Retrieve.Connection.2">"Sheet1!1"</definedName>
    <definedName name="Ess.Retrieve.Connection.3">"Cust_Sales!1"</definedName>
    <definedName name="Ess.Retrieve.Connection.4">"Sales_%_by_Prod!1"</definedName>
    <definedName name="Ess.Retrieve.Connection.5">"BS_IC!1"</definedName>
    <definedName name="Ess.Retrieve.Connection.6">"IS_IC!1"</definedName>
    <definedName name="Ess.Retrieve.Connection.7">"INV_IC!1"</definedName>
    <definedName name="Ess.Retrieve.Connection.9">"EQUITY!1"</definedName>
    <definedName name="Ess.Retrieve.Range.1">#REF!</definedName>
    <definedName name="Ess.Retrieve.Range.10">#REF!</definedName>
    <definedName name="Ess.Retrieve.Range.11">#REF!</definedName>
    <definedName name="Ess.Retrieve.Range.12">#REF!</definedName>
    <definedName name="Ess.Retrieve.Range.13">#REF!</definedName>
    <definedName name="Ess.Retrieve.Range.14">#REF!</definedName>
    <definedName name="Ess.Retrieve.Range.15">#REF!</definedName>
    <definedName name="Ess.Retrieve.Range.2">#REF!</definedName>
    <definedName name="Ess.Retrieve.Range.3">#REF!</definedName>
    <definedName name="Ess.Retrieve.Range.4">#REF!</definedName>
    <definedName name="Ess.Retrieve.Range.5">#REF!</definedName>
    <definedName name="Ess.Retrieve.Range.6">#REF!</definedName>
    <definedName name="Ess.Retrieve.Range.7">#REF!</definedName>
    <definedName name="Ess.Retrieve.Range.9">#REF!</definedName>
    <definedName name="Ess.RowHeaderRange.1">#REF!</definedName>
    <definedName name="Ess.RowHeaderRange.10">#REF!</definedName>
    <definedName name="Ess.RowHeaderRange.11">#REF!</definedName>
    <definedName name="Ess.RowHeaderRange.12">#REF!</definedName>
    <definedName name="Ess.RowHeaderRange.13">#REF!</definedName>
    <definedName name="Ess.RowHeaderRange.14">#REF!</definedName>
    <definedName name="Ess.RowHeaderRange.15">#REF!</definedName>
    <definedName name="Ess.RowHeaderRange.2">#REF!</definedName>
    <definedName name="Ess.RowHeaderRange.3">#REF!</definedName>
    <definedName name="Ess.RowHeaderRange.4">#REF!</definedName>
    <definedName name="Ess.RowHeaderRange.5">#REF!</definedName>
    <definedName name="Ess.RowHeaderRange.6">#REF!</definedName>
    <definedName name="Ess.RowHeaderRange.7">#REF!</definedName>
    <definedName name="Ess.RowHeaderRange.9">#REF!</definedName>
    <definedName name="Ess.Send.Connection.1">"Sheet1!1"</definedName>
    <definedName name="Ess.Send.Connection.10">"OTH_EQTY!1"</definedName>
    <definedName name="Ess.Send.Connection.11">"CF_DETAIL!1"</definedName>
    <definedName name="Ess.Send.Connection.12">"FA!1"</definedName>
    <definedName name="Ess.Send.Connection.13">"DISPOSALS!1"</definedName>
    <definedName name="Ess.Send.Connection.14">"FA_IC!1"</definedName>
    <definedName name="Ess.Send.Connection.15">"IS_USD!1"</definedName>
    <definedName name="Ess.Send.Connection.2">"Standard Hour Input!1"</definedName>
    <definedName name="Ess.Send.Connection.3">"Cust_Sales!1"</definedName>
    <definedName name="Ess.Send.Connection.4">"Sales_%_by_Prod!1"</definedName>
    <definedName name="Ess.Send.Connection.5">"BS_IC!1"</definedName>
    <definedName name="Ess.Send.Connection.6">"IS_IC!1"</definedName>
    <definedName name="Ess.Send.Connection.7">"INV_IC!1"</definedName>
    <definedName name="Ess.Send.Connection.9">"EQUITY!1"</definedName>
    <definedName name="Ess.Send.Range.1">#REF!</definedName>
    <definedName name="Ess.Send.Range.10">#REF!</definedName>
    <definedName name="Ess.Send.Range.11">#REF!</definedName>
    <definedName name="Ess.Send.Range.12">#REF!</definedName>
    <definedName name="Ess.Send.Range.13">#REF!</definedName>
    <definedName name="Ess.Send.Range.14">#REF!</definedName>
    <definedName name="Ess.Send.Range.15">#REF!</definedName>
    <definedName name="Ess.Send.Range.2">#REF!</definedName>
    <definedName name="Ess.Send.Range.3">#REF!</definedName>
    <definedName name="Ess.Send.Range.4">#REF!</definedName>
    <definedName name="Ess.Send.Range.5">#REF!</definedName>
    <definedName name="Ess.Send.Range.6">#REF!</definedName>
    <definedName name="Ess.Send.Range.7">#REF!</definedName>
    <definedName name="Ess.Send.Range.9">#REF!</definedName>
    <definedName name="EssAliasTable">"Default"</definedName>
    <definedName name="essbaes">#REF!</definedName>
    <definedName name="essbase">#REF!</definedName>
    <definedName name="essbase_cust">#REF!</definedName>
    <definedName name="Essbase_Customer_Master">#REF!</definedName>
    <definedName name="Essbase_Hyperion_PBT">#REF!</definedName>
    <definedName name="essbase2">#REF!</definedName>
    <definedName name="EssLatest">"JAN"</definedName>
    <definedName name="EssOptions">"A3100000000010000010001111000_01 00"</definedName>
    <definedName name="esw" hidden="1">{"'Broadway ML#4'!$J$7:$N$490"}</definedName>
    <definedName name="ET">#N/A</definedName>
    <definedName name="ET_73_214610_01">#REF!</definedName>
    <definedName name="etgfh">balance sheet send</definedName>
    <definedName name="etr" hidden="1">{"Jabil - Personal View",#N/A,FALSE,"Passives"}</definedName>
    <definedName name="EU">#REF!</definedName>
    <definedName name="EUR">#REF!</definedName>
    <definedName name="EURA">#REF!</definedName>
    <definedName name="euro">#REF!</definedName>
    <definedName name="Europa">#REF!</definedName>
    <definedName name="EuropeDMC">#REF!</definedName>
    <definedName name="EuropePPV">#REF!</definedName>
    <definedName name="EuropeQMC">#REF!</definedName>
    <definedName name="EuropeQMP">#REF!</definedName>
    <definedName name="EuropeRevenue">#REF!</definedName>
    <definedName name="EuropeVAR">#REF!</definedName>
    <definedName name="EV__ALLOWSTOPEXPAND__" hidden="1">1</definedName>
    <definedName name="EV__CVPARAMS__" hidden="1">"Segment Variance Summary!$A$4:$B$16;"</definedName>
    <definedName name="EV__DECIMALSYMBOL__" hidden="1">"."</definedName>
    <definedName name="EV__EVCOM_OPTIONS__" hidden="1">10</definedName>
    <definedName name="EV__EXPOPTIONS__" hidden="1">0</definedName>
    <definedName name="EV__LASTREFTIME__" hidden="1">39150.4373263888</definedName>
    <definedName name="EV__LASTREFTIME___1" hidden="1">41059.9192708333</definedName>
    <definedName name="EV__LASTREFTIME___2" hidden="1">39672.8197916666</definedName>
    <definedName name="EV__LASTREFTIME___3" hidden="1">39672.8213888889</definedName>
    <definedName name="EV__LASTREFTIME___4" hidden="1">40826.8193402778</definedName>
    <definedName name="EV__LASTREFTIME___5" hidden="1">40826.7426273148</definedName>
    <definedName name="EV__LOCKEDCVW__Expense" hidden="1">"6008,CORP_FIUI_777,ALL_BP,ACTUAL_FCST,777_5246,TOTAL_INTERNAL,TOTAL_EMPLOYEE,SEGMENT,ALL_PROJECTS,USD,2008.TOTAL,PERIODIC,"</definedName>
    <definedName name="EV__LOCKEDCVW__OPERATIONS" hidden="1">"BALANCE_SHEET,INS_POWER_DED,ALL_BP,ACTUAL_FCST,TOTAL_CC,TOTAL_INTERNAL,All_Interco,SEGMENT,ALL_PROJECTS,USD,2008.NOV,PERIODIC,"</definedName>
    <definedName name="EV__LOCKEDCVW__Treasury" hidden="1">"NET_CF_TARGET,TOTAL_GLOBAL_OPS,ALL_BP,ACTUAL_FCST,ALL_CURRENCY,TOTAL_INTERNAL,All_Interco,SEGMENT,ALL_PROJECTS,USD,xxxx.Anl,PERIODIC,"</definedName>
    <definedName name="EV__LOCKEDCVW__Weekly_Tracker" hidden="1">"12,TOTAL_FLEX_ALTERNATE,ALL_BP,ACTUAL_FCST,WK_TOTAL_WEEKLY,SEGMENT,ALL_PROJECTS,USD,2011.NOV,PERIODIC,"</definedName>
    <definedName name="EV__LOCKSTATUS__" hidden="1">1</definedName>
    <definedName name="EV__MAXEXPCOLS__" hidden="1">255</definedName>
    <definedName name="EV__MAXEXPCOLS___1" hidden="1">255</definedName>
    <definedName name="EV__MAXEXPROWS__" hidden="1">1000</definedName>
    <definedName name="EV__MAXEXPROWS___1" hidden="1">1000</definedName>
    <definedName name="EV__MEMORYCVW__" hidden="1">0</definedName>
    <definedName name="EV__MEMORYCVW__ACCOUNT_WT.XLS" hidden="1">"WEEKLY_TRACKER"</definedName>
    <definedName name="EV__MEMORYCVW__ACCOUNT_WT.XLS_ACCOUNT_WT" hidden="1">"NET_CASHFLOW"</definedName>
    <definedName name="EV__MEMORYCVW__ACCOUNT_WT.XLS_ACTIVEAPPLICATION" hidden="1">"WEEKLY_TRACKER"</definedName>
    <definedName name="EV__MEMORYCVW__ACCOUNT_WT.XLS_BUSORG" hidden="1">"BU_103"</definedName>
    <definedName name="EV__MEMORYCVW__ACCOUNT_WT.XLS_BUSPARTNER_WT" hidden="1">"UND_BP"</definedName>
    <definedName name="EV__MEMORYCVW__ACCOUNT_WT.XLS_CATEGORY" hidden="1">"CURR_FCST"</definedName>
    <definedName name="EV__MEMORYCVW__ACCOUNT_WT.XLS_DATASRC" hidden="1">"TotWithAdj"</definedName>
    <definedName name="EV__MEMORYCVW__ACCOUNT_WT.XLS_MEASURES" hidden="1">"PERIODIC"</definedName>
    <definedName name="EV__MEMORYCVW__ACCOUNT_WT.XLS_PRODLINE" hidden="1">"ALL_PRODLINES"</definedName>
    <definedName name="EV__MEMORYCVW__ACCOUNT_WT.XLS_PROJECT" hidden="1">"UND_PROJECT"</definedName>
    <definedName name="EV__MEMORYCVW__ACCOUNT_WT.XLS_RPTBASIS" hidden="1">"LC"</definedName>
    <definedName name="EV__MEMORYCVW__ACCOUNT_WT.XLS_TIME_WK" hidden="1">"2005.APR"</definedName>
    <definedName name="EV__MEMORYCVW__BOOK3" hidden="1">"WEEKLY_TRACKER"</definedName>
    <definedName name="EV__MEMORYCVW__MAINMENU.XLT" hidden="1">"WEEKLY_TRACKER"</definedName>
    <definedName name="EV__MEMORYCVW__MAINMENU.XLT_ACCOUNT_OPERATIONS" hidden="1">"BALANCE_SHEET"</definedName>
    <definedName name="EV__MEMORYCVW__MAINMENU.XLT_ACCOUNT_WT" hidden="1">"WEEKLY_TRACKER_ACCTS"</definedName>
    <definedName name="EV__MEMORYCVW__MAINMENU.XLT_BUSORG" hidden="1">"MECH_MILPITAS_20F"</definedName>
    <definedName name="EV__MEMORYCVW__MAINMENU.XLT_BUSPARTNER" hidden="1">"ALL_BP"</definedName>
    <definedName name="EV__MEMORYCVW__MAINMENU.XLT_CATEGORY" hidden="1">"ACTUAL_FCST"</definedName>
    <definedName name="EV__MEMORYCVW__MAINMENU.XLT_COSTCENTER" hidden="1">"TOTAL_CC"</definedName>
    <definedName name="EV__MEMORYCVW__MAINMENU.XLT_DATASRC" hidden="1">"WKINP_WEEKLY"</definedName>
    <definedName name="EV__MEMORYCVW__MAINMENU.XLT_INTCO" hidden="1">"All_Interco"</definedName>
    <definedName name="EV__MEMORYCVW__MAINMENU.XLT_MEASURES" hidden="1">"PERIODIC"</definedName>
    <definedName name="EV__MEMORYCVW__MAINMENU.XLT_PRODUCT" hidden="1">"SEGMENT"</definedName>
    <definedName name="EV__MEMORYCVW__MAINMENU.XLT_PROJECT" hidden="1">"UND_PROJECT"</definedName>
    <definedName name="EV__MEMORYCVW__MAINMENU.XLT_RPTBASIS" hidden="1">"USD"</definedName>
    <definedName name="EV__MEMORYCVW__MAINMENU.XLT_TIME" hidden="1">"2008.TOTAL"</definedName>
    <definedName name="EV__MEMORYCVW__MAINMENU.XLT_TIME_WK" hidden="1">"2009.TOTAL"</definedName>
    <definedName name="EV__MEMORYCVW__MAINMENU1" hidden="1">"WEEKLY_TRACKER"</definedName>
    <definedName name="EV__MEMORYCVW__MAINMENU1_ACCOUNT_WT" hidden="1">"WEEKLY_TRACKER_ACCTS"</definedName>
    <definedName name="EV__MEMORYCVW__MAINMENU1_ACTIVEAPPLICATION" hidden="1">"WEEKLY_TRACKER"</definedName>
    <definedName name="EV__MEMORYCVW__MAINMENU1_BUSORG" hidden="1">"TOTAL_FLEX"</definedName>
    <definedName name="EV__MEMORYCVW__MAINMENU1_BUSPARTNER" hidden="1">"ALL_BP"</definedName>
    <definedName name="EV__MEMORYCVW__MAINMENU1_CATEGORY" hidden="1">"ACTUAL_FCST"</definedName>
    <definedName name="EV__MEMORYCVW__MAINMENU1_DATASRC" hidden="1">"TOTAL_INTERNAL"</definedName>
    <definedName name="EV__MEMORYCVW__MAINMENU1_MEASURES" hidden="1">"PERIODIC"</definedName>
    <definedName name="EV__MEMORYCVW__MAINMENU1_PRODUCT" hidden="1">"SEGMENT"</definedName>
    <definedName name="EV__MEMORYCVW__MAINMENU1_PROJECT" hidden="1">"ALL_PROJECTS"</definedName>
    <definedName name="EV__MEMORYCVW__MAINMENU1_RPTBASIS" hidden="1">"USD"</definedName>
    <definedName name="EV__MEMORYCVW__MAINMENU1_TIME_WK" hidden="1">"xxxx.Anl"</definedName>
    <definedName name="EV__MEMORYCVW__TEMPLATE11" hidden="1">"WEEKLY_TRACKER"</definedName>
    <definedName name="EV__MEMORYCVW__TEMPLATE11_ACCOUNT_WT" hidden="1">"NET_CASHFLOW"</definedName>
    <definedName name="EV__MEMORYCVW__TEMPLATE11_ACTIVEAPPLICATION" hidden="1">"WEEKLY_TRACKER"</definedName>
    <definedName name="EV__MEMORYCVW__TEMPLATE11_BUSORG" hidden="1">"BU_103"</definedName>
    <definedName name="EV__MEMORYCVW__TEMPLATE11_BUSPARTNER_WT" hidden="1">"UND_BP"</definedName>
    <definedName name="EV__MEMORYCVW__TEMPLATE11_CATEGORY" hidden="1">"CURR_FCST"</definedName>
    <definedName name="EV__MEMORYCVW__TEMPLATE11_DATASRC" hidden="1">"TotWithAdj"</definedName>
    <definedName name="EV__MEMORYCVW__TEMPLATE11_MEASURES" hidden="1">"PERIODIC"</definedName>
    <definedName name="EV__MEMORYCVW__TEMPLATE11_PRODLINE" hidden="1">"ALL_PRODLINES"</definedName>
    <definedName name="EV__MEMORYCVW__TEMPLATE11_PROJECT" hidden="1">"UND_PROJECT"</definedName>
    <definedName name="EV__MEMORYCVW__TEMPLATE11_RPTBASIS" hidden="1">"LC"</definedName>
    <definedName name="EV__MEMORYCVW__TEMPLATE11_TIME_WK" hidden="1">"2005.APR"</definedName>
    <definedName name="EV__MEMORYCVW__TEMPLATE31" hidden="1">"WEEKLY_TRACKER"</definedName>
    <definedName name="EV__MEMORYCVW__TEMPLATE31_ACCOUNT_WT" hidden="1">"NET_CASHFLOW"</definedName>
    <definedName name="EV__MEMORYCVW__TEMPLATE31_ACTIVEAPPLICATION" hidden="1">"WEEKLY_TRACKER"</definedName>
    <definedName name="EV__MEMORYCVW__TEMPLATE31_BUSORG" hidden="1">"BU_103"</definedName>
    <definedName name="EV__MEMORYCVW__TEMPLATE31_BUSPARTNER_WT" hidden="1">"UND_BP"</definedName>
    <definedName name="EV__MEMORYCVW__TEMPLATE31_CATEGORY" hidden="1">"CURR_FCST"</definedName>
    <definedName name="EV__MEMORYCVW__TEMPLATE31_DATASRC" hidden="1">"TotWithAdj"</definedName>
    <definedName name="EV__MEMORYCVW__TEMPLATE31_MEASURES" hidden="1">"PERIODIC"</definedName>
    <definedName name="EV__MEMORYCVW__TEMPLATE31_PRODLINE" hidden="1">"ALL_PRODLINES"</definedName>
    <definedName name="EV__MEMORYCVW__TEMPLATE31_PROJECT" hidden="1">"UND_PROJECT"</definedName>
    <definedName name="EV__MEMORYCVW__TEMPLATE31_RPTBASIS" hidden="1">"LC"</definedName>
    <definedName name="EV__MEMORYCVW__TEMPLATE31_TIME_WK" hidden="1">"2005.APR"</definedName>
    <definedName name="EV__MEMORYCVW__TEMPLATE51" hidden="1">"WEEKLY_TRACKER"</definedName>
    <definedName name="EV__MEMORYCVW__TEMPLATE511" hidden="1">"WEEKLY_TRACKER"</definedName>
    <definedName name="EV__MEMORYCVW__TEMPLATE7.XLT" hidden="1">"WEEKLY_TRACKER"</definedName>
    <definedName name="EV__MEMORYCVW__TEMPLATE71" hidden="1">"WEEKLY_TRACKER"</definedName>
    <definedName name="EV__WBEVMODE__" hidden="1">0</definedName>
    <definedName name="EV__WBREFOPTIONS__" hidden="1">134217751</definedName>
    <definedName name="EV__WBREFOPTIONS___1" hidden="1">134217735</definedName>
    <definedName name="EV__WBREFOPTIONS___2" hidden="1">134217728</definedName>
    <definedName name="EV__WBVERSION__" hidden="1">0</definedName>
    <definedName name="EV__WSINFO__" hidden="1">"flex"</definedName>
    <definedName name="EV__WSINFO___1" hidden="1">"gfs"</definedName>
    <definedName name="evan">#REF!</definedName>
    <definedName name="EVDRE_OverheadExpenses_C18">0</definedName>
    <definedName name="EW">balance sheet send</definedName>
    <definedName name="EWE">balance sheet send</definedName>
    <definedName name="EWEW">balance sheet send</definedName>
    <definedName name="EWR">balance sheet send</definedName>
    <definedName name="ewrt" hidden="1">{"Jabil - Personal View",#N/A,FALSE,"Passives"}</definedName>
    <definedName name="ewrtewr" hidden="1">{"Jabil - Personal View",#N/A,FALSE,"Passives"}</definedName>
    <definedName name="ewrtwe" hidden="1">{"Jabil - Personal View",#N/A,FALSE,"Passives"}</definedName>
    <definedName name="ewrwe" hidden="1">{"Jabil - Personal View",#N/A,FALSE,"Passives"}</definedName>
    <definedName name="EWRWR">balance sheet send</definedName>
    <definedName name="EWW">balance sheet send</definedName>
    <definedName name="ewy" hidden="1">{"Jabil - Personal View",#N/A,FALSE,"Passives"}</definedName>
    <definedName name="ex_gbp_usd">#REF!</definedName>
    <definedName name="EXBenefit">#REF!</definedName>
    <definedName name="EXBonus">#REF!</definedName>
    <definedName name="Excel_BuiltIn__FilterDatabase_1">#REF!</definedName>
    <definedName name="Excel_BuiltIn__FilterDatabase_1_3">#REF!</definedName>
    <definedName name="Excel_BuiltIn__FilterDatabase_1_3_1">#REF!</definedName>
    <definedName name="Excel_BuiltIn__FilterDatabase_1_3_2">#REF!</definedName>
    <definedName name="Excel_BuiltIn__FilterDatabase_1_4">#REF!</definedName>
    <definedName name="Excel_BuiltIn__FilterDatabase_1_4_1">#REF!</definedName>
    <definedName name="Excel_BuiltIn__FilterDatabase_1_4_2">#REF!</definedName>
    <definedName name="Excel_BuiltIn__FilterDatabase_2">#REF!</definedName>
    <definedName name="Excel_BuiltIn__FilterDatabase_2_1">#REF!</definedName>
    <definedName name="Excel_BuiltIn_Database">#REF!</definedName>
    <definedName name="Excel_BuiltIn_Print_Area">#REF!</definedName>
    <definedName name="Excess">#REF!</definedName>
    <definedName name="Excess_OO_Summary_NoCut">#REF!</definedName>
    <definedName name="Excess_Summary_NoCut">#REF!</definedName>
    <definedName name="ExcessAndObsoleteSOP">#REF!</definedName>
    <definedName name="ExcessByPeriodDetails">#REF!</definedName>
    <definedName name="ExcessChart">#REF!</definedName>
    <definedName name="exchange_rate">#REF!</definedName>
    <definedName name="ExecMVM">#REF!</definedName>
    <definedName name="ExecOtherAssyTime">#REF!</definedName>
    <definedName name="ExecSMTTime">#REF!</definedName>
    <definedName name="ExecSummaryForecastTopFamilies">#REF!</definedName>
    <definedName name="ExecSumPNLs">#REF!</definedName>
    <definedName name="ExecTable">#REF!</definedName>
    <definedName name="ExecTestTime">#REF!</definedName>
    <definedName name="ExecVVM">#REF!</definedName>
    <definedName name="exhibits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EXMAT">#REF!</definedName>
    <definedName name="ExtCost">#REF!</definedName>
    <definedName name="Extra_DSO">#REF!</definedName>
    <definedName name="_xlnm.Extract">#REF!</definedName>
    <definedName name="Extract_MI">#N/A</definedName>
    <definedName name="eyrt" hidden="1">{"one (KEY)",#N/A,FALSE,"P&amp;L"}</definedName>
    <definedName name="f" hidden="1">{"one (KEY)",#N/A,FALSE,"P&amp;L"}</definedName>
    <definedName name="F_DoneDate">#REF!</definedName>
    <definedName name="FA_CM">#REF!</definedName>
    <definedName name="FA_line">#REF!</definedName>
    <definedName name="FAAAAAAAAAAAAAA">balance sheet send</definedName>
    <definedName name="fabio" hidden="1">{"one (KEY)",#N/A,FALSE,"P&amp;L"}</definedName>
    <definedName name="FacBookValue">#REF!</definedName>
    <definedName name="FacCostSqFt">#REF!</definedName>
    <definedName name="fachoh2">#REF!</definedName>
    <definedName name="Facilities">#REF!</definedName>
    <definedName name="FacilitySqFt">#REF!</definedName>
    <definedName name="factoh3">#REF!</definedName>
    <definedName name="fads" hidden="1">{"cash",#N/A,FALSE,"Executive Summary";"overview",#N/A,FALSE,"Executive Summary"}</definedName>
    <definedName name="FAFDS">balance sheet send</definedName>
    <definedName name="fai_status">#REF!</definedName>
    <definedName name="fairequired">#REF!</definedName>
    <definedName name="Faktor_97_98">#REF!</definedName>
    <definedName name="FAMILIA">#REF!</definedName>
    <definedName name="FAN">#REF!</definedName>
    <definedName name="FandD">#REF!</definedName>
    <definedName name="far" hidden="1">#REF!</definedName>
    <definedName name="FASDFASDG">balance sheet send</definedName>
    <definedName name="FAzie">#REF!,#REF!,#REF!,#REF!,#REF!,#REF!,#REF!,#REF!,#REF!,#REF!,#REF!</definedName>
    <definedName name="FBA">#REF!</definedName>
    <definedName name="fbhjh" hidden="1">#REF!</definedName>
    <definedName name="FC">#REF!</definedName>
    <definedName name="fc1h6" hidden="1">#REF!</definedName>
    <definedName name="fcc9h" hidden="1">#REF!</definedName>
    <definedName name="fchj" hidden="1">#REF!</definedName>
    <definedName name="FCode" hidden="1">#REF!</definedName>
    <definedName name="fcsrt">balance sheet send</definedName>
    <definedName name="fcst" localSheetId="1">balance sheet send</definedName>
    <definedName name="fcst">balance sheet send</definedName>
    <definedName name="fcst_month">#N/A</definedName>
    <definedName name="fcst_month_detail">#REF!</definedName>
    <definedName name="FcstAcce">#REF!</definedName>
    <definedName name="FCT_DATA">#REF!</definedName>
    <definedName name="FCT_LABELS">#REF!</definedName>
    <definedName name="FCT1DebugRepair">#REF!</definedName>
    <definedName name="FCT1Time">#REF!</definedName>
    <definedName name="FCT2DebugRepair">#REF!</definedName>
    <definedName name="FCT2Time">#REF!</definedName>
    <definedName name="FCT3DebugRepair">#REF!</definedName>
    <definedName name="FCT3Time">#REF!</definedName>
    <definedName name="FCT4DebugRepair">#REF!</definedName>
    <definedName name="FCT4Time">#REF!</definedName>
    <definedName name="FCT5DebugRepair">#REF!</definedName>
    <definedName name="FCT5Time">#REF!</definedName>
    <definedName name="FCT6DebugRepair">#REF!</definedName>
    <definedName name="FCT6Time">#REF!</definedName>
    <definedName name="FCTDepYN">#REF!</definedName>
    <definedName name="FCTRepairTime">#REF!</definedName>
    <definedName name="FCTStaff">#REF!</definedName>
    <definedName name="FCTTech">#REF!</definedName>
    <definedName name="FCTTestTime">#REF!</definedName>
    <definedName name="FCTTime">#REF!</definedName>
    <definedName name="FCTYield">#REF!</definedName>
    <definedName name="FCWW">#REF!</definedName>
    <definedName name="fd" hidden="1">{"one (KEY)",#N/A,FALSE,"P&amp;L"}</definedName>
    <definedName name="FDDDSSSSSSSSSSSSSSSSSSSSSSSSSS">balance sheet send</definedName>
    <definedName name="fddsfgd" hidden="1">{"Jabil - Personal View",#N/A,FALSE,"Passives"}</definedName>
    <definedName name="FDF">balance sheet send</definedName>
    <definedName name="FDFD">balance sheet send</definedName>
    <definedName name="FDG">balance sheet send</definedName>
    <definedName name="FDGDFHGJ">balance sheet send</definedName>
    <definedName name="fdgdfsg" hidden="1">{"Jabil - Personal View",#N/A,FALSE,"Passives"}</definedName>
    <definedName name="fdgfd" hidden="1">{"one (KEY)",#N/A,FALSE,"P&amp;L"}</definedName>
    <definedName name="FDGFG">balance sheet send</definedName>
    <definedName name="fdghd" hidden="1">{"Jabil - Personal View",#N/A,FALSE,"Passives"}</definedName>
    <definedName name="fdghf" hidden="1">{"Jabil - Personal View",#N/A,FALSE,"Passives"}</definedName>
    <definedName name="fdghfdgh" hidden="1">{"Jabil - Personal View",#N/A,FALSE,"Passives"}</definedName>
    <definedName name="fdghfg" hidden="1">{"Jabil - Personal View",#N/A,FALSE,"Passives"}</definedName>
    <definedName name="fdghfgh" hidden="1">{"Jabil - Personal View",#N/A,FALSE,"Passives"}</definedName>
    <definedName name="fdghg" hidden="1">{"Jabil - Personal View",#N/A,FALSE,"Passives"}</definedName>
    <definedName name="fdghgdh" hidden="1">{"Jabil - Personal View",#N/A,FALSE,"Passives"}</definedName>
    <definedName name="fdh" hidden="1">{"Jabil - Personal View",#N/A,FALSE,"Passives"}</definedName>
    <definedName name="fdhdfg" hidden="1">{"Jabil - Personal View",#N/A,FALSE,"Passives"}</definedName>
    <definedName name="fdhf" hidden="1">{"one (KEY)",#N/A,FALSE,"P&amp;L"}</definedName>
    <definedName name="fdhfd" hidden="1">{"one (KEY)",#N/A,FALSE,"P&amp;L"}</definedName>
    <definedName name="fdhfg" hidden="1">{"Jabil - Personal View",#N/A,FALSE,"Passives"}</definedName>
    <definedName name="fdhfhfh">#REF!</definedName>
    <definedName name="fdhhg" hidden="1">{"one (KEY)",#N/A,FALSE,"P&amp;L"}</definedName>
    <definedName name="fdj" hidden="1">{"one (KEY)",#N/A,FALSE,"P&amp;L"}</definedName>
    <definedName name="fdjdf" hidden="1">{"Jabil - Personal View",#N/A,FALSE,"Passives"}</definedName>
    <definedName name="fdjdfj" hidden="1">{"Jabil - Personal View",#N/A,FALSE,"Passives"}</definedName>
    <definedName name="fdjdghj" hidden="1">{"Jabil - Personal View",#N/A,FALSE,"Passives"}</definedName>
    <definedName name="fdjgh" hidden="1">{"one (KEY)",#N/A,FALSE,"P&amp;L"}</definedName>
    <definedName name="FDJGHKJ">balance sheet send</definedName>
    <definedName name="FDJGKJH">balance sheet send</definedName>
    <definedName name="FDRate">#REF!</definedName>
    <definedName name="FDS">balance sheet send</definedName>
    <definedName name="fdsaf" hidden="1">#REF!</definedName>
    <definedName name="FDSDF">balance sheet send</definedName>
    <definedName name="fdsfsdfdsf" hidden="1">#REF!</definedName>
    <definedName name="FDSG">balance sheet send</definedName>
    <definedName name="fdsgdfgd" hidden="1">{"Jabil - Personal View",#N/A,FALSE,"Passives"}</definedName>
    <definedName name="fdsghdfhg" hidden="1">{"Jabil - Personal View",#N/A,FALSE,"Passives"}</definedName>
    <definedName name="fdsgsdgf" hidden="1">{"Jabil - Personal View",#N/A,FALSE,"Passives"}</definedName>
    <definedName name="FDSS">#REF!</definedName>
    <definedName name="Fe">#REF!</definedName>
    <definedName name="feb">#REF!</definedName>
    <definedName name="FebSun1">DATEVALUE("2/1/"&amp;#REF!)-WEEKDAY(DATEVALUE("2/1/"&amp;#REF!))+1</definedName>
    <definedName name="Fecha">#REF!</definedName>
    <definedName name="FF">#REF!</definedName>
    <definedName name="FF_1">#REF!</definedName>
    <definedName name="FFDF">balance sheet send</definedName>
    <definedName name="ffefg" hidden="1">{"one (KEY)",#N/A,FALSE,"P&amp;L"}</definedName>
    <definedName name="FFF">balance sheet send</definedName>
    <definedName name="fffeq" hidden="1">{"Annual",#N/A,FALSE,"Sales &amp; Market";"Quarterly",#N/A,FALSE,"Sales &amp; Market"}</definedName>
    <definedName name="FFFF">#REF!</definedName>
    <definedName name="fffff">balance sheet send</definedName>
    <definedName name="fffffff" hidden="1">{"'Broadway ML#4'!$J$7:$N$490"}</definedName>
    <definedName name="ffffffff" hidden="1">{"one (KEY)",#N/A,FALSE,"P&amp;L"}</definedName>
    <definedName name="ffffffffff">balance sheet send</definedName>
    <definedName name="FFFFFFFFFFFF">balance sheet send</definedName>
    <definedName name="FFFFFFFFFFFFFFF">balance sheet send</definedName>
    <definedName name="FFGFFSA">balance sheet send</definedName>
    <definedName name="fg">#REF!</definedName>
    <definedName name="FGD">balance sheet send</definedName>
    <definedName name="fgdf" hidden="1">{"'Broadway ML#4'!$J$7:$N$490"}</definedName>
    <definedName name="fgdfg" hidden="1">{"Jabil - Personal View",#N/A,FALSE,"Passives"}</definedName>
    <definedName name="fgfd" hidden="1">{"Jabil - Personal View",#N/A,FALSE,"Passives"}</definedName>
    <definedName name="FGFJH">#REF!</definedName>
    <definedName name="fggyj" hidden="1">#REF!</definedName>
    <definedName name="FGH">balance sheet send</definedName>
    <definedName name="fghdf" hidden="1">{"Jabil - Personal View",#N/A,FALSE,"Passives"}</definedName>
    <definedName name="fghdfh" hidden="1">{"Jabil - Personal View",#N/A,FALSE,"Passives"}</definedName>
    <definedName name="fghdfhg" hidden="1">{"Jabil - Personal View",#N/A,FALSE,"Passives"}</definedName>
    <definedName name="fghdh" hidden="1">{"Jabil - Personal View",#N/A,FALSE,"Passives"}</definedName>
    <definedName name="fghfdgh" hidden="1">{"Jabil - Personal View",#N/A,FALSE,"Passives"}</definedName>
    <definedName name="fghfg" hidden="1">{"one (KEY)",#N/A,FALSE,"P&amp;L"}</definedName>
    <definedName name="fghfgh" hidden="1">{"Jabil - Personal View",#N/A,FALSE,"Passives"}</definedName>
    <definedName name="fghfghfgh" hidden="1">{"Jabil - Personal View",#N/A,FALSE,"Passives"}</definedName>
    <definedName name="FGHGGH">balance sheet send</definedName>
    <definedName name="FGHGGHH">balance sheet send</definedName>
    <definedName name="fghh" hidden="1">{"Jabil - Personal View",#N/A,FALSE,"Passives"}</definedName>
    <definedName name="fghjghjghjgh">balance sheet send</definedName>
    <definedName name="fghki" hidden="1">#REF!</definedName>
    <definedName name="fghkjhijlk" hidden="1">#REF!</definedName>
    <definedName name="fghkuok" hidden="1">#REF!</definedName>
    <definedName name="fghlkjlk" hidden="1">#REF!</definedName>
    <definedName name="fgjdf" hidden="1">{"Jabil - Personal View",#N/A,FALSE,"Passives"}</definedName>
    <definedName name="fgjf" hidden="1">#REF!</definedName>
    <definedName name="FGJFJ">balance sheet send</definedName>
    <definedName name="FGJJH">balance sheet send</definedName>
    <definedName name="fgsdfg" hidden="1">{"Jabil - Personal View",#N/A,FALSE,"Passives"}</definedName>
    <definedName name="fgt" hidden="1">{"Annual",#N/A,FALSE,"Sales &amp; Market";"Quarterly",#N/A,FALSE,"Sales &amp; Market"}</definedName>
    <definedName name="fgxhjjgklh" hidden="1">#REF!</definedName>
    <definedName name="fgyiu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fh" hidden="1">#REF!</definedName>
    <definedName name="fh5c" hidden="1">#REF!</definedName>
    <definedName name="fhdgh" hidden="1">#REF!</definedName>
    <definedName name="fhdhfh">#REF!</definedName>
    <definedName name="fhdhfhh">#REF!</definedName>
    <definedName name="fhf" hidden="1">{"'Broadway ML#4'!$J$7:$N$490"}</definedName>
    <definedName name="fhhfhf">#REF!</definedName>
    <definedName name="fhhj" hidden="1">#REF!</definedName>
    <definedName name="fhi" hidden="1">#REF!</definedName>
    <definedName name="fhj" hidden="1">#REF!</definedName>
    <definedName name="fhjd" hidden="1">#REF!</definedName>
    <definedName name="fhjfd" hidden="1">#REF!</definedName>
    <definedName name="fhjgjlf" hidden="1">#REF!</definedName>
    <definedName name="fhjgkjgkl" hidden="1">#REF!</definedName>
    <definedName name="fhkfgh" hidden="1">#REF!</definedName>
    <definedName name="fhkj" hidden="1">#REF!</definedName>
    <definedName name="fhljhlkjdfh" hidden="1">#REF!</definedName>
    <definedName name="fhujf" hidden="1">#REF!</definedName>
    <definedName name="fhukdhjfk" hidden="1">#REF!</definedName>
    <definedName name="FI">#REF!</definedName>
    <definedName name="File" hidden="1">{"one (KEY)",#N/A,FALSE,"P&amp;L"}</definedName>
    <definedName name="files">#REF!</definedName>
    <definedName name="filing">#REF!</definedName>
    <definedName name="FIMA">#REF!</definedName>
    <definedName name="FINAL">#REF!</definedName>
    <definedName name="FINAL..">#REF!</definedName>
    <definedName name="FINAL_CONFIG">#REF!</definedName>
    <definedName name="FINAL_CONFIG..">#REF!</definedName>
    <definedName name="FINAL_INSPECT">#REF!</definedName>
    <definedName name="FINAL_INSPECT..">#REF!</definedName>
    <definedName name="finalassy_noParts">#N/A</definedName>
    <definedName name="Finance">#REF!</definedName>
    <definedName name="FinanceStatement">#REF!,#REF!,#REF!</definedName>
    <definedName name="FinanceStatements">#REF!,#REF!</definedName>
    <definedName name="Financial" hidden="1">{"one (KEY)",#N/A,FALSE,"P&amp;L"}</definedName>
    <definedName name="FINANZ">#REF!</definedName>
    <definedName name="FinAssets">#REF!</definedName>
    <definedName name="FinePitch">#REF!</definedName>
    <definedName name="finishingrequirements">#REF!</definedName>
    <definedName name="FireAllocEventRange">#REF!</definedName>
    <definedName name="First.Data.Row">#REF!</definedName>
    <definedName name="First_Invoice_Table">#REF!</definedName>
    <definedName name="FirstDate">#REF!</definedName>
    <definedName name="fiscal_month_table">#REF!</definedName>
    <definedName name="Fiscal_Years">#REF!</definedName>
    <definedName name="FISICA">#REF!</definedName>
    <definedName name="FixGPrate">#REF!</definedName>
    <definedName name="fj" hidden="1">#REF!</definedName>
    <definedName name="fjfjkf" hidden="1">#REF!</definedName>
    <definedName name="FJHK">balance sheet send</definedName>
    <definedName name="fjjhukjikd" hidden="1">#REF!</definedName>
    <definedName name="FJKSJDFK">balance sheet send</definedName>
    <definedName name="fjlkfh" hidden="1">#REF!</definedName>
    <definedName name="fkj" hidden="1">#REF!</definedName>
    <definedName name="fkjfkj" hidden="1">#REF!</definedName>
    <definedName name="fkjglk" hidden="1">#REF!</definedName>
    <definedName name="fkjhjkdghjdjuyhj" hidden="1">#REF!</definedName>
    <definedName name="fkkgl" hidden="1">#REF!</definedName>
    <definedName name="Flex_4_IC_Sales">#N/A</definedName>
    <definedName name="Flex4_IC_Sales_last_week">#N/A</definedName>
    <definedName name="Flex4_lastweek">#N/A</definedName>
    <definedName name="Flex4_rev_month">#N/A</definedName>
    <definedName name="Flex4_Statistics_all">#N/A</definedName>
    <definedName name="Flex4_Statistics_lastweek">#N/A</definedName>
    <definedName name="FlyingProbe">#REF!</definedName>
    <definedName name="FMNFF">balance sheet send</definedName>
    <definedName name="fmoh">#N/A</definedName>
    <definedName name="fmxatp">#REF!</definedName>
    <definedName name="FOB">#REF!</definedName>
    <definedName name="Footnote1">#REF!</definedName>
    <definedName name="Footnote2">#REF!</definedName>
    <definedName name="Footnote3">#REF!</definedName>
    <definedName name="fore" hidden="1">{"one (KEY)",#N/A,FALSE,"P&amp;L"}</definedName>
    <definedName name="FORECAST" localSheetId="1">balance sheet send</definedName>
    <definedName name="FORECAST">balance sheet send</definedName>
    <definedName name="FORECAST_w21">#REF!</definedName>
    <definedName name="FORECASTCHART">#REF!</definedName>
    <definedName name="FORECASTCOMPARISONDETAILS">#REF!</definedName>
    <definedName name="FORECASTCOMPARISONSOP">#REF!</definedName>
    <definedName name="FORECASTCOMPARISONWITHDETAILS">#REF!</definedName>
    <definedName name="FORECASTFAMILYTOP5DollarCurrentMonth">#REF!</definedName>
    <definedName name="FORECASTFAMILYTOP5DollarCURRENTMONTH1">#REF!</definedName>
    <definedName name="FORECASTFAMILYTOP5DollarCURRENTQUARTER">#REF!</definedName>
    <definedName name="FORECASTFAMILYTOP5DollarCURRENTQUARTER1">#REF!</definedName>
    <definedName name="FORECASTFAMILYTOP5DOLLARFULLHORIZON">#REF!</definedName>
    <definedName name="FORECASTFAMILYTOP5QTYCURRENTMONTH">#REF!</definedName>
    <definedName name="FORECASTFAMILYTOP5QTYCURRENTMONTH1">#REF!</definedName>
    <definedName name="FORECASTFAMILYTOP5QTYCURRENTQUARTER">#REF!</definedName>
    <definedName name="FORECASTFAMILYTOP5QTYCURRENTQUARTER1">#REF!</definedName>
    <definedName name="FORECASTFAMILYTOP5QTYFULLHORIZON">#REF!</definedName>
    <definedName name="FORECASTFPNTOP5DECREASEDOLLARCURRENTMONTH">#REF!</definedName>
    <definedName name="FORECASTFPNTOP5DECREASEQTYCURRENTMONTH">#REF!</definedName>
    <definedName name="FORECASTFPNTOP5INCREASEDOLLARCURRENTMONTH">#REF!</definedName>
    <definedName name="FORECASTFPNTOP5INCREASEQTYCURRENTMONTH">#REF!</definedName>
    <definedName name="FORECASTTOPFAMILIES">#REF!</definedName>
    <definedName name="FORECASTTOPITEMS">#REF!</definedName>
    <definedName name="forecastw19">#REF!</definedName>
    <definedName name="Forecastw241">#REF!</definedName>
    <definedName name="FORK">#REF!</definedName>
    <definedName name="FORK_1">#REF!</definedName>
    <definedName name="Format">#REF!</definedName>
    <definedName name="FormatLU">#REF!</definedName>
    <definedName name="Found">#REF!</definedName>
    <definedName name="FOURTH">#REF!</definedName>
    <definedName name="fp">#REF!</definedName>
    <definedName name="FP_ee" hidden="1">{"'Broadway ML#4'!$J$7:$N$490"}</definedName>
    <definedName name="FPLabor">#REF!</definedName>
    <definedName name="FPPLUS" hidden="1">{"'Broadway ML#4'!$J$7:$N$490"}</definedName>
    <definedName name="Frame_Sealing_Station">#N/A</definedName>
    <definedName name="FRAMES">#REF!</definedName>
    <definedName name="FRAMES..">#REF!</definedName>
    <definedName name="Frank">#REF!</definedName>
    <definedName name="FrATM">#REF!</definedName>
    <definedName name="frdy">#REF!</definedName>
    <definedName name="fred">#REF!</definedName>
    <definedName name="FreezeCell">#REF!</definedName>
    <definedName name="FREIGHT">#REF!</definedName>
    <definedName name="Fremont">#REF!</definedName>
    <definedName name="FreqName">#REF!</definedName>
    <definedName name="Frequency">#REF!</definedName>
    <definedName name="FRF">#REF!</definedName>
    <definedName name="FRFA">#REF!</definedName>
    <definedName name="Friday">#REF!</definedName>
    <definedName name="Fringe">#REF!</definedName>
    <definedName name="frt">#REF!</definedName>
    <definedName name="FSASDG">balance sheet send</definedName>
    <definedName name="FSDAGEDFG">balance sheet send</definedName>
    <definedName name="FSDF">balance sheet send</definedName>
    <definedName name="FSDFASF">balance sheet send</definedName>
    <definedName name="FSDFSD">balance sheet send</definedName>
    <definedName name="FSDHS">balance sheet send</definedName>
    <definedName name="fsghfsh" hidden="1">{"Jabil - Personal View",#N/A,FALSE,"Passives"}</definedName>
    <definedName name="FSJFKDF">balance sheet send</definedName>
    <definedName name="FT1Yield">#REF!</definedName>
    <definedName name="FT2Yield">#REF!</definedName>
    <definedName name="FT3Yield">#REF!</definedName>
    <definedName name="FT4Yield">#REF!</definedName>
    <definedName name="FT5Yield">#REF!</definedName>
    <definedName name="FT6Yield">#REF!</definedName>
    <definedName name="FTDebugTimeAdder">#REF!</definedName>
    <definedName name="FTDefaultComp">#REF!</definedName>
    <definedName name="FTestBaseCell">#REF!</definedName>
    <definedName name="ftw" hidden="1">{#N/A,#N/A,FALSE,"Summary";#N/A,#N/A,FALSE,"Service";#N/A,#N/A,FALSE,"Carriage";#N/A,#N/A,FALSE,"Backbone"}</definedName>
    <definedName name="ftyui" hidden="1">{"'B-S Accounts Translation'!$A$1:$G$190"}</definedName>
    <definedName name="fuck" hidden="1">{"one (KEY)",#N/A,FALSE,"P&amp;L"}</definedName>
    <definedName name="fuhk" hidden="1">#REF!</definedName>
    <definedName name="fuhkfgjdy" hidden="1">#REF!</definedName>
    <definedName name="fuhkigl" hidden="1">#REF!</definedName>
    <definedName name="fukhk" hidden="1">#REF!</definedName>
    <definedName name="fukjfy" hidden="1">#REF!</definedName>
    <definedName name="functional1_debugTime">#REF!</definedName>
    <definedName name="functional1_reworkTime">#REF!</definedName>
    <definedName name="functional1_reworkYield">#REF!</definedName>
    <definedName name="functional1_testTime">#REF!</definedName>
    <definedName name="functional1Yield">#REF!</definedName>
    <definedName name="functional2_debugTime">#REF!</definedName>
    <definedName name="functional2_reworkTime">#REF!</definedName>
    <definedName name="functional2_reworkYield">#REF!</definedName>
    <definedName name="functional2_testTime">#REF!</definedName>
    <definedName name="functional2Yield">#REF!</definedName>
    <definedName name="Functional3">#N/A</definedName>
    <definedName name="functional3_debugTime">#REF!</definedName>
    <definedName name="functional3_reworkTime">#REF!</definedName>
    <definedName name="functional3_reworkYield">#REF!</definedName>
    <definedName name="functional3_testTime">#REF!</definedName>
    <definedName name="functional3Yield">#REF!</definedName>
    <definedName name="FUSE">#REF!</definedName>
    <definedName name="fvg" hidden="1">{#N/A,#N/A,FALSE,"Summary";#N/A,#N/A,FALSE,"Service";#N/A,#N/A,FALSE,"Carriage";#N/A,#N/A,FALSE,"Backbone"}</definedName>
    <definedName name="fvj" hidden="1">{#N/A,#N/A,FALSE,"Summary";#N/A,#N/A,FALSE,"Service";#N/A,#N/A,FALSE,"Carriage";#N/A,#N/A,FALSE,"Backbone"}</definedName>
    <definedName name="fwfr" hidden="1">{"one (KEY)",#N/A,FALSE,"P&amp;L"}</definedName>
    <definedName name="FY">#REF!</definedName>
    <definedName name="FY_Data">OFFSET(#REF!,0,0,1,COUNTA(#REF!))</definedName>
    <definedName name="FY_Range">#REF!</definedName>
    <definedName name="FY02CUR" hidden="1">#REF!</definedName>
    <definedName name="FY06_Act">#REF!</definedName>
    <definedName name="fyaop">#REF!</definedName>
    <definedName name="FYEATGDELTA">#REF!</definedName>
    <definedName name="FYEATGDELTA_9M_2005">#REF!</definedName>
    <definedName name="FYEATGDELTA_9M_2006">#REF!</definedName>
    <definedName name="FYEATGDELTA_9M_2007">#REF!</definedName>
    <definedName name="FYEATGDELTA_9M_2008">#REF!</definedName>
    <definedName name="FYEATGDELTA_9M_2009">#REF!</definedName>
    <definedName name="FYEATGDELTA_9M_2010">#REF!</definedName>
    <definedName name="FYEATGDELTA_9M_2011">#REF!</definedName>
    <definedName name="FYEATGDELTA_9M_2012">#REF!</definedName>
    <definedName name="FYEATGDELTA_9M_2013">#REF!</definedName>
    <definedName name="FYEATGDELTA_9M_2014">#REF!</definedName>
    <definedName name="FYEATGDELTA_9M_2015">#REF!</definedName>
    <definedName name="FYEATGDELTA_H1_2005">#REF!</definedName>
    <definedName name="FYEATGDELTA_H1_2006">#REF!</definedName>
    <definedName name="FYEATGDELTA_H1_2007">#REF!</definedName>
    <definedName name="FYEATGDELTA_H1_2008">#REF!</definedName>
    <definedName name="FYEATGDELTA_H1_2009">#REF!</definedName>
    <definedName name="FYEATGDELTA_H1_2010">#REF!</definedName>
    <definedName name="FYEATGDELTA_H1_2011">#REF!</definedName>
    <definedName name="FYEATGDELTA_H1_2012">#REF!</definedName>
    <definedName name="FYEATGDELTA_H1_2013">#REF!</definedName>
    <definedName name="FYEATGDELTA_H1_2014">#REF!</definedName>
    <definedName name="FYEATGDELTA_H1_2015">#REF!</definedName>
    <definedName name="FYEATGDELTA_H2_2005">#REF!</definedName>
    <definedName name="FYEATGDELTA_H2_2006">#REF!</definedName>
    <definedName name="FYEATGDELTA_H2_2007">#REF!</definedName>
    <definedName name="FYEATGDELTA_H2_2008">#REF!</definedName>
    <definedName name="FYEATGDELTA_H2_2009">#REF!</definedName>
    <definedName name="FYEATGDELTA_H2_2010">#REF!</definedName>
    <definedName name="FYEATGDELTA_H2_2011">#REF!</definedName>
    <definedName name="FYEATGDELTA_H2_2012">#REF!</definedName>
    <definedName name="FYEATGDELTA_H2_2013">#REF!</definedName>
    <definedName name="FYEATGDELTA_H2_2014">#REF!</definedName>
    <definedName name="FYEATGDELTA_H2_2015">#REF!</definedName>
    <definedName name="FYEATGDELTA_Q1_2005">#REF!</definedName>
    <definedName name="FYEATGDELTA_Q1_2006">#REF!</definedName>
    <definedName name="FYEATGDELTA_Q1_2007">#REF!</definedName>
    <definedName name="FYEATGDELTA_Q1_2008">#REF!</definedName>
    <definedName name="FYEATGDELTA_Q1_2009">#REF!</definedName>
    <definedName name="FYEATGDELTA_Q1_2010">#REF!</definedName>
    <definedName name="FYEATGDELTA_Q1_2011">#REF!</definedName>
    <definedName name="FYEATGDELTA_Q1_2012">#REF!</definedName>
    <definedName name="FYEATGDELTA_Q1_2013">#REF!</definedName>
    <definedName name="FYEATGDELTA_Q1_2014">#REF!</definedName>
    <definedName name="FYEATGDELTA_Q1_2015">#REF!</definedName>
    <definedName name="FYEATGDELTA_Q2_2005">#REF!</definedName>
    <definedName name="FYEATGDELTA_Q2_2006">#REF!</definedName>
    <definedName name="FYEATGDELTA_Q2_2007">#REF!</definedName>
    <definedName name="FYEATGDELTA_Q2_2008">#REF!</definedName>
    <definedName name="FYEATGDELTA_Q2_2009">#REF!</definedName>
    <definedName name="FYEATGDELTA_Q2_2010">#REF!</definedName>
    <definedName name="FYEATGDELTA_Q2_2011">#REF!</definedName>
    <definedName name="FYEATGDELTA_Q2_2012">#REF!</definedName>
    <definedName name="FYEATGDELTA_Q2_2013">#REF!</definedName>
    <definedName name="FYEATGDELTA_Q2_2014">#REF!</definedName>
    <definedName name="FYEATGDELTA_Q2_2015">#REF!</definedName>
    <definedName name="FYEATGDELTA_Q3_2005">#REF!</definedName>
    <definedName name="FYEATGDELTA_Q3_2006">#REF!</definedName>
    <definedName name="FYEATGDELTA_Q3_2007">#REF!</definedName>
    <definedName name="FYEATGDELTA_Q3_2008">#REF!</definedName>
    <definedName name="FYEATGDELTA_Q3_2009">#REF!</definedName>
    <definedName name="FYEATGDELTA_Q3_2010">#REF!</definedName>
    <definedName name="FYEATGDELTA_Q3_2011">#REF!</definedName>
    <definedName name="FYEATGDELTA_Q3_2012">#REF!</definedName>
    <definedName name="FYEATGDELTA_Q3_2013">#REF!</definedName>
    <definedName name="FYEATGDELTA_Q3_2014">#REF!</definedName>
    <definedName name="FYEATGDELTA_Q3_2015">#REF!</definedName>
    <definedName name="FYEATGDELTA_Q4_2005">#REF!</definedName>
    <definedName name="FYEATGDELTA_Q4_2006">#REF!</definedName>
    <definedName name="FYEATGDELTA_Q4_2007">#REF!</definedName>
    <definedName name="FYEATGDELTA_Q4_2008">#REF!</definedName>
    <definedName name="FYEATGDELTA_Q4_2009">#REF!</definedName>
    <definedName name="FYEATGDELTA_Q4_2010">#REF!</definedName>
    <definedName name="FYEATGDELTA_Q4_2011">#REF!</definedName>
    <definedName name="FYEATGDELTA_Q4_2012">#REF!</definedName>
    <definedName name="FYEATGDELTA_Q4_2013">#REF!</definedName>
    <definedName name="FYEATGDELTA_Q4_2014">#REF!</definedName>
    <definedName name="FYEATGDELTA_Q4_2015">#REF!</definedName>
    <definedName name="FYEATGDELTA_Y1_2005">#REF!</definedName>
    <definedName name="FYEATGDELTA_Y1_2006">#REF!</definedName>
    <definedName name="FYEATGDELTA_Y1_2007">#REF!</definedName>
    <definedName name="FYEATGDELTA_Y1_2008">#REF!</definedName>
    <definedName name="FYEATGDELTA_Y1_2009">#REF!</definedName>
    <definedName name="FYEATGDELTA_Y1_2010">#REF!</definedName>
    <definedName name="FYEATGDELTA_Y1_2011">#REF!</definedName>
    <definedName name="FYEATGDELTA_Y1_2012">#REF!</definedName>
    <definedName name="FYEATGDELTA_Y1_2013">#REF!</definedName>
    <definedName name="FYEATGDELTA_Y1_2014">#REF!</definedName>
    <definedName name="FYEATGDELTA_Y1_2015">#REF!</definedName>
    <definedName name="FYEATGUIDD">#REF!</definedName>
    <definedName name="FYEATGUIDD_9M_2005">#REF!</definedName>
    <definedName name="FYEATGUIDD_9M_2006">#REF!</definedName>
    <definedName name="FYEATGUIDD_9M_2007">#REF!</definedName>
    <definedName name="FYEATGUIDD_9M_2008">#REF!</definedName>
    <definedName name="FYEATGUIDD_9M_2009">#REF!</definedName>
    <definedName name="FYEATGUIDD_9M_2010">#REF!</definedName>
    <definedName name="FYEATGUIDD_9M_2011">#REF!</definedName>
    <definedName name="FYEATGUIDD_9M_2012">#REF!</definedName>
    <definedName name="FYEATGUIDD_9M_2013">#REF!</definedName>
    <definedName name="FYEATGUIDD_9M_2014">#REF!</definedName>
    <definedName name="FYEATGUIDD_9M_2015">#REF!</definedName>
    <definedName name="FYEATGUIDD_H1_2005">#REF!</definedName>
    <definedName name="FYEATGUIDD_H1_2006">#REF!</definedName>
    <definedName name="FYEATGUIDD_H1_2007">#REF!</definedName>
    <definedName name="FYEATGUIDD_H1_2008">#REF!</definedName>
    <definedName name="FYEATGUIDD_H1_2009">#REF!</definedName>
    <definedName name="FYEATGUIDD_H1_2010">#REF!</definedName>
    <definedName name="FYEATGUIDD_H1_2011">#REF!</definedName>
    <definedName name="FYEATGUIDD_H1_2012">#REF!</definedName>
    <definedName name="FYEATGUIDD_H1_2013">#REF!</definedName>
    <definedName name="FYEATGUIDD_H1_2014">#REF!</definedName>
    <definedName name="FYEATGUIDD_H1_2015">#REF!</definedName>
    <definedName name="FYEATGUIDD_H2_2005">#REF!</definedName>
    <definedName name="FYEATGUIDD_H2_2006">#REF!</definedName>
    <definedName name="FYEATGUIDD_H2_2007">#REF!</definedName>
    <definedName name="FYEATGUIDD_H2_2008">#REF!</definedName>
    <definedName name="FYEATGUIDD_H2_2009">#REF!</definedName>
    <definedName name="FYEATGUIDD_H2_2010">#REF!</definedName>
    <definedName name="FYEATGUIDD_H2_2011">#REF!</definedName>
    <definedName name="FYEATGUIDD_H2_2012">#REF!</definedName>
    <definedName name="FYEATGUIDD_H2_2013">#REF!</definedName>
    <definedName name="FYEATGUIDD_H2_2014">#REF!</definedName>
    <definedName name="FYEATGUIDD_H2_2015">#REF!</definedName>
    <definedName name="FYEATGUIDD_Q1_2005">#REF!</definedName>
    <definedName name="FYEATGUIDD_Q1_2006">#REF!</definedName>
    <definedName name="FYEATGUIDD_Q1_2007">#REF!</definedName>
    <definedName name="FYEATGUIDD_Q1_2008">#REF!</definedName>
    <definedName name="FYEATGUIDD_Q1_2009">#REF!</definedName>
    <definedName name="FYEATGUIDD_Q1_2010">#REF!</definedName>
    <definedName name="FYEATGUIDD_Q1_2011">#REF!</definedName>
    <definedName name="FYEATGUIDD_Q1_2012">#REF!</definedName>
    <definedName name="FYEATGUIDD_Q1_2013">#REF!</definedName>
    <definedName name="FYEATGUIDD_Q1_2014">#REF!</definedName>
    <definedName name="FYEATGUIDD_Q1_2015">#REF!</definedName>
    <definedName name="FYEATGUIDD_Q2_2005">#REF!</definedName>
    <definedName name="FYEATGUIDD_Q2_2006">#REF!</definedName>
    <definedName name="FYEATGUIDD_Q2_2007">#REF!</definedName>
    <definedName name="FYEATGUIDD_Q2_2008">#REF!</definedName>
    <definedName name="FYEATGUIDD_Q2_2009">#REF!</definedName>
    <definedName name="FYEATGUIDD_Q2_2010">#REF!</definedName>
    <definedName name="FYEATGUIDD_Q2_2011">#REF!</definedName>
    <definedName name="FYEATGUIDD_Q2_2012">#REF!</definedName>
    <definedName name="FYEATGUIDD_Q2_2013">#REF!</definedName>
    <definedName name="FYEATGUIDD_Q2_2014">#REF!</definedName>
    <definedName name="FYEATGUIDD_Q2_2015">#REF!</definedName>
    <definedName name="FYEATGUIDD_Q3_2005">#REF!</definedName>
    <definedName name="FYEATGUIDD_Q3_2006">#REF!</definedName>
    <definedName name="FYEATGUIDD_Q3_2007">#REF!</definedName>
    <definedName name="FYEATGUIDD_Q3_2008">#REF!</definedName>
    <definedName name="FYEATGUIDD_Q3_2009">#REF!</definedName>
    <definedName name="FYEATGUIDD_Q3_2010">#REF!</definedName>
    <definedName name="FYEATGUIDD_Q3_2011">#REF!</definedName>
    <definedName name="FYEATGUIDD_Q3_2012">#REF!</definedName>
    <definedName name="FYEATGUIDD_Q3_2013">#REF!</definedName>
    <definedName name="FYEATGUIDD_Q3_2014">#REF!</definedName>
    <definedName name="FYEATGUIDD_Q3_2015">#REF!</definedName>
    <definedName name="FYEATGUIDD_Q4_2005">#REF!</definedName>
    <definedName name="FYEATGUIDD_Q4_2006">#REF!</definedName>
    <definedName name="FYEATGUIDD_Q4_2007">#REF!</definedName>
    <definedName name="FYEATGUIDD_Q4_2008">#REF!</definedName>
    <definedName name="FYEATGUIDD_Q4_2009">#REF!</definedName>
    <definedName name="FYEATGUIDD_Q4_2010">#REF!</definedName>
    <definedName name="FYEATGUIDD_Q4_2011">#REF!</definedName>
    <definedName name="FYEATGUIDD_Q4_2012">#REF!</definedName>
    <definedName name="FYEATGUIDD_Q4_2013">#REF!</definedName>
    <definedName name="FYEATGUIDD_Q4_2014">#REF!</definedName>
    <definedName name="FYEATGUIDD_Q4_2015">#REF!</definedName>
    <definedName name="FYEATGUIDD_Y1_2005">#REF!</definedName>
    <definedName name="FYEATGUIDD_Y1_2006">#REF!</definedName>
    <definedName name="FYEATGUIDD_Y1_2007">#REF!</definedName>
    <definedName name="FYEATGUIDD_Y1_2008">#REF!</definedName>
    <definedName name="FYEATGUIDD_Y1_2009">#REF!</definedName>
    <definedName name="FYEATGUIDD_Y1_2010">#REF!</definedName>
    <definedName name="FYEATGUIDD_Y1_2011">#REF!</definedName>
    <definedName name="FYEATGUIDD_Y1_2012">#REF!</definedName>
    <definedName name="FYEATGUIDD_Y1_2013">#REF!</definedName>
    <definedName name="FYEATGUIDD_Y1_2014">#REF!</definedName>
    <definedName name="FYEATGUIDD_Y1_2015">#REF!</definedName>
    <definedName name="FYEATGUIDE">#REF!</definedName>
    <definedName name="FYEATGUIDE_9M_2005">#REF!</definedName>
    <definedName name="FYEATGUIDE_9M_2006">#REF!</definedName>
    <definedName name="FYEATGUIDE_9M_2007">#REF!</definedName>
    <definedName name="FYEATGUIDE_9M_2008">#REF!</definedName>
    <definedName name="FYEATGUIDE_9M_2009">#REF!</definedName>
    <definedName name="FYEATGUIDE_9M_2010">#REF!</definedName>
    <definedName name="FYEATGUIDE_9M_2011">#REF!</definedName>
    <definedName name="FYEATGUIDE_9M_2012">#REF!</definedName>
    <definedName name="FYEATGUIDE_9M_2013">#REF!</definedName>
    <definedName name="FYEATGUIDE_9M_2014">#REF!</definedName>
    <definedName name="FYEATGUIDE_9M_2015">#REF!</definedName>
    <definedName name="FYEATGUIDE_H1_2005">#REF!</definedName>
    <definedName name="FYEATGUIDE_H1_2006">#REF!</definedName>
    <definedName name="FYEATGUIDE_H1_2007">#REF!</definedName>
    <definedName name="FYEATGUIDE_H1_2008">#REF!</definedName>
    <definedName name="FYEATGUIDE_H1_2009">#REF!</definedName>
    <definedName name="FYEATGUIDE_H1_2010">#REF!</definedName>
    <definedName name="FYEATGUIDE_H1_2011">#REF!</definedName>
    <definedName name="FYEATGUIDE_H1_2012">#REF!</definedName>
    <definedName name="FYEATGUIDE_H1_2013">#REF!</definedName>
    <definedName name="FYEATGUIDE_H1_2014">#REF!</definedName>
    <definedName name="FYEATGUIDE_H1_2015">#REF!</definedName>
    <definedName name="FYEATGUIDE_H2_2005">#REF!</definedName>
    <definedName name="FYEATGUIDE_H2_2006">#REF!</definedName>
    <definedName name="FYEATGUIDE_H2_2007">#REF!</definedName>
    <definedName name="FYEATGUIDE_H2_2008">#REF!</definedName>
    <definedName name="FYEATGUIDE_H2_2009">#REF!</definedName>
    <definedName name="FYEATGUIDE_H2_2010">#REF!</definedName>
    <definedName name="FYEATGUIDE_H2_2011">#REF!</definedName>
    <definedName name="FYEATGUIDE_H2_2012">#REF!</definedName>
    <definedName name="FYEATGUIDE_H2_2013">#REF!</definedName>
    <definedName name="FYEATGUIDE_H2_2014">#REF!</definedName>
    <definedName name="FYEATGUIDE_H2_2015">#REF!</definedName>
    <definedName name="FYEATGUIDE_Q1_2005">#REF!</definedName>
    <definedName name="FYEATGUIDE_Q1_2006">#REF!</definedName>
    <definedName name="FYEATGUIDE_Q1_2007">#REF!</definedName>
    <definedName name="FYEATGUIDE_Q1_2008">#REF!</definedName>
    <definedName name="FYEATGUIDE_Q1_2009">#REF!</definedName>
    <definedName name="FYEATGUIDE_Q1_2010">#REF!</definedName>
    <definedName name="FYEATGUIDE_Q1_2011">#REF!</definedName>
    <definedName name="FYEATGUIDE_Q1_2012">#REF!</definedName>
    <definedName name="FYEATGUIDE_Q1_2013">#REF!</definedName>
    <definedName name="FYEATGUIDE_Q1_2014">#REF!</definedName>
    <definedName name="FYEATGUIDE_Q1_2015">#REF!</definedName>
    <definedName name="FYEATGUIDE_Q2_2005">#REF!</definedName>
    <definedName name="FYEATGUIDE_Q2_2006">#REF!</definedName>
    <definedName name="FYEATGUIDE_Q2_2007">#REF!</definedName>
    <definedName name="FYEATGUIDE_Q2_2008">#REF!</definedName>
    <definedName name="FYEATGUIDE_Q2_2009">#REF!</definedName>
    <definedName name="FYEATGUIDE_Q2_2010">#REF!</definedName>
    <definedName name="FYEATGUIDE_Q2_2011">#REF!</definedName>
    <definedName name="FYEATGUIDE_Q2_2012">#REF!</definedName>
    <definedName name="FYEATGUIDE_Q2_2013">#REF!</definedName>
    <definedName name="FYEATGUIDE_Q2_2014">#REF!</definedName>
    <definedName name="FYEATGUIDE_Q2_2015">#REF!</definedName>
    <definedName name="FYEATGUIDE_Q3_2005">#REF!</definedName>
    <definedName name="FYEATGUIDE_Q3_2006">#REF!</definedName>
    <definedName name="FYEATGUIDE_Q3_2007">#REF!</definedName>
    <definedName name="FYEATGUIDE_Q3_2008">#REF!</definedName>
    <definedName name="FYEATGUIDE_Q3_2009">#REF!</definedName>
    <definedName name="FYEATGUIDE_Q3_2010">#REF!</definedName>
    <definedName name="FYEATGUIDE_Q3_2011">#REF!</definedName>
    <definedName name="FYEATGUIDE_Q3_2012">#REF!</definedName>
    <definedName name="FYEATGUIDE_Q3_2013">#REF!</definedName>
    <definedName name="FYEATGUIDE_Q3_2014">#REF!</definedName>
    <definedName name="FYEATGUIDE_Q3_2015">#REF!</definedName>
    <definedName name="FYEATGUIDE_Q4_2005">#REF!</definedName>
    <definedName name="FYEATGUIDE_Q4_2006">#REF!</definedName>
    <definedName name="FYEATGUIDE_Q4_2007">#REF!</definedName>
    <definedName name="FYEATGUIDE_Q4_2008">#REF!</definedName>
    <definedName name="FYEATGUIDE_Q4_2009">#REF!</definedName>
    <definedName name="FYEATGUIDE_Q4_2010">#REF!</definedName>
    <definedName name="FYEATGUIDE_Q4_2011">#REF!</definedName>
    <definedName name="FYEATGUIDE_Q4_2012">#REF!</definedName>
    <definedName name="FYEATGUIDE_Q4_2013">#REF!</definedName>
    <definedName name="FYEATGUIDE_Q4_2014">#REF!</definedName>
    <definedName name="FYEATGUIDE_Q4_2015">#REF!</definedName>
    <definedName name="FYEATGUIDE_Y1_2005">#REF!</definedName>
    <definedName name="FYEATGUIDE_Y1_2006">#REF!</definedName>
    <definedName name="FYEATGUIDE_Y1_2007">#REF!</definedName>
    <definedName name="FYEATGUIDE_Y1_2008">#REF!</definedName>
    <definedName name="FYEATGUIDE_Y1_2009">#REF!</definedName>
    <definedName name="FYEATGUIDE_Y1_2010">#REF!</definedName>
    <definedName name="FYEATGUIDE_Y1_2011">#REF!</definedName>
    <definedName name="FYEATGUIDE_Y1_2012">#REF!</definedName>
    <definedName name="FYEATGUIDE_Y1_2013">#REF!</definedName>
    <definedName name="FYEATGUIDE_Y1_2014">#REF!</definedName>
    <definedName name="FYEATGUIDE_Y1_2015">#REF!</definedName>
    <definedName name="fyjfjkf" hidden="1">#REF!</definedName>
    <definedName name="FYOPGDELTA">#REF!</definedName>
    <definedName name="FYOPGDELTA_9M_2005">#REF!</definedName>
    <definedName name="FYOPGDELTA_9M_2006">#REF!</definedName>
    <definedName name="FYOPGDELTA_9M_2007">#REF!</definedName>
    <definedName name="FYOPGDELTA_9M_2008">#REF!</definedName>
    <definedName name="FYOPGDELTA_9M_2009">#REF!</definedName>
    <definedName name="FYOPGDELTA_9M_2010">#REF!</definedName>
    <definedName name="FYOPGDELTA_9M_2011">#REF!</definedName>
    <definedName name="FYOPGDELTA_9M_2012">#REF!</definedName>
    <definedName name="FYOPGDELTA_9M_2013">#REF!</definedName>
    <definedName name="FYOPGDELTA_9M_2014">#REF!</definedName>
    <definedName name="FYOPGDELTA_9M_2015">#REF!</definedName>
    <definedName name="FYOPGDELTA_H1_2005">#REF!</definedName>
    <definedName name="FYOPGDELTA_H1_2006">#REF!</definedName>
    <definedName name="FYOPGDELTA_H1_2007">#REF!</definedName>
    <definedName name="FYOPGDELTA_H1_2008">#REF!</definedName>
    <definedName name="FYOPGDELTA_H1_2009">#REF!</definedName>
    <definedName name="FYOPGDELTA_H1_2010">#REF!</definedName>
    <definedName name="FYOPGDELTA_H1_2011">#REF!</definedName>
    <definedName name="FYOPGDELTA_H1_2012">#REF!</definedName>
    <definedName name="FYOPGDELTA_H1_2013">#REF!</definedName>
    <definedName name="FYOPGDELTA_H1_2014">#REF!</definedName>
    <definedName name="FYOPGDELTA_H1_2015">#REF!</definedName>
    <definedName name="FYOPGDELTA_H2_2005">#REF!</definedName>
    <definedName name="FYOPGDELTA_H2_2006">#REF!</definedName>
    <definedName name="FYOPGDELTA_H2_2007">#REF!</definedName>
    <definedName name="FYOPGDELTA_H2_2008">#REF!</definedName>
    <definedName name="FYOPGDELTA_H2_2009">#REF!</definedName>
    <definedName name="FYOPGDELTA_H2_2010">#REF!</definedName>
    <definedName name="FYOPGDELTA_H2_2011">#REF!</definedName>
    <definedName name="FYOPGDELTA_H2_2012">#REF!</definedName>
    <definedName name="FYOPGDELTA_H2_2013">#REF!</definedName>
    <definedName name="FYOPGDELTA_H2_2014">#REF!</definedName>
    <definedName name="FYOPGDELTA_H2_2015">#REF!</definedName>
    <definedName name="FYOPGDELTA_Q1_2005">#REF!</definedName>
    <definedName name="FYOPGDELTA_Q1_2006">#REF!</definedName>
    <definedName name="FYOPGDELTA_Q1_2007">#REF!</definedName>
    <definedName name="FYOPGDELTA_Q1_2008">#REF!</definedName>
    <definedName name="FYOPGDELTA_Q1_2009">#REF!</definedName>
    <definedName name="FYOPGDELTA_Q1_2010">#REF!</definedName>
    <definedName name="FYOPGDELTA_Q1_2011">#REF!</definedName>
    <definedName name="FYOPGDELTA_Q1_2012">#REF!</definedName>
    <definedName name="FYOPGDELTA_Q1_2013">#REF!</definedName>
    <definedName name="FYOPGDELTA_Q1_2014">#REF!</definedName>
    <definedName name="FYOPGDELTA_Q1_2015">#REF!</definedName>
    <definedName name="FYOPGDELTA_Q2_2005">#REF!</definedName>
    <definedName name="FYOPGDELTA_Q2_2006">#REF!</definedName>
    <definedName name="FYOPGDELTA_Q2_2007">#REF!</definedName>
    <definedName name="FYOPGDELTA_Q2_2008">#REF!</definedName>
    <definedName name="FYOPGDELTA_Q2_2009">#REF!</definedName>
    <definedName name="FYOPGDELTA_Q2_2010">#REF!</definedName>
    <definedName name="FYOPGDELTA_Q2_2011">#REF!</definedName>
    <definedName name="FYOPGDELTA_Q2_2012">#REF!</definedName>
    <definedName name="FYOPGDELTA_Q2_2013">#REF!</definedName>
    <definedName name="FYOPGDELTA_Q2_2014">#REF!</definedName>
    <definedName name="FYOPGDELTA_Q2_2015">#REF!</definedName>
    <definedName name="FYOPGDELTA_Q3_2005">#REF!</definedName>
    <definedName name="FYOPGDELTA_Q3_2006">#REF!</definedName>
    <definedName name="FYOPGDELTA_Q3_2007">#REF!</definedName>
    <definedName name="FYOPGDELTA_Q3_2008">#REF!</definedName>
    <definedName name="FYOPGDELTA_Q3_2009">#REF!</definedName>
    <definedName name="FYOPGDELTA_Q3_2010">#REF!</definedName>
    <definedName name="FYOPGDELTA_Q3_2011">#REF!</definedName>
    <definedName name="FYOPGDELTA_Q3_2012">#REF!</definedName>
    <definedName name="FYOPGDELTA_Q3_2013">#REF!</definedName>
    <definedName name="FYOPGDELTA_Q3_2014">#REF!</definedName>
    <definedName name="FYOPGDELTA_Q3_2015">#REF!</definedName>
    <definedName name="FYOPGDELTA_Q4_2005">#REF!</definedName>
    <definedName name="FYOPGDELTA_Q4_2006">#REF!</definedName>
    <definedName name="FYOPGDELTA_Q4_2007">#REF!</definedName>
    <definedName name="FYOPGDELTA_Q4_2008">#REF!</definedName>
    <definedName name="FYOPGDELTA_Q4_2009">#REF!</definedName>
    <definedName name="FYOPGDELTA_Q4_2010">#REF!</definedName>
    <definedName name="FYOPGDELTA_Q4_2011">#REF!</definedName>
    <definedName name="FYOPGDELTA_Q4_2012">#REF!</definedName>
    <definedName name="FYOPGDELTA_Q4_2013">#REF!</definedName>
    <definedName name="FYOPGDELTA_Q4_2014">#REF!</definedName>
    <definedName name="FYOPGDELTA_Q4_2015">#REF!</definedName>
    <definedName name="FYOPGDELTA_Y1_2005">#REF!</definedName>
    <definedName name="FYOPGDELTA_Y1_2006">#REF!</definedName>
    <definedName name="FYOPGDELTA_Y1_2007">#REF!</definedName>
    <definedName name="FYOPGDELTA_Y1_2008">#REF!</definedName>
    <definedName name="FYOPGDELTA_Y1_2009">#REF!</definedName>
    <definedName name="FYOPGDELTA_Y1_2010">#REF!</definedName>
    <definedName name="FYOPGDELTA_Y1_2011">#REF!</definedName>
    <definedName name="FYOPGDELTA_Y1_2012">#REF!</definedName>
    <definedName name="FYOPGDELTA_Y1_2013">#REF!</definedName>
    <definedName name="FYOPGDELTA_Y1_2014">#REF!</definedName>
    <definedName name="FYOPGDELTA_Y1_2015">#REF!</definedName>
    <definedName name="FYOPPGUIDD">#REF!</definedName>
    <definedName name="FYOPPGUIDD_9M_2005">#REF!</definedName>
    <definedName name="FYOPPGUIDD_9M_2006">#REF!</definedName>
    <definedName name="FYOPPGUIDD_9M_2007">#REF!</definedName>
    <definedName name="FYOPPGUIDD_9M_2008">#REF!</definedName>
    <definedName name="FYOPPGUIDD_9M_2009">#REF!</definedName>
    <definedName name="FYOPPGUIDD_9M_2010">#REF!</definedName>
    <definedName name="FYOPPGUIDD_9M_2011">#REF!</definedName>
    <definedName name="FYOPPGUIDD_9M_2012">#REF!</definedName>
    <definedName name="FYOPPGUIDD_9M_2013">#REF!</definedName>
    <definedName name="FYOPPGUIDD_9M_2014">#REF!</definedName>
    <definedName name="FYOPPGUIDD_9M_2015">#REF!</definedName>
    <definedName name="FYOPPGUIDD_H1_2005">#REF!</definedName>
    <definedName name="FYOPPGUIDD_H1_2006">#REF!</definedName>
    <definedName name="FYOPPGUIDD_H1_2007">#REF!</definedName>
    <definedName name="FYOPPGUIDD_H1_2008">#REF!</definedName>
    <definedName name="FYOPPGUIDD_H1_2009">#REF!</definedName>
    <definedName name="FYOPPGUIDD_H1_2010">#REF!</definedName>
    <definedName name="FYOPPGUIDD_H1_2011">#REF!</definedName>
    <definedName name="FYOPPGUIDD_H1_2012">#REF!</definedName>
    <definedName name="FYOPPGUIDD_H1_2013">#REF!</definedName>
    <definedName name="FYOPPGUIDD_H1_2014">#REF!</definedName>
    <definedName name="FYOPPGUIDD_H1_2015">#REF!</definedName>
    <definedName name="FYOPPGUIDD_H2_2005">#REF!</definedName>
    <definedName name="FYOPPGUIDD_H2_2006">#REF!</definedName>
    <definedName name="FYOPPGUIDD_H2_2007">#REF!</definedName>
    <definedName name="FYOPPGUIDD_H2_2008">#REF!</definedName>
    <definedName name="FYOPPGUIDD_H2_2009">#REF!</definedName>
    <definedName name="FYOPPGUIDD_H2_2010">#REF!</definedName>
    <definedName name="FYOPPGUIDD_H2_2011">#REF!</definedName>
    <definedName name="FYOPPGUIDD_H2_2012">#REF!</definedName>
    <definedName name="FYOPPGUIDD_H2_2013">#REF!</definedName>
    <definedName name="FYOPPGUIDD_H2_2014">#REF!</definedName>
    <definedName name="FYOPPGUIDD_H2_2015">#REF!</definedName>
    <definedName name="FYOPPGUIDD_Q1_2005">#REF!</definedName>
    <definedName name="FYOPPGUIDD_Q1_2006">#REF!</definedName>
    <definedName name="FYOPPGUIDD_Q1_2007">#REF!</definedName>
    <definedName name="FYOPPGUIDD_Q1_2008">#REF!</definedName>
    <definedName name="FYOPPGUIDD_Q1_2009">#REF!</definedName>
    <definedName name="FYOPPGUIDD_Q1_2010">#REF!</definedName>
    <definedName name="FYOPPGUIDD_Q1_2011">#REF!</definedName>
    <definedName name="FYOPPGUIDD_Q1_2012">#REF!</definedName>
    <definedName name="FYOPPGUIDD_Q1_2013">#REF!</definedName>
    <definedName name="FYOPPGUIDD_Q1_2014">#REF!</definedName>
    <definedName name="FYOPPGUIDD_Q1_2015">#REF!</definedName>
    <definedName name="FYOPPGUIDD_Q2_2005">#REF!</definedName>
    <definedName name="FYOPPGUIDD_Q2_2006">#REF!</definedName>
    <definedName name="FYOPPGUIDD_Q2_2007">#REF!</definedName>
    <definedName name="FYOPPGUIDD_Q2_2008">#REF!</definedName>
    <definedName name="FYOPPGUIDD_Q2_2009">#REF!</definedName>
    <definedName name="FYOPPGUIDD_Q2_2010">#REF!</definedName>
    <definedName name="FYOPPGUIDD_Q2_2011">#REF!</definedName>
    <definedName name="FYOPPGUIDD_Q2_2012">#REF!</definedName>
    <definedName name="FYOPPGUIDD_Q2_2013">#REF!</definedName>
    <definedName name="FYOPPGUIDD_Q2_2014">#REF!</definedName>
    <definedName name="FYOPPGUIDD_Q2_2015">#REF!</definedName>
    <definedName name="FYOPPGUIDD_Q3_2005">#REF!</definedName>
    <definedName name="FYOPPGUIDD_Q3_2006">#REF!</definedName>
    <definedName name="FYOPPGUIDD_Q3_2007">#REF!</definedName>
    <definedName name="FYOPPGUIDD_Q3_2008">#REF!</definedName>
    <definedName name="FYOPPGUIDD_Q3_2009">#REF!</definedName>
    <definedName name="FYOPPGUIDD_Q3_2010">#REF!</definedName>
    <definedName name="FYOPPGUIDD_Q3_2011">#REF!</definedName>
    <definedName name="FYOPPGUIDD_Q3_2012">#REF!</definedName>
    <definedName name="FYOPPGUIDD_Q3_2013">#REF!</definedName>
    <definedName name="FYOPPGUIDD_Q3_2014">#REF!</definedName>
    <definedName name="FYOPPGUIDD_Q3_2015">#REF!</definedName>
    <definedName name="FYOPPGUIDD_Q4_2005">#REF!</definedName>
    <definedName name="FYOPPGUIDD_Q4_2006">#REF!</definedName>
    <definedName name="FYOPPGUIDD_Q4_2007">#REF!</definedName>
    <definedName name="FYOPPGUIDD_Q4_2008">#REF!</definedName>
    <definedName name="FYOPPGUIDD_Q4_2009">#REF!</definedName>
    <definedName name="FYOPPGUIDD_Q4_2010">#REF!</definedName>
    <definedName name="FYOPPGUIDD_Q4_2011">#REF!</definedName>
    <definedName name="FYOPPGUIDD_Q4_2012">#REF!</definedName>
    <definedName name="FYOPPGUIDD_Q4_2013">#REF!</definedName>
    <definedName name="FYOPPGUIDD_Q4_2014">#REF!</definedName>
    <definedName name="FYOPPGUIDD_Q4_2015">#REF!</definedName>
    <definedName name="FYOPPGUIDD_Y1_2005">#REF!</definedName>
    <definedName name="FYOPPGUIDD_Y1_2006">#REF!</definedName>
    <definedName name="FYOPPGUIDD_Y1_2007">#REF!</definedName>
    <definedName name="FYOPPGUIDD_Y1_2008">#REF!</definedName>
    <definedName name="FYOPPGUIDD_Y1_2009">#REF!</definedName>
    <definedName name="FYOPPGUIDD_Y1_2010">#REF!</definedName>
    <definedName name="FYOPPGUIDD_Y1_2011">#REF!</definedName>
    <definedName name="FYOPPGUIDD_Y1_2012">#REF!</definedName>
    <definedName name="FYOPPGUIDD_Y1_2013">#REF!</definedName>
    <definedName name="FYOPPGUIDD_Y1_2014">#REF!</definedName>
    <definedName name="FYOPPGUIDD_Y1_2015">#REF!</definedName>
    <definedName name="FYOPPGUIDE">#REF!</definedName>
    <definedName name="FYOPPGUIDE_9M_2005">#REF!</definedName>
    <definedName name="FYOPPGUIDE_9M_2006">#REF!</definedName>
    <definedName name="FYOPPGUIDE_9M_2007">#REF!</definedName>
    <definedName name="FYOPPGUIDE_9M_2008">#REF!</definedName>
    <definedName name="FYOPPGUIDE_9M_2009">#REF!</definedName>
    <definedName name="FYOPPGUIDE_9M_2010">#REF!</definedName>
    <definedName name="FYOPPGUIDE_9M_2011">#REF!</definedName>
    <definedName name="FYOPPGUIDE_9M_2012">#REF!</definedName>
    <definedName name="FYOPPGUIDE_9M_2013">#REF!</definedName>
    <definedName name="FYOPPGUIDE_9M_2014">#REF!</definedName>
    <definedName name="FYOPPGUIDE_9M_2015">#REF!</definedName>
    <definedName name="FYOPPGUIDE_H1_2005">#REF!</definedName>
    <definedName name="FYOPPGUIDE_H1_2006">#REF!</definedName>
    <definedName name="FYOPPGUIDE_H1_2007">#REF!</definedName>
    <definedName name="FYOPPGUIDE_H1_2008">#REF!</definedName>
    <definedName name="FYOPPGUIDE_H1_2009">#REF!</definedName>
    <definedName name="FYOPPGUIDE_H1_2010">#REF!</definedName>
    <definedName name="FYOPPGUIDE_H1_2011">#REF!</definedName>
    <definedName name="FYOPPGUIDE_H1_2012">#REF!</definedName>
    <definedName name="FYOPPGUIDE_H1_2013">#REF!</definedName>
    <definedName name="FYOPPGUIDE_H1_2014">#REF!</definedName>
    <definedName name="FYOPPGUIDE_H1_2015">#REF!</definedName>
    <definedName name="FYOPPGUIDE_H2_2005">#REF!</definedName>
    <definedName name="FYOPPGUIDE_H2_2006">#REF!</definedName>
    <definedName name="FYOPPGUIDE_H2_2007">#REF!</definedName>
    <definedName name="FYOPPGUIDE_H2_2008">#REF!</definedName>
    <definedName name="FYOPPGUIDE_H2_2009">#REF!</definedName>
    <definedName name="FYOPPGUIDE_H2_2010">#REF!</definedName>
    <definedName name="FYOPPGUIDE_H2_2011">#REF!</definedName>
    <definedName name="FYOPPGUIDE_H2_2012">#REF!</definedName>
    <definedName name="FYOPPGUIDE_H2_2013">#REF!</definedName>
    <definedName name="FYOPPGUIDE_H2_2014">#REF!</definedName>
    <definedName name="FYOPPGUIDE_H2_2015">#REF!</definedName>
    <definedName name="FYOPPGUIDE_Q1_2005">#REF!</definedName>
    <definedName name="FYOPPGUIDE_Q1_2006">#REF!</definedName>
    <definedName name="FYOPPGUIDE_Q1_2007">#REF!</definedName>
    <definedName name="FYOPPGUIDE_Q1_2008">#REF!</definedName>
    <definedName name="FYOPPGUIDE_Q1_2009">#REF!</definedName>
    <definedName name="FYOPPGUIDE_Q1_2010">#REF!</definedName>
    <definedName name="FYOPPGUIDE_Q1_2011">#REF!</definedName>
    <definedName name="FYOPPGUIDE_Q1_2012">#REF!</definedName>
    <definedName name="FYOPPGUIDE_Q1_2013">#REF!</definedName>
    <definedName name="FYOPPGUIDE_Q1_2014">#REF!</definedName>
    <definedName name="FYOPPGUIDE_Q1_2015">#REF!</definedName>
    <definedName name="FYOPPGUIDE_Q2_2005">#REF!</definedName>
    <definedName name="FYOPPGUIDE_Q2_2006">#REF!</definedName>
    <definedName name="FYOPPGUIDE_Q2_2007">#REF!</definedName>
    <definedName name="FYOPPGUIDE_Q2_2008">#REF!</definedName>
    <definedName name="FYOPPGUIDE_Q2_2009">#REF!</definedName>
    <definedName name="FYOPPGUIDE_Q2_2010">#REF!</definedName>
    <definedName name="FYOPPGUIDE_Q2_2011">#REF!</definedName>
    <definedName name="FYOPPGUIDE_Q2_2012">#REF!</definedName>
    <definedName name="FYOPPGUIDE_Q2_2013">#REF!</definedName>
    <definedName name="FYOPPGUIDE_Q2_2014">#REF!</definedName>
    <definedName name="FYOPPGUIDE_Q2_2015">#REF!</definedName>
    <definedName name="FYOPPGUIDE_Q3_2005">#REF!</definedName>
    <definedName name="FYOPPGUIDE_Q3_2006">#REF!</definedName>
    <definedName name="FYOPPGUIDE_Q3_2007">#REF!</definedName>
    <definedName name="FYOPPGUIDE_Q3_2008">#REF!</definedName>
    <definedName name="FYOPPGUIDE_Q3_2009">#REF!</definedName>
    <definedName name="FYOPPGUIDE_Q3_2010">#REF!</definedName>
    <definedName name="FYOPPGUIDE_Q3_2011">#REF!</definedName>
    <definedName name="FYOPPGUIDE_Q3_2012">#REF!</definedName>
    <definedName name="FYOPPGUIDE_Q3_2013">#REF!</definedName>
    <definedName name="FYOPPGUIDE_Q3_2014">#REF!</definedName>
    <definedName name="FYOPPGUIDE_Q3_2015">#REF!</definedName>
    <definedName name="FYOPPGUIDE_Q4_2005">#REF!</definedName>
    <definedName name="FYOPPGUIDE_Q4_2006">#REF!</definedName>
    <definedName name="FYOPPGUIDE_Q4_2007">#REF!</definedName>
    <definedName name="FYOPPGUIDE_Q4_2008">#REF!</definedName>
    <definedName name="FYOPPGUIDE_Q4_2009">#REF!</definedName>
    <definedName name="FYOPPGUIDE_Q4_2010">#REF!</definedName>
    <definedName name="FYOPPGUIDE_Q4_2011">#REF!</definedName>
    <definedName name="FYOPPGUIDE_Q4_2012">#REF!</definedName>
    <definedName name="FYOPPGUIDE_Q4_2013">#REF!</definedName>
    <definedName name="FYOPPGUIDE_Q4_2014">#REF!</definedName>
    <definedName name="FYOPPGUIDE_Q4_2015">#REF!</definedName>
    <definedName name="FYOPPGUIDE_Y1_2005">#REF!</definedName>
    <definedName name="FYOPPGUIDE_Y1_2006">#REF!</definedName>
    <definedName name="FYOPPGUIDE_Y1_2007">#REF!</definedName>
    <definedName name="FYOPPGUIDE_Y1_2008">#REF!</definedName>
    <definedName name="FYOPPGUIDE_Y1_2009">#REF!</definedName>
    <definedName name="FYOPPGUIDE_Y1_2010">#REF!</definedName>
    <definedName name="FYOPPGUIDE_Y1_2011">#REF!</definedName>
    <definedName name="FYOPPGUIDE_Y1_2012">#REF!</definedName>
    <definedName name="FYOPPGUIDE_Y1_2013">#REF!</definedName>
    <definedName name="FYOPPGUIDE_Y1_2014">#REF!</definedName>
    <definedName name="FYOPPGUIDE_Y1_2015">#REF!</definedName>
    <definedName name="FYR_1124">#REF!</definedName>
    <definedName name="FYR_1125">#REF!</definedName>
    <definedName name="FYR_1224">#REF!</definedName>
    <definedName name="FYR_1225">#REF!</definedName>
    <definedName name="FYSALESGUIDD">#REF!</definedName>
    <definedName name="FYSALESGUIDD_9M_2005">#REF!</definedName>
    <definedName name="FYSALESGUIDD_9M_2006">#REF!</definedName>
    <definedName name="FYSALESGUIDD_9M_2007">#REF!</definedName>
    <definedName name="FYSALESGUIDD_9M_2008">#REF!</definedName>
    <definedName name="FYSALESGUIDD_9M_2009">#REF!</definedName>
    <definedName name="FYSALESGUIDD_9M_2010">#REF!</definedName>
    <definedName name="FYSALESGUIDD_9M_2011">#REF!</definedName>
    <definedName name="FYSALESGUIDD_9M_2012">#REF!</definedName>
    <definedName name="FYSALESGUIDD_9M_2013">#REF!</definedName>
    <definedName name="FYSALESGUIDD_9M_2014">#REF!</definedName>
    <definedName name="FYSALESGUIDD_9M_2015">#REF!</definedName>
    <definedName name="FYSALESGUIDD_H1_2005">#REF!</definedName>
    <definedName name="FYSALESGUIDD_H1_2006">#REF!</definedName>
    <definedName name="FYSALESGUIDD_H1_2007">#REF!</definedName>
    <definedName name="FYSALESGUIDD_H1_2008">#REF!</definedName>
    <definedName name="FYSALESGUIDD_H1_2009">#REF!</definedName>
    <definedName name="FYSALESGUIDD_H1_2010">#REF!</definedName>
    <definedName name="FYSALESGUIDD_H1_2011">#REF!</definedName>
    <definedName name="FYSALESGUIDD_H1_2012">#REF!</definedName>
    <definedName name="FYSALESGUIDD_H1_2013">#REF!</definedName>
    <definedName name="FYSALESGUIDD_H1_2014">#REF!</definedName>
    <definedName name="FYSALESGUIDD_H1_2015">#REF!</definedName>
    <definedName name="FYSALESGUIDD_H2_2005">#REF!</definedName>
    <definedName name="FYSALESGUIDD_H2_2006">#REF!</definedName>
    <definedName name="FYSALESGUIDD_H2_2007">#REF!</definedName>
    <definedName name="FYSALESGUIDD_H2_2008">#REF!</definedName>
    <definedName name="FYSALESGUIDD_H2_2009">#REF!</definedName>
    <definedName name="FYSALESGUIDD_H2_2010">#REF!</definedName>
    <definedName name="FYSALESGUIDD_H2_2011">#REF!</definedName>
    <definedName name="FYSALESGUIDD_H2_2012">#REF!</definedName>
    <definedName name="FYSALESGUIDD_H2_2013">#REF!</definedName>
    <definedName name="FYSALESGUIDD_H2_2014">#REF!</definedName>
    <definedName name="FYSALESGUIDD_H2_2015">#REF!</definedName>
    <definedName name="FYSALESGUIDD_Q1_2005">#REF!</definedName>
    <definedName name="FYSALESGUIDD_Q1_2006">#REF!</definedName>
    <definedName name="FYSALESGUIDD_Q1_2007">#REF!</definedName>
    <definedName name="FYSALESGUIDD_Q1_2008">#REF!</definedName>
    <definedName name="FYSALESGUIDD_Q1_2009">#REF!</definedName>
    <definedName name="FYSALESGUIDD_Q1_2010">#REF!</definedName>
    <definedName name="FYSALESGUIDD_Q1_2011">#REF!</definedName>
    <definedName name="FYSALESGUIDD_Q1_2012">#REF!</definedName>
    <definedName name="FYSALESGUIDD_Q1_2013">#REF!</definedName>
    <definedName name="FYSALESGUIDD_Q1_2014">#REF!</definedName>
    <definedName name="FYSALESGUIDD_Q1_2015">#REF!</definedName>
    <definedName name="FYSALESGUIDD_Q2_2005">#REF!</definedName>
    <definedName name="FYSALESGUIDD_Q2_2006">#REF!</definedName>
    <definedName name="FYSALESGUIDD_Q2_2007">#REF!</definedName>
    <definedName name="FYSALESGUIDD_Q2_2008">#REF!</definedName>
    <definedName name="FYSALESGUIDD_Q2_2009">#REF!</definedName>
    <definedName name="FYSALESGUIDD_Q2_2010">#REF!</definedName>
    <definedName name="FYSALESGUIDD_Q2_2011">#REF!</definedName>
    <definedName name="FYSALESGUIDD_Q2_2012">#REF!</definedName>
    <definedName name="FYSALESGUIDD_Q2_2013">#REF!</definedName>
    <definedName name="FYSALESGUIDD_Q2_2014">#REF!</definedName>
    <definedName name="FYSALESGUIDD_Q2_2015">#REF!</definedName>
    <definedName name="FYSALESGUIDD_Q3_2005">#REF!</definedName>
    <definedName name="FYSALESGUIDD_Q3_2006">#REF!</definedName>
    <definedName name="FYSALESGUIDD_Q3_2007">#REF!</definedName>
    <definedName name="FYSALESGUIDD_Q3_2008">#REF!</definedName>
    <definedName name="FYSALESGUIDD_Q3_2009">#REF!</definedName>
    <definedName name="FYSALESGUIDD_Q3_2010">#REF!</definedName>
    <definedName name="FYSALESGUIDD_Q3_2011">#REF!</definedName>
    <definedName name="FYSALESGUIDD_Q3_2012">#REF!</definedName>
    <definedName name="FYSALESGUIDD_Q3_2013">#REF!</definedName>
    <definedName name="FYSALESGUIDD_Q3_2014">#REF!</definedName>
    <definedName name="FYSALESGUIDD_Q3_2015">#REF!</definedName>
    <definedName name="FYSALESGUIDD_Q4_2005">#REF!</definedName>
    <definedName name="FYSALESGUIDD_Q4_2006">#REF!</definedName>
    <definedName name="FYSALESGUIDD_Q4_2007">#REF!</definedName>
    <definedName name="FYSALESGUIDD_Q4_2008">#REF!</definedName>
    <definedName name="FYSALESGUIDD_Q4_2009">#REF!</definedName>
    <definedName name="FYSALESGUIDD_Q4_2010">#REF!</definedName>
    <definedName name="FYSALESGUIDD_Q4_2011">#REF!</definedName>
    <definedName name="FYSALESGUIDD_Q4_2012">#REF!</definedName>
    <definedName name="FYSALESGUIDD_Q4_2013">#REF!</definedName>
    <definedName name="FYSALESGUIDD_Q4_2014">#REF!</definedName>
    <definedName name="FYSALESGUIDD_Q4_2015">#REF!</definedName>
    <definedName name="FYSALESGUIDD_Y1_2005">#REF!</definedName>
    <definedName name="FYSALESGUIDD_Y1_2006">#REF!</definedName>
    <definedName name="FYSALESGUIDD_Y1_2007">#REF!</definedName>
    <definedName name="FYSALESGUIDD_Y1_2008">#REF!</definedName>
    <definedName name="FYSALESGUIDD_Y1_2009">#REF!</definedName>
    <definedName name="FYSALESGUIDD_Y1_2010">#REF!</definedName>
    <definedName name="FYSALESGUIDD_Y1_2011">#REF!</definedName>
    <definedName name="FYSALESGUIDD_Y1_2012">#REF!</definedName>
    <definedName name="FYSALESGUIDD_Y1_2013">#REF!</definedName>
    <definedName name="FYSALESGUIDD_Y1_2014">#REF!</definedName>
    <definedName name="FYSALESGUIDD_Y1_2015">#REF!</definedName>
    <definedName name="FYSALESGUIDE">#REF!</definedName>
    <definedName name="FYSALESGUIDE_9M_2005">#REF!</definedName>
    <definedName name="FYSALESGUIDE_9M_2006">#REF!</definedName>
    <definedName name="FYSALESGUIDE_9M_2007">#REF!</definedName>
    <definedName name="FYSALESGUIDE_9M_2008">#REF!</definedName>
    <definedName name="FYSALESGUIDE_9M_2009">#REF!</definedName>
    <definedName name="FYSALESGUIDE_9M_2010">#REF!</definedName>
    <definedName name="FYSALESGUIDE_9M_2011">#REF!</definedName>
    <definedName name="FYSALESGUIDE_9M_2012">#REF!</definedName>
    <definedName name="FYSALESGUIDE_9M_2013">#REF!</definedName>
    <definedName name="FYSALESGUIDE_9M_2014">#REF!</definedName>
    <definedName name="FYSALESGUIDE_9M_2015">#REF!</definedName>
    <definedName name="FYSALESGUIDE_H1_2005">#REF!</definedName>
    <definedName name="FYSALESGUIDE_H1_2006">#REF!</definedName>
    <definedName name="FYSALESGUIDE_H1_2007">#REF!</definedName>
    <definedName name="FYSALESGUIDE_H1_2008">#REF!</definedName>
    <definedName name="FYSALESGUIDE_H1_2009">#REF!</definedName>
    <definedName name="FYSALESGUIDE_H1_2010">#REF!</definedName>
    <definedName name="FYSALESGUIDE_H1_2011">#REF!</definedName>
    <definedName name="FYSALESGUIDE_H1_2012">#REF!</definedName>
    <definedName name="FYSALESGUIDE_H1_2013">#REF!</definedName>
    <definedName name="FYSALESGUIDE_H1_2014">#REF!</definedName>
    <definedName name="FYSALESGUIDE_H1_2015">#REF!</definedName>
    <definedName name="FYSALESGUIDE_H2_2005">#REF!</definedName>
    <definedName name="FYSALESGUIDE_H2_2006">#REF!</definedName>
    <definedName name="FYSALESGUIDE_H2_2007">#REF!</definedName>
    <definedName name="FYSALESGUIDE_H2_2008">#REF!</definedName>
    <definedName name="FYSALESGUIDE_H2_2009">#REF!</definedName>
    <definedName name="FYSALESGUIDE_H2_2010">#REF!</definedName>
    <definedName name="FYSALESGUIDE_H2_2011">#REF!</definedName>
    <definedName name="FYSALESGUIDE_H2_2012">#REF!</definedName>
    <definedName name="FYSALESGUIDE_H2_2013">#REF!</definedName>
    <definedName name="FYSALESGUIDE_H2_2014">#REF!</definedName>
    <definedName name="FYSALESGUIDE_H2_2015">#REF!</definedName>
    <definedName name="FYSALESGUIDE_Q1_2005">#REF!</definedName>
    <definedName name="FYSALESGUIDE_Q1_2006">#REF!</definedName>
    <definedName name="FYSALESGUIDE_Q1_2007">#REF!</definedName>
    <definedName name="FYSALESGUIDE_Q1_2008">#REF!</definedName>
    <definedName name="FYSALESGUIDE_Q1_2009">#REF!</definedName>
    <definedName name="FYSALESGUIDE_Q1_2010">#REF!</definedName>
    <definedName name="FYSALESGUIDE_Q1_2011">#REF!</definedName>
    <definedName name="FYSALESGUIDE_Q1_2012">#REF!</definedName>
    <definedName name="FYSALESGUIDE_Q1_2013">#REF!</definedName>
    <definedName name="FYSALESGUIDE_Q1_2014">#REF!</definedName>
    <definedName name="FYSALESGUIDE_Q1_2015">#REF!</definedName>
    <definedName name="FYSALESGUIDE_Q2_2005">#REF!</definedName>
    <definedName name="FYSALESGUIDE_Q2_2006">#REF!</definedName>
    <definedName name="FYSALESGUIDE_Q2_2007">#REF!</definedName>
    <definedName name="FYSALESGUIDE_Q2_2008">#REF!</definedName>
    <definedName name="FYSALESGUIDE_Q2_2009">#REF!</definedName>
    <definedName name="FYSALESGUIDE_Q2_2010">#REF!</definedName>
    <definedName name="FYSALESGUIDE_Q2_2011">#REF!</definedName>
    <definedName name="FYSALESGUIDE_Q2_2012">#REF!</definedName>
    <definedName name="FYSALESGUIDE_Q2_2013">#REF!</definedName>
    <definedName name="FYSALESGUIDE_Q2_2014">#REF!</definedName>
    <definedName name="FYSALESGUIDE_Q2_2015">#REF!</definedName>
    <definedName name="FYSALESGUIDE_Q3_2005">#REF!</definedName>
    <definedName name="FYSALESGUIDE_Q3_2006">#REF!</definedName>
    <definedName name="FYSALESGUIDE_Q3_2007">#REF!</definedName>
    <definedName name="FYSALESGUIDE_Q3_2008">#REF!</definedName>
    <definedName name="FYSALESGUIDE_Q3_2009">#REF!</definedName>
    <definedName name="FYSALESGUIDE_Q3_2010">#REF!</definedName>
    <definedName name="FYSALESGUIDE_Q3_2011">#REF!</definedName>
    <definedName name="FYSALESGUIDE_Q3_2012">#REF!</definedName>
    <definedName name="FYSALESGUIDE_Q3_2013">#REF!</definedName>
    <definedName name="FYSALESGUIDE_Q3_2014">#REF!</definedName>
    <definedName name="FYSALESGUIDE_Q3_2015">#REF!</definedName>
    <definedName name="FYSALESGUIDE_Q4_2005">#REF!</definedName>
    <definedName name="FYSALESGUIDE_Q4_2006">#REF!</definedName>
    <definedName name="FYSALESGUIDE_Q4_2007">#REF!</definedName>
    <definedName name="FYSALESGUIDE_Q4_2008">#REF!</definedName>
    <definedName name="FYSALESGUIDE_Q4_2009">#REF!</definedName>
    <definedName name="FYSALESGUIDE_Q4_2010">#REF!</definedName>
    <definedName name="FYSALESGUIDE_Q4_2011">#REF!</definedName>
    <definedName name="FYSALESGUIDE_Q4_2012">#REF!</definedName>
    <definedName name="FYSALESGUIDE_Q4_2013">#REF!</definedName>
    <definedName name="FYSALESGUIDE_Q4_2014">#REF!</definedName>
    <definedName name="FYSALESGUIDE_Q4_2015">#REF!</definedName>
    <definedName name="FYSALESGUIDE_Y1_2005">#REF!</definedName>
    <definedName name="FYSALESGUIDE_Y1_2006">#REF!</definedName>
    <definedName name="FYSALESGUIDE_Y1_2007">#REF!</definedName>
    <definedName name="FYSALESGUIDE_Y1_2008">#REF!</definedName>
    <definedName name="FYSALESGUIDE_Y1_2009">#REF!</definedName>
    <definedName name="FYSALESGUIDE_Y1_2010">#REF!</definedName>
    <definedName name="FYSALESGUIDE_Y1_2011">#REF!</definedName>
    <definedName name="FYSALESGUIDE_Y1_2012">#REF!</definedName>
    <definedName name="FYSALESGUIDE_Y1_2013">#REF!</definedName>
    <definedName name="FYSALESGUIDE_Y1_2014">#REF!</definedName>
    <definedName name="FYSALESGUIDE_Y1_2015">#REF!</definedName>
    <definedName name="FYSGDELTA">#REF!</definedName>
    <definedName name="FYSGDELTA_9M_2005">#REF!</definedName>
    <definedName name="FYSGDELTA_9M_2006">#REF!</definedName>
    <definedName name="FYSGDELTA_9M_2007">#REF!</definedName>
    <definedName name="FYSGDELTA_9M_2008">#REF!</definedName>
    <definedName name="FYSGDELTA_9M_2009">#REF!</definedName>
    <definedName name="FYSGDELTA_9M_2010">#REF!</definedName>
    <definedName name="FYSGDELTA_9M_2011">#REF!</definedName>
    <definedName name="FYSGDELTA_9M_2012">#REF!</definedName>
    <definedName name="FYSGDELTA_9M_2013">#REF!</definedName>
    <definedName name="FYSGDELTA_9M_2014">#REF!</definedName>
    <definedName name="FYSGDELTA_9M_2015">#REF!</definedName>
    <definedName name="FYSGDELTA_H1_2005">#REF!</definedName>
    <definedName name="FYSGDELTA_H1_2006">#REF!</definedName>
    <definedName name="FYSGDELTA_H1_2007">#REF!</definedName>
    <definedName name="FYSGDELTA_H1_2008">#REF!</definedName>
    <definedName name="FYSGDELTA_H1_2009">#REF!</definedName>
    <definedName name="FYSGDELTA_H1_2010">#REF!</definedName>
    <definedName name="FYSGDELTA_H1_2011">#REF!</definedName>
    <definedName name="FYSGDELTA_H1_2012">#REF!</definedName>
    <definedName name="FYSGDELTA_H1_2013">#REF!</definedName>
    <definedName name="FYSGDELTA_H1_2014">#REF!</definedName>
    <definedName name="FYSGDELTA_H1_2015">#REF!</definedName>
    <definedName name="FYSGDELTA_H2_2005">#REF!</definedName>
    <definedName name="FYSGDELTA_H2_2006">#REF!</definedName>
    <definedName name="FYSGDELTA_H2_2007">#REF!</definedName>
    <definedName name="FYSGDELTA_H2_2008">#REF!</definedName>
    <definedName name="FYSGDELTA_H2_2009">#REF!</definedName>
    <definedName name="FYSGDELTA_H2_2010">#REF!</definedName>
    <definedName name="FYSGDELTA_H2_2011">#REF!</definedName>
    <definedName name="FYSGDELTA_H2_2012">#REF!</definedName>
    <definedName name="FYSGDELTA_H2_2013">#REF!</definedName>
    <definedName name="FYSGDELTA_H2_2014">#REF!</definedName>
    <definedName name="FYSGDELTA_H2_2015">#REF!</definedName>
    <definedName name="FYSGDELTA_Q1_2005">#REF!</definedName>
    <definedName name="FYSGDELTA_Q1_2006">#REF!</definedName>
    <definedName name="FYSGDELTA_Q1_2007">#REF!</definedName>
    <definedName name="FYSGDELTA_Q1_2008">#REF!</definedName>
    <definedName name="FYSGDELTA_Q1_2009">#REF!</definedName>
    <definedName name="FYSGDELTA_Q1_2010">#REF!</definedName>
    <definedName name="FYSGDELTA_Q1_2011">#REF!</definedName>
    <definedName name="FYSGDELTA_Q1_2012">#REF!</definedName>
    <definedName name="FYSGDELTA_Q1_2013">#REF!</definedName>
    <definedName name="FYSGDELTA_Q1_2014">#REF!</definedName>
    <definedName name="FYSGDELTA_Q1_2015">#REF!</definedName>
    <definedName name="FYSGDELTA_Q2_2005">#REF!</definedName>
    <definedName name="FYSGDELTA_Q2_2006">#REF!</definedName>
    <definedName name="FYSGDELTA_Q2_2007">#REF!</definedName>
    <definedName name="FYSGDELTA_Q2_2008">#REF!</definedName>
    <definedName name="FYSGDELTA_Q2_2009">#REF!</definedName>
    <definedName name="FYSGDELTA_Q2_2010">#REF!</definedName>
    <definedName name="FYSGDELTA_Q2_2011">#REF!</definedName>
    <definedName name="FYSGDELTA_Q2_2012">#REF!</definedName>
    <definedName name="FYSGDELTA_Q2_2013">#REF!</definedName>
    <definedName name="FYSGDELTA_Q2_2014">#REF!</definedName>
    <definedName name="FYSGDELTA_Q2_2015">#REF!</definedName>
    <definedName name="FYSGDELTA_Q3_2005">#REF!</definedName>
    <definedName name="FYSGDELTA_Q3_2006">#REF!</definedName>
    <definedName name="FYSGDELTA_Q3_2007">#REF!</definedName>
    <definedName name="FYSGDELTA_Q3_2008">#REF!</definedName>
    <definedName name="FYSGDELTA_Q3_2009">#REF!</definedName>
    <definedName name="FYSGDELTA_Q3_2010">#REF!</definedName>
    <definedName name="FYSGDELTA_Q3_2011">#REF!</definedName>
    <definedName name="FYSGDELTA_Q3_2012">#REF!</definedName>
    <definedName name="FYSGDELTA_Q3_2013">#REF!</definedName>
    <definedName name="FYSGDELTA_Q3_2014">#REF!</definedName>
    <definedName name="FYSGDELTA_Q3_2015">#REF!</definedName>
    <definedName name="FYSGDELTA_Q4_2005">#REF!</definedName>
    <definedName name="FYSGDELTA_Q4_2006">#REF!</definedName>
    <definedName name="FYSGDELTA_Q4_2007">#REF!</definedName>
    <definedName name="FYSGDELTA_Q4_2008">#REF!</definedName>
    <definedName name="FYSGDELTA_Q4_2009">#REF!</definedName>
    <definedName name="FYSGDELTA_Q4_2010">#REF!</definedName>
    <definedName name="FYSGDELTA_Q4_2011">#REF!</definedName>
    <definedName name="FYSGDELTA_Q4_2012">#REF!</definedName>
    <definedName name="FYSGDELTA_Q4_2013">#REF!</definedName>
    <definedName name="FYSGDELTA_Q4_2014">#REF!</definedName>
    <definedName name="FYSGDELTA_Q4_2015">#REF!</definedName>
    <definedName name="FYSGDELTA_Y1_2005">#REF!</definedName>
    <definedName name="FYSGDELTA_Y1_2006">#REF!</definedName>
    <definedName name="FYSGDELTA_Y1_2007">#REF!</definedName>
    <definedName name="FYSGDELTA_Y1_2008">#REF!</definedName>
    <definedName name="FYSGDELTA_Y1_2009">#REF!</definedName>
    <definedName name="FYSGDELTA_Y1_2010">#REF!</definedName>
    <definedName name="FYSGDELTA_Y1_2011">#REF!</definedName>
    <definedName name="FYSGDELTA_Y1_2012">#REF!</definedName>
    <definedName name="FYSGDELTA_Y1_2013">#REF!</definedName>
    <definedName name="FYSGDELTA_Y1_2014">#REF!</definedName>
    <definedName name="FYSGDELTA_Y1_2015">#REF!</definedName>
    <definedName name="FYT_11">#REF!</definedName>
    <definedName name="FYT_12">#REF!</definedName>
    <definedName name="g">#REF!</definedName>
    <definedName name="g_Cancel_Chart" localSheetId="1">#REF!</definedName>
    <definedName name="g_Cancel_Chart">#REF!</definedName>
    <definedName name="G_DoneDate">#REF!</definedName>
    <definedName name="GA">#REF!</definedName>
    <definedName name="GAAPTaxRate">#REF!</definedName>
    <definedName name="Gaida_Baseline">#REF!</definedName>
    <definedName name="Gaida_Cost_Reduction">#REF!</definedName>
    <definedName name="Gaida_Ext_Cost">#REF!</definedName>
    <definedName name="Gaida_Reduction_Percentage">#REF!</definedName>
    <definedName name="galmap">#REF!</definedName>
    <definedName name="Gamecrazy">#N/A</definedName>
    <definedName name="GameStop">#N/A</definedName>
    <definedName name="gartner">#REF!</definedName>
    <definedName name="gbb" hidden="1">{"one (KEY)",#N/A,FALSE,"P&amp;L"}</definedName>
    <definedName name="gbh" hidden="1">{#N/A,#N/A,FALSE,"Summary";#N/A,#N/A,FALSE,"Service";#N/A,#N/A,FALSE,"Carriage";#N/A,#N/A,FALSE,"Backbone"}</definedName>
    <definedName name="gbmm" hidden="1">{"'B-S Accounts Translation'!$A$1:$G$190"}</definedName>
    <definedName name="GBP">#REF!</definedName>
    <definedName name="GBPA">#REF!</definedName>
    <definedName name="gc" hidden="1">{"Annual",#N/A,FALSE,"Sales &amp; Market";"Quarterly",#N/A,FALSE,"Sales &amp; Market"}</definedName>
    <definedName name="gcgc" hidden="1">{"Annual",#N/A,FALSE,"Sales &amp; Market";"Quarterly",#N/A,FALSE,"Sales &amp; Market"}</definedName>
    <definedName name="gcgc1" hidden="1">{"Annual",#N/A,FALSE,"Sales &amp; Market";"Quarterly",#N/A,FALSE,"Sales &amp; Market"}</definedName>
    <definedName name="gchjjkklh" hidden="1">#REF!</definedName>
    <definedName name="GD">balance sheet send</definedName>
    <definedName name="gDataRange">#REF!</definedName>
    <definedName name="gddddd" hidden="1">{"one (KEY)",#N/A,FALSE,"P&amp;L"}</definedName>
    <definedName name="GDF">balance sheet send</definedName>
    <definedName name="GDFG">balance sheet send</definedName>
    <definedName name="GDFGDF">balance sheet send</definedName>
    <definedName name="GDFGFGH">balance sheet send</definedName>
    <definedName name="gdhf" hidden="1">{"Jabil - Personal View",#N/A,FALSE,"Passives"}</definedName>
    <definedName name="gdhfdg" hidden="1">{"Jabil - Personal View",#N/A,FALSE,"Passives"}</definedName>
    <definedName name="gdhjkjhjlkkl" hidden="1">#REF!</definedName>
    <definedName name="GDSFBCVB">balance sheet send</definedName>
    <definedName name="gdsfgsd" hidden="1">{"one (KEY)",#N/A,FALSE,"P&amp;L"}</definedName>
    <definedName name="Generate_Forecast_Feed_for_Date">#REF!</definedName>
    <definedName name="Generate_Request_Feed_for_Date">#REF!</definedName>
    <definedName name="GenericCapital">#REF!</definedName>
    <definedName name="Generics">#REF!</definedName>
    <definedName name="germ">#REF!</definedName>
    <definedName name="gerw" hidden="1">{"Jabil - Personal View",#N/A,FALSE,"Passives"}</definedName>
    <definedName name="gerwg" hidden="1">{"Jabil - Personal View",#N/A,FALSE,"Passives"}</definedName>
    <definedName name="gessler">#REF!</definedName>
    <definedName name="GEWINN">#REF!</definedName>
    <definedName name="gf" hidden="1">{"'Broadway ML#4'!$J$7:$N$490"}</definedName>
    <definedName name="gfdd">#REF!</definedName>
    <definedName name="gfdg" hidden="1">{"one (KEY)",#N/A,FALSE,"P&amp;L"}</definedName>
    <definedName name="gfdh" hidden="1">{"Jabil - Personal View",#N/A,FALSE,"Passives"}</definedName>
    <definedName name="gfdhfg" hidden="1">{"Jabil - Personal View",#N/A,FALSE,"Passives"}</definedName>
    <definedName name="GFDJKJKGGF">balance sheet send</definedName>
    <definedName name="GFFGFGGF">balance sheet send</definedName>
    <definedName name="GFFGGGGF">balance sheet send</definedName>
    <definedName name="gfg" hidden="1">{"'Broadway ML#4'!$J$7:$N$490"}</definedName>
    <definedName name="GFGFYUGJ">#REF!</definedName>
    <definedName name="gfh" hidden="1">{"Jabil - Personal View",#N/A,FALSE,"Passives"}</definedName>
    <definedName name="gfhd" hidden="1">{"Jabil - Personal View",#N/A,FALSE,"Passives"}</definedName>
    <definedName name="gfhdfhg" hidden="1">{"Jabil - Personal View",#N/A,FALSE,"Passives"}</definedName>
    <definedName name="gfhf" hidden="1">{"Jabil - Personal View",#N/A,FALSE,"Passives"}</definedName>
    <definedName name="gfhfg" hidden="1">{"Jabil - Personal View",#N/A,FALSE,"Passives"}</definedName>
    <definedName name="gfhfh" hidden="1">{"Jabil - Personal View",#N/A,FALSE,"Passives"}</definedName>
    <definedName name="GFSD">balance sheet send</definedName>
    <definedName name="gg" hidden="1">{"'Broadway ML#4'!$J$7:$N$490"}</definedName>
    <definedName name="gge" hidden="1">{"Annual",#N/A,FALSE,"Sales &amp; Market";"Quarterly",#N/A,FALSE,"Sales &amp; Market"}</definedName>
    <definedName name="ggg" hidden="1">{"Annual",#N/A,FALSE,"Sales &amp; Market";"Quarterly",#N/A,FALSE,"Sales &amp; Market"}</definedName>
    <definedName name="gggb" hidden="1">{"Annual",#N/A,FALSE,"Sales &amp; Market";"Quarterly",#N/A,FALSE,"Sales &amp; Market"}</definedName>
    <definedName name="ggggg" hidden="1">{"Bob",#N/A,FALSE,"Payments"}</definedName>
    <definedName name="GGGGGG" hidden="1">{"'Broadway ML#4'!$J$7:$N$490"}</definedName>
    <definedName name="ggggggg" hidden="1">{"'Broadway ML#4'!$J$7:$N$490"}</definedName>
    <definedName name="GGGGGGGGGGGGGG">balance sheet send</definedName>
    <definedName name="GGGGGGGGGGGGGGGGGGGGG">balance sheet send</definedName>
    <definedName name="GGGGGSSSSSSSSSSSSSS">balance sheet send</definedName>
    <definedName name="gghjjkkk" hidden="1">{"Annual",#N/A,FALSE,"Sales &amp; Market";"Quarterly",#N/A,FALSE,"Sales &amp; Market"}</definedName>
    <definedName name="gh">OFFSET(#REF!,0,COUNTA(#REF!)-1-10,1,10)</definedName>
    <definedName name="ghdfhf">#REF!</definedName>
    <definedName name="ghf" hidden="1">{"one (KEY)",#N/A,FALSE,"P&amp;L"}</definedName>
    <definedName name="ghfhd" hidden="1">{"one (KEY)",#N/A,FALSE,"P&amp;L"}</definedName>
    <definedName name="ghfhgkl" hidden="1">#REF!</definedName>
    <definedName name="ghfjfk" hidden="1">{"one (KEY)",#N/A,FALSE,"P&amp;L"}</definedName>
    <definedName name="GHGJGJ">balance sheet send</definedName>
    <definedName name="ghgjhgjghj">#REF!</definedName>
    <definedName name="ghh" hidden="1">{"one (KEY)",#N/A,FALSE,"P&amp;L"}</definedName>
    <definedName name="ghigfpi">#REF!</definedName>
    <definedName name="ghj" hidden="1">{"Annual",#N/A,FALSE,"Sales &amp; Market";"Quarterly",#N/A,FALSE,"Sales &amp; Market"}</definedName>
    <definedName name="ghjfgj" hidden="1">{"one (KEY)",#N/A,FALSE,"P&amp;L"}</definedName>
    <definedName name="ghjfygjdsf" hidden="1">#REF!</definedName>
    <definedName name="ghjg" hidden="1">{"one (KEY)",#N/A,FALSE,"P&amp;L"}</definedName>
    <definedName name="ghjgfh" hidden="1">{"Jabil - Personal View",#N/A,FALSE,"Passives"}</definedName>
    <definedName name="ghjgfjh" hidden="1">{"one (KEY)",#N/A,FALSE,"P&amp;L"}</definedName>
    <definedName name="ghjgh" hidden="1">{"one (KEY)",#N/A,FALSE,"P&amp;L"}</definedName>
    <definedName name="ghjghj" hidden="1">{"Jabil - Personal View",#N/A,FALSE,"Passives"}</definedName>
    <definedName name="ghjghkhjl">balance sheet send</definedName>
    <definedName name="GHJK">balance sheet send</definedName>
    <definedName name="GHK">balance sheet send</definedName>
    <definedName name="ghkgk">#REF!</definedName>
    <definedName name="GHKHJ">balance sheet send</definedName>
    <definedName name="ghkj" hidden="1">{#N/A,#N/A,FALSE,"Financial";#N/A,#N/A,FALSE,"Balance Sheet";#N/A,#N/A,FALSE,"Income stmt";#N/A,#N/A,FALSE,"Ratio"}</definedName>
    <definedName name="ghlkg" hidden="1">#REF!</definedName>
    <definedName name="GHTTY">balance sheet send</definedName>
    <definedName name="gil" hidden="1">#REF!</definedName>
    <definedName name="giopep" hidden="1">{#N/A,#N/A,FALSE,"Aging Summary";#N/A,#N/A,FALSE,"Ratio Analysis";#N/A,#N/A,FALSE,"Test 120 Day Accts";#N/A,#N/A,FALSE,"Tickmarks"}</definedName>
    <definedName name="giopepe" hidden="1">{#N/A,#N/A,FALSE,"Aging Summary";#N/A,#N/A,FALSE,"Ratio Analysis";#N/A,#N/A,FALSE,"Test 120 Day Accts";#N/A,#N/A,FALSE,"Tickmarks"}</definedName>
    <definedName name="gjfgj" hidden="1">#REF!</definedName>
    <definedName name="gjhgfjh" hidden="1">{"Jabil - Personal View",#N/A,FALSE,"Passives"}</definedName>
    <definedName name="gjhjjhj" hidden="1">#REF!</definedName>
    <definedName name="gjhjkjjkl" hidden="1">#REF!</definedName>
    <definedName name="gjhjkkl" hidden="1">#REF!</definedName>
    <definedName name="gjk" hidden="1">#REF!</definedName>
    <definedName name="gjkf" hidden="1">#REF!</definedName>
    <definedName name="gjkhjgkljkl" hidden="1">#REF!</definedName>
    <definedName name="gjkkl" hidden="1">#REF!</definedName>
    <definedName name="gjklfhkjgkl" hidden="1">#REF!</definedName>
    <definedName name="gjl" hidden="1">#REF!</definedName>
    <definedName name="gk" hidden="1">#REF!</definedName>
    <definedName name="gkfhfhj" hidden="1">#REF!</definedName>
    <definedName name="GKH">balance sheet send</definedName>
    <definedName name="GKJ">balance sheet send</definedName>
    <definedName name="gkjdfjk" hidden="1">#REF!</definedName>
    <definedName name="gkjf" hidden="1">#REF!</definedName>
    <definedName name="gkjfhjf" hidden="1">#REF!</definedName>
    <definedName name="GKJHK">balance sheet send</definedName>
    <definedName name="gkjlghkgkjl" hidden="1">#REF!</definedName>
    <definedName name="gkjlgkkjlg" hidden="1">#REF!</definedName>
    <definedName name="GKKGK">balance sheet send</definedName>
    <definedName name="gkkjk">#REF!</definedName>
    <definedName name="gkkkyui">#REF!</definedName>
    <definedName name="gkytity">#REF!</definedName>
    <definedName name="Glass_Washer_External_Conveyors">#N/A</definedName>
    <definedName name="glkgkjlh" hidden="1">#REF!</definedName>
    <definedName name="glossary">#REF!</definedName>
    <definedName name="GM">#REF!</definedName>
    <definedName name="Gmgmt">#REF!</definedName>
    <definedName name="GOBU_GW">#REF!</definedName>
    <definedName name="GOBU_PBIT">#REF!</definedName>
    <definedName name="goto_apic">#N/A</definedName>
    <definedName name="Goto_COS">#REF!</definedName>
    <definedName name="goto_cs">#N/A</definedName>
    <definedName name="Goto_GA">#REF!</definedName>
    <definedName name="goto_intercoFA">#REF!</definedName>
    <definedName name="goto_intercointexp">#REF!</definedName>
    <definedName name="goto_intercoinv">#N/A</definedName>
    <definedName name="goto_intercoroyalties">#REF!</definedName>
    <definedName name="goto_intercosales">#REF!</definedName>
    <definedName name="goto_interosales">#REF!</definedName>
    <definedName name="goto_intincome">#REF!</definedName>
    <definedName name="goto_invinsub">#N/A</definedName>
    <definedName name="goto_ltloan">#N/A</definedName>
    <definedName name="goto_STcon">#N/A</definedName>
    <definedName name="goto_StOp">#N/A</definedName>
    <definedName name="grace">#REF!</definedName>
    <definedName name="grade">OFFSET(#REF!,,,COUNTA(#REF!)-1)</definedName>
    <definedName name="Grand_Total">#N/A</definedName>
    <definedName name="GranikosLJ" hidden="1">{"'Sheet1'!$A$1:$CJ$47","'Sheet1'!$A$1:$CI$47"}</definedName>
    <definedName name="Graph" hidden="1">{"Annual",#N/A,FALSE,"Sales &amp; Market";"Quarterly",#N/A,FALSE,"Sales &amp; Market"}</definedName>
    <definedName name="graphic" hidden="1">{"one (KEY)",#N/A,FALSE,"P&amp;L"}</definedName>
    <definedName name="greagq" hidden="1">{"'Broadway ML#4'!$J$7:$N$490"}</definedName>
    <definedName name="GRINDING_HOURS01">#REF!</definedName>
    <definedName name="GRINDING_HOURS02">#REF!</definedName>
    <definedName name="GRINDING_HOURS03">#REF!</definedName>
    <definedName name="GRINDING_HOURS04">#REF!</definedName>
    <definedName name="GRINDING_HOURS05">#REF!</definedName>
    <definedName name="GRINDING_HOURS06">#REF!</definedName>
    <definedName name="GRINDING_HOURS07">#REF!</definedName>
    <definedName name="GRINDING_HOURS08">#REF!</definedName>
    <definedName name="GRINDING_HOURS09">#REF!</definedName>
    <definedName name="GRINDING_HOURS10">#REF!</definedName>
    <definedName name="GRINDING_HOURS11">#REF!</definedName>
    <definedName name="GRINDING_HOURS12">#REF!</definedName>
    <definedName name="GRINDING_HOURS13">#REF!</definedName>
    <definedName name="GRINDING_HOURS14">#REF!</definedName>
    <definedName name="GRINDING_HOURS15">#REF!</definedName>
    <definedName name="GRINDING_HOURS16">#REF!</definedName>
    <definedName name="GRINDING_HOURS17">#REF!</definedName>
    <definedName name="GRINDING_HOURS18">#REF!</definedName>
    <definedName name="Grizzly" hidden="1">{"Jabil - Personal View",#N/A,FALSE,"Passives"}</definedName>
    <definedName name="GRIZZLY.TEST" hidden="1">{"Jabil - Personal View",#N/A,FALSE,"Passives"}</definedName>
    <definedName name="grizzly.teste" hidden="1">{"Jabil - Personal View",#N/A,FALSE,"Passives"}</definedName>
    <definedName name="grosssite">#REF!</definedName>
    <definedName name="GrphActSales">#REF!</definedName>
    <definedName name="GrphActSales.">#REF!</definedName>
    <definedName name="GrphActStk">#REF!</definedName>
    <definedName name="GrphActStk.">#REF!</definedName>
    <definedName name="GrphPlanSales">#REF!</definedName>
    <definedName name="Grphplansales.">#REF!</definedName>
    <definedName name="GrphTgtStk">#REF!</definedName>
    <definedName name="Grphtgtstk.">#REF!</definedName>
    <definedName name="grw" hidden="1">{"'B-S Accounts Translation'!$A$1:$G$190"}</definedName>
    <definedName name="GS">balance sheet send</definedName>
    <definedName name="GSBU_PBIT">#REF!</definedName>
    <definedName name="GSDFG">balance sheet send</definedName>
    <definedName name="GSF">balance sheet send</definedName>
    <definedName name="gsh" hidden="1">{"one (KEY)",#N/A,FALSE,"P&amp;L"}</definedName>
    <definedName name="gshdfgh" hidden="1">{"Jabil - Personal View",#N/A,FALSE,"Passives"}</definedName>
    <definedName name="GST">0.03</definedName>
    <definedName name="gtjf" hidden="1">{"one (KEY)",#N/A,FALSE,"P&amp;L"}</definedName>
    <definedName name="guad">#REF!</definedName>
    <definedName name="gyduj" hidden="1">#REF!</definedName>
    <definedName name="gyf" hidden="1">{#N/A,#N/A,FALSE,"Summary";#N/A,#N/A,FALSE,"Service";#N/A,#N/A,FALSE,"Carriage";#N/A,#N/A,FALSE,"Backbone"}</definedName>
    <definedName name="GYGHG">#REF!</definedName>
    <definedName name="gyjdghjhj" hidden="1">#REF!</definedName>
    <definedName name="gyuki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h">#REF!</definedName>
    <definedName name="H_DoneDate">#REF!</definedName>
    <definedName name="H5_Restr">#REF!</definedName>
    <definedName name="H5_Restr_v1">#REF!</definedName>
    <definedName name="hadf" hidden="1">{"one (KEY)",#N/A,FALSE,"P&amp;L"}</definedName>
    <definedName name="hagpuoieg">#REF!</definedName>
    <definedName name="hair">#REF!</definedName>
    <definedName name="HAn" hidden="1">{"one (KEY)",#N/A,FALSE,"P&amp;L"}</definedName>
    <definedName name="hand_force">#REF!</definedName>
    <definedName name="hand_odjd">#N/A</definedName>
    <definedName name="hand_posture">#REF!</definedName>
    <definedName name="HandLoadRate">#REF!</definedName>
    <definedName name="HandSRate">#REF!</definedName>
    <definedName name="HANGS">#REF!</definedName>
    <definedName name="HATFGAG">balance sheet send</definedName>
    <definedName name="haurge">#REF!</definedName>
    <definedName name="hazel" hidden="1">{"one (KEY)",#N/A,FALSE,"P&amp;L"}</definedName>
    <definedName name="HC">#REF!</definedName>
    <definedName name="HC_Factor">#REF!</definedName>
    <definedName name="hd" hidden="1">#REF!</definedName>
    <definedName name="HD_A">#REF!</definedName>
    <definedName name="HD_B">#REF!</definedName>
    <definedName name="hdfg">balance sheet send</definedName>
    <definedName name="hdfgsdfgfgh" hidden="1">#REF!</definedName>
    <definedName name="hdfhfh">#REF!</definedName>
    <definedName name="hdfhggf" hidden="1">{"Jabil - Personal View",#N/A,FALSE,"Passives"}</definedName>
    <definedName name="hdghfghgfh">#REF!</definedName>
    <definedName name="hdoifwpursgdf" hidden="1">{"one (KEY)",#N/A,FALSE,"P&amp;L"}</definedName>
    <definedName name="hdsfgs">balance sheet send</definedName>
    <definedName name="headcount">#REF!</definedName>
    <definedName name="HEADDAYA3">#REF!,#REF!,#REF!,#REF!,#REF!,#REF!,#REF!,#REF!,#REF!,#REF!,#REF!,#REF!,#REF!</definedName>
    <definedName name="HEADDAYA4">#REF!,#REF!,#REF!,#REF!,#REF!,#REF!,#REF!,#REF!,#REF!,#REF!,#REF!,#REF!,#REF!,#REF!,#REF!,#REF!,#REF!</definedName>
    <definedName name="Header">#REF!</definedName>
    <definedName name="HeaderSpot">#REF!</definedName>
    <definedName name="HEADWEEKA3">#REF!,#REF!,#REF!,#REF!,#REF!,#REF!,#REF!,#REF!,#REF!,#REF!,#REF!,#REF!</definedName>
    <definedName name="HEADWEEKA4">#REF!,#REF!,#REF!,#REF!,#REF!,#REF!,#REF!,#REF!,#REF!,#REF!,#REF!,#REF!</definedName>
    <definedName name="Height">25</definedName>
    <definedName name="HELP">#REF!</definedName>
    <definedName name="hepco_continuous_feedParts">#N/A</definedName>
    <definedName name="heryrey" hidden="1">{"Jabil - Personal View",#N/A,FALSE,"Passives"}</definedName>
    <definedName name="hfd" hidden="1">{"one (KEY)",#N/A,FALSE,"P&amp;L"}</definedName>
    <definedName name="hfdgh" hidden="1">{"one (KEY)",#N/A,FALSE,"P&amp;L"}</definedName>
    <definedName name="hfdhdfh">#REF!</definedName>
    <definedName name="hfdhf" hidden="1">{"Jabil - Personal View",#N/A,FALSE,"Passives"}</definedName>
    <definedName name="hff" hidden="1">#REF!</definedName>
    <definedName name="HFFFFFFFFFFFFFFFFFFFFFFFFFFFFFFFFFFFF">balance sheet send</definedName>
    <definedName name="hfg" hidden="1">{"one (KEY)",#N/A,FALSE,"P&amp;L"}</definedName>
    <definedName name="hfgd" hidden="1">{"Jabil - Personal View",#N/A,FALSE,"Passives"}</definedName>
    <definedName name="hfgh" hidden="1">{"Jabil - Personal View",#N/A,FALSE,"Passives"}</definedName>
    <definedName name="hfghddfh" hidden="1">{"Jabil - Personal View",#N/A,FALSE,"Passives"}</definedName>
    <definedName name="hfghhj" hidden="1">#REF!</definedName>
    <definedName name="HFGJGF">balance sheet send</definedName>
    <definedName name="hfgjhgj">balance sheet send</definedName>
    <definedName name="hfkhkk" hidden="1">#REF!</definedName>
    <definedName name="hfkjkgljgkl" hidden="1">#REF!</definedName>
    <definedName name="hfukhjjkgll" hidden="1">#REF!</definedName>
    <definedName name="hg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hgdg" hidden="1">{"Jabil - Personal View",#N/A,FALSE,"Passives"}</definedName>
    <definedName name="hgdjgh" hidden="1">{"one (KEY)",#N/A,FALSE,"P&amp;L"}</definedName>
    <definedName name="hgfd" hidden="1">{"Jabil - Personal View",#N/A,FALSE,"Passives"}</definedName>
    <definedName name="hgfh" hidden="1">{"Jabil - Personal View",#N/A,FALSE,"Passives"}</definedName>
    <definedName name="HGFHGJH">balance sheet send</definedName>
    <definedName name="hgfj" hidden="1">{"one (KEY)",#N/A,FALSE,"P&amp;L"}</definedName>
    <definedName name="HGGH">#REF!</definedName>
    <definedName name="HGGHG">balance sheet send</definedName>
    <definedName name="HGHGHG">balance sheet send</definedName>
    <definedName name="hghghgh">#REF!</definedName>
    <definedName name="hghjjfj" hidden="1">#REF!</definedName>
    <definedName name="hgjgfjgjhhg" hidden="1">{"Jabil - Personal View",#N/A,FALSE,"Passives"}</definedName>
    <definedName name="HGJGJGH">#REF!</definedName>
    <definedName name="hgjh" hidden="1">{"Jabil - Personal View",#N/A,FALSE,"Passives"}</definedName>
    <definedName name="hgju" hidden="1">{#N/A,#N/A,FALSE,"Duran"}</definedName>
    <definedName name="HGJUYU">balance sheet send</definedName>
    <definedName name="hgtyu" hidden="1">{"'Broadway ML#4'!$J$7:$N$490"}</definedName>
    <definedName name="hh" hidden="1">{"'Broadway ML#4'!$J$7:$N$490"}</definedName>
    <definedName name="HH_Attrition_Factor">#REF!</definedName>
    <definedName name="hhg">#REF!</definedName>
    <definedName name="hhghjkj" hidden="1">#REF!</definedName>
    <definedName name="hhh" hidden="1">{#N/A,#N/A,FALSE,"Summary";#N/A,#N/A,FALSE,"Service";#N/A,#N/A,FALSE,"Carriage";#N/A,#N/A,FALSE,"Backbone"}</definedName>
    <definedName name="hhhhhhh" hidden="1">{"'Broadway ML#4'!$J$7:$N$490"}</definedName>
    <definedName name="hhhhhhhh">balance sheet send</definedName>
    <definedName name="HHHHHHHHH">balance sheet send</definedName>
    <definedName name="hhhhhhhhhhhhh">balance sheet send</definedName>
    <definedName name="HHHHHHHHHHHHHHHHHHHHHHHHHH">balance sheet send</definedName>
    <definedName name="hhjhh" hidden="1">#REF!</definedName>
    <definedName name="hhkhfukdf" hidden="1">#REF!</definedName>
    <definedName name="hhrrtye">#REF!</definedName>
    <definedName name="hi">#N/A</definedName>
    <definedName name="HiddenRows" hidden="1">#REF!</definedName>
    <definedName name="High.Low.Cost" hidden="1">39913.522650463</definedName>
    <definedName name="HighPrice">#REF!</definedName>
    <definedName name="hilh" hidden="1">#REF!</definedName>
    <definedName name="hipot_debugTime">#REF!</definedName>
    <definedName name="hipot_reworkTime">#REF!</definedName>
    <definedName name="hipot_reworkYield">#REF!</definedName>
    <definedName name="hipot_testTime">#REF!</definedName>
    <definedName name="HipotDebugRepair">#REF!</definedName>
    <definedName name="HipotRepDefault">#REF!</definedName>
    <definedName name="hipotYield">#REF!</definedName>
    <definedName name="HipotYieldRatio">#REF!</definedName>
    <definedName name="hist">#REF!</definedName>
    <definedName name="hist_Back_Click" localSheetId="1">#REF!</definedName>
    <definedName name="hist_Back_Click">#REF!</definedName>
    <definedName name="hist_Save_Defaults" localSheetId="1">#REF!</definedName>
    <definedName name="hist_Save_Defaults">#REF!</definedName>
    <definedName name="histButton_Click" localSheetId="1">#REF!</definedName>
    <definedName name="histButton_Click">#REF!</definedName>
    <definedName name="HistoCell">#REF!</definedName>
    <definedName name="HistoComplement">#REF!</definedName>
    <definedName name="History1" hidden="1">{"'Broadway ML#4'!$J$7:$N$490"}</definedName>
    <definedName name="HistoType">#REF!</definedName>
    <definedName name="hj" hidden="1">{"Jabil - Personal View",#N/A,FALSE,"Passives"}</definedName>
    <definedName name="hjdh" hidden="1">#REF!</definedName>
    <definedName name="hjgdh" hidden="1">#REF!</definedName>
    <definedName name="hjghj" hidden="1">#REF!</definedName>
    <definedName name="hjghjgfj" hidden="1">{"one (KEY)",#N/A,FALSE,"P&amp;L"}</definedName>
    <definedName name="hjgukgh" hidden="1">{"one (KEY)",#N/A,FALSE,"P&amp;L"}</definedName>
    <definedName name="hjhgjhgjk">#REF!</definedName>
    <definedName name="hjhkihkghjgdh" hidden="1">#REF!</definedName>
    <definedName name="HJHLJKLJJL">#REF!</definedName>
    <definedName name="hjkhjkhjkhjkghk">balance sheet send</definedName>
    <definedName name="HJKJK">balance sheet send</definedName>
    <definedName name="hjkkjgllk" hidden="1">#REF!</definedName>
    <definedName name="hjmhjk" hidden="1">#REF!</definedName>
    <definedName name="HKD">#REF!</definedName>
    <definedName name="HKDA">#REF!</definedName>
    <definedName name="hkj" hidden="1">#REF!</definedName>
    <definedName name="hkjkjdghj" hidden="1">#REF!</definedName>
    <definedName name="HKKJJKKJ">balance sheet send</definedName>
    <definedName name="hlfkjilfuhk" hidden="1">#REF!</definedName>
    <definedName name="hljghlkhj" hidden="1">#REF!</definedName>
    <definedName name="hljlhk">#REF!</definedName>
    <definedName name="HLTime">#REF!</definedName>
    <definedName name="holdsenscorner">#REF!</definedName>
    <definedName name="holstein">#REF!</definedName>
    <definedName name="home">#REF!</definedName>
    <definedName name="Honhai">#N/A</definedName>
    <definedName name="Hourly_Labor_Rates">#REF!</definedName>
    <definedName name="Hourly_Rate__S">#REF!</definedName>
    <definedName name="HOURS">#REF!</definedName>
    <definedName name="HOURS..">#REF!</definedName>
    <definedName name="Howard_Baseline">#REF!</definedName>
    <definedName name="Howard_Cost_Reduction">#REF!</definedName>
    <definedName name="Howard_Ext_Cost">#REF!</definedName>
    <definedName name="Howard_Reduction_Percentage">#REF!</definedName>
    <definedName name="HP">#N/A</definedName>
    <definedName name="HP_margins">#REF!</definedName>
    <definedName name="HP66311B">#REF!</definedName>
    <definedName name="HPD" hidden="1">{"'Edit'!$A$1:$V$2277"}</definedName>
    <definedName name="hpm" hidden="1">{"'Broadway ML#4'!$J$7:$N$490"}</definedName>
    <definedName name="HPMZ">#N/A</definedName>
    <definedName name="HPS">#N/A</definedName>
    <definedName name="HR">#REF!</definedName>
    <definedName name="Hrbackflush">#REF!</definedName>
    <definedName name="hrboSchemes">#REF!</definedName>
    <definedName name="hre" hidden="1">{#N/A,#N/A,FALSE,"Sales"}</definedName>
    <definedName name="hreh" hidden="1">{"one (KEY)",#N/A,FALSE,"P&amp;L"}</definedName>
    <definedName name="HrPaidpShift">#REF!</definedName>
    <definedName name="Hrproducido">#REF!</definedName>
    <definedName name="Hrpromesa">#REF!</definedName>
    <definedName name="HrpShift">#REF!</definedName>
    <definedName name="HrspShift">#REF!</definedName>
    <definedName name="hrsrhh">#REF!</definedName>
    <definedName name="hshsrhsrthw" hidden="1">{"'Broadway ML#4'!$J$7:$N$490"}</definedName>
    <definedName name="hsrhhr">#REF!</definedName>
    <definedName name="htht" hidden="1">{"one (KEY)",#N/A,FALSE,"P&amp;L"}</definedName>
    <definedName name="HTML_CodePage" hidden="1">1252</definedName>
    <definedName name="HTML_Control" hidden="1">{"'Farming out'!$A$6:$C$100","'Farming out'!$F$1:$H$6"}</definedName>
    <definedName name="HTML_Control_x" hidden="1">{"'Broadway ML#4'!$J$7:$N$490"}</definedName>
    <definedName name="HTML_Control2" hidden="1">{"'Edit'!$A$1:$V$2277"}</definedName>
    <definedName name="HTML_Description" hidden="1">""</definedName>
    <definedName name="HTML_Email" hidden="1">""</definedName>
    <definedName name="HTML_Header" hidden="1">"Farming out"</definedName>
    <definedName name="HTML_LastUpdate" hidden="1">"1/17/2002"</definedName>
    <definedName name="HTML_LineAfter" hidden="1">TRUE</definedName>
    <definedName name="HTML_LineBefore" hidden="1">FALSE</definedName>
    <definedName name="HTML_Name" hidden="1">"Kris Crul"</definedName>
    <definedName name="HTML_OBDlg2" hidden="1">TRUE</definedName>
    <definedName name="HTML_OBDlg4" hidden="1">TRUE</definedName>
    <definedName name="HTML_OS" hidden="1">0</definedName>
    <definedName name="HTML_PathFile" hidden="1">"C:\HTML\test.htm"</definedName>
    <definedName name="HTML_Title" hidden="1">"format worksheet"</definedName>
    <definedName name="HTML1_1" hidden="1">"'[B-STRAN.XLS]Sheet 1'!$A$1:$F$176"</definedName>
    <definedName name="HTML1_10" hidden="1">""</definedName>
    <definedName name="HTML1_11" hidden="1">-4146</definedName>
    <definedName name="HTML1_12" hidden="1">"F:\WEB\CORPORAT\CFI\b-stran.htm"</definedName>
    <definedName name="HTML1_2" hidden="1">1</definedName>
    <definedName name="HTML1_3" hidden="1">"B-S Accounts Translation"</definedName>
    <definedName name="HTML1_4" hidden="1">"B-S Accounts Translation"</definedName>
    <definedName name="HTML1_5" hidden="1">""</definedName>
    <definedName name="HTML1_6" hidden="1">1</definedName>
    <definedName name="HTML1_7" hidden="1">1</definedName>
    <definedName name="HTML1_8" hidden="1">"10/28/97"</definedName>
    <definedName name="HTML1_9" hidden="1">""</definedName>
    <definedName name="HTML2_1" hidden="1">"'[B-STRAN.XLS]B-S Accounts Translation'!$A$1:$G$180"</definedName>
    <definedName name="HTML2_10" hidden="1">""</definedName>
    <definedName name="HTML2_11" hidden="1">1</definedName>
    <definedName name="HTML2_12" hidden="1">"F:\WEB\CORPORAT\CFI\1297\b-stran.htm"</definedName>
    <definedName name="HTML2_2" hidden="1">1</definedName>
    <definedName name="HTML2_3" hidden="1">"B/S Accounts Translation"</definedName>
    <definedName name="HTML2_4" hidden="1">"B/S Accounts Translation"</definedName>
    <definedName name="HTML2_5" hidden="1">""</definedName>
    <definedName name="HTML2_6" hidden="1">1</definedName>
    <definedName name="HTML2_7" hidden="1">1</definedName>
    <definedName name="HTML2_8" hidden="1">"12/18/97"</definedName>
    <definedName name="HTML2_9" hidden="1">""</definedName>
    <definedName name="HTMLCount" hidden="1">2</definedName>
    <definedName name="HuaWei">#N/A</definedName>
    <definedName name="HUF">#REF!</definedName>
    <definedName name="HUFA">#REF!</definedName>
    <definedName name="hui" hidden="1">#REF!</definedName>
    <definedName name="HWFWT">#N/A</definedName>
    <definedName name="HWSheet">1</definedName>
    <definedName name="hwthwh" hidden="1">{"'Broadway ML#4'!$J$7:$N$490"}</definedName>
    <definedName name="hyghj">OFFSET(#REF!,0,COUNTA(#REF!)-1-10,1,10)</definedName>
    <definedName name="hyt" hidden="1">{#N/A,#N/A,FALSE,"Summary";#N/A,#N/A,FALSE,"Service";#N/A,#N/A,FALSE,"Carriage";#N/A,#N/A,FALSE,"Backbone"}</definedName>
    <definedName name="i">#REF!</definedName>
    <definedName name="I_DoneDate">#REF!</definedName>
    <definedName name="ibar">#REF!</definedName>
    <definedName name="IBM">#REF!</definedName>
    <definedName name="IBM_margins">#REF!</definedName>
    <definedName name="ibom">#REF!</definedName>
    <definedName name="IC">#REF!</definedName>
    <definedName name="IC_Balsht_Input">#N/A</definedName>
    <definedName name="IC_BS_ADDNS">#N/A</definedName>
    <definedName name="IC_Chatham">#REF!</definedName>
    <definedName name="ic_fixed_assets">#N/A</definedName>
    <definedName name="IC_Flex">#REF!</definedName>
    <definedName name="IC_LMS">#REF!</definedName>
    <definedName name="IC_Other">#REF!</definedName>
    <definedName name="IC_Papi">#REF!</definedName>
    <definedName name="IC_PL_Input">#REF!</definedName>
    <definedName name="IC20P">#REF!</definedName>
    <definedName name="ICORECV">#REF!</definedName>
    <definedName name="ict">#N/A</definedName>
    <definedName name="ICT_DATA">#REF!</definedName>
    <definedName name="ict_debugTime">#REF!</definedName>
    <definedName name="ICT_LABELS">#REF!</definedName>
    <definedName name="ict_reworkTime">#REF!</definedName>
    <definedName name="ict_reworkYield">#REF!</definedName>
    <definedName name="ict_testTime">#REF!</definedName>
    <definedName name="ICTDebugTimeAdder">#REF!</definedName>
    <definedName name="ICTDefaultComp">#REF!</definedName>
    <definedName name="ICTHandLoad">#REF!</definedName>
    <definedName name="ICTMult">#REF!</definedName>
    <definedName name="ICTRate">#REF!</definedName>
    <definedName name="ICTRepairTime">#REF!</definedName>
    <definedName name="ICTSetUp">#REF!</definedName>
    <definedName name="ICTStaff">#REF!</definedName>
    <definedName name="ICTTech">#REF!</definedName>
    <definedName name="ICTTestTime">#REF!</definedName>
    <definedName name="ictYield">#REF!</definedName>
    <definedName name="ICV">#REF!</definedName>
    <definedName name="ICVAm">#REF!</definedName>
    <definedName name="ICVAsi2">#REF!</definedName>
    <definedName name="ICVAsia">#REF!</definedName>
    <definedName name="id">#REF!</definedName>
    <definedName name="ID_AIO">#REF!</definedName>
    <definedName name="idc" hidden="1">{"Jabil - Personal View",#N/A,FALSE,"Passives"}</definedName>
    <definedName name="IDLProdType">#REF!</definedName>
    <definedName name="idont">#REF!</definedName>
    <definedName name="IELWSALES">#REF!</definedName>
    <definedName name="IELWSALES.">#REF!</definedName>
    <definedName name="IELYSALES">#REF!</definedName>
    <definedName name="IELYSALES.">#REF!</definedName>
    <definedName name="IEP">#REF!</definedName>
    <definedName name="IEPA">#REF!</definedName>
    <definedName name="IEPLANSALES">#REF!</definedName>
    <definedName name="IEPLANSALES.">#REF!</definedName>
    <definedName name="IESP">#REF!</definedName>
    <definedName name="IESP.">#REF!</definedName>
    <definedName name="ihl" hidden="1">#REF!</definedName>
    <definedName name="ii" hidden="1">{#N/A,#N/A,FALSE,"Summary";#N/A,#N/A,FALSE,"Service";#N/A,#N/A,FALSE,"Carriage";#N/A,#N/A,FALSE,"Backbone"}</definedName>
    <definedName name="IIIIIIIIIIIIIII">balance sheet send</definedName>
    <definedName name="ILBenefit">#REF!</definedName>
    <definedName name="ILBonus">#REF!</definedName>
    <definedName name="ilf" hidden="1">#REF!</definedName>
    <definedName name="ilhg" hidden="1">#REF!</definedName>
    <definedName name="ILIOP">balance sheet send</definedName>
    <definedName name="import4">#REF!</definedName>
    <definedName name="import5">#REF!</definedName>
    <definedName name="In">balance sheet send</definedName>
    <definedName name="Inb">#REF!</definedName>
    <definedName name="INC">1.45</definedName>
    <definedName name="IncFacCost">#REF!</definedName>
    <definedName name="IncMfgVar" hidden="1">{#N/A,#N/A,TRUE,"PERFUSION SYSTEMS ";#N/A,#N/A,TRUE,"ANAHEIM";#N/A,#N/A,TRUE,"EDEN PRAIRIE";#N/A,#N/A,TRUE,"PARKER";#N/A,#N/A,TRUE,"BROOKLYN PARK"}</definedName>
    <definedName name="Incotermtable">#REF!</definedName>
    <definedName name="IncrementCell">#REF!</definedName>
    <definedName name="Ind_Seg">#REF!</definedName>
    <definedName name="Index">#REF!</definedName>
    <definedName name="INDICATORS">#REF!</definedName>
    <definedName name="indirectlabor">#REF!</definedName>
    <definedName name="Indizees">#REF!</definedName>
    <definedName name="Info">#REF!</definedName>
    <definedName name="Ingresos">#REF!</definedName>
    <definedName name="INLINE">#REF!</definedName>
    <definedName name="INLINE..">#REF!</definedName>
    <definedName name="InLineRng">#REF!</definedName>
    <definedName name="INP">#REF!</definedName>
    <definedName name="INPUT">#REF!</definedName>
    <definedName name="Input_Area">#REF!</definedName>
    <definedName name="INPUT_OUTPUT">#REF!</definedName>
    <definedName name="input1" localSheetId="1">#REF!</definedName>
    <definedName name="input1">#REF!</definedName>
    <definedName name="input2" localSheetId="1">#REF!</definedName>
    <definedName name="input2">#REF!</definedName>
    <definedName name="InputsTable">#REF!</definedName>
    <definedName name="INS">#REF!</definedName>
    <definedName name="INS_CYCLE">#REF!</definedName>
    <definedName name="Insert.Marker">#REF!</definedName>
    <definedName name="INSPECT">#REF!</definedName>
    <definedName name="InspectStaff">#REF!</definedName>
    <definedName name="INTANG">#REF!</definedName>
    <definedName name="IntFreeCre.">#REF!</definedName>
    <definedName name="IntFreeCred">#REF!</definedName>
    <definedName name="INTHOME">#REF!</definedName>
    <definedName name="INTRACOM">#REF!</definedName>
    <definedName name="inv">#REF!</definedName>
    <definedName name="INV_VALUE" localSheetId="1">#REF!</definedName>
    <definedName name="INV_VALUE">#REF!</definedName>
    <definedName name="INV_VALUE_3">#REF!</definedName>
    <definedName name="Inv_W">#N/A</definedName>
    <definedName name="Inv_Wking_Capital">#REF!</definedName>
    <definedName name="INVENT">#REF!</definedName>
    <definedName name="INVENTORY" hidden="1">{"one (KEY)",#N/A,FALSE,"P&amp;L"}</definedName>
    <definedName name="Inventory_On_Hand">#REF!</definedName>
    <definedName name="INVENTORYBALANCE">#REF!</definedName>
    <definedName name="InventoryBalanceDetails">#REF!</definedName>
    <definedName name="INVENTORYPROJECTION">#REF!</definedName>
    <definedName name="InventoryProjection_For_SOP_ReferenceWorksheet">#REF!</definedName>
    <definedName name="inventoryturns">#REF!</definedName>
    <definedName name="Investments">#REF!</definedName>
    <definedName name="invo">#REF!</definedName>
    <definedName name="Invoice_No">#REF!</definedName>
    <definedName name="invoiceinfo">#REF!</definedName>
    <definedName name="InvoiceNoDetails">"InvoiceDetails[Invoice No]"</definedName>
    <definedName name="InvShipClerc">#REF!</definedName>
    <definedName name="InvShMthWg">#REF!</definedName>
    <definedName name="io" hidden="1">{"'Broadway ML#4'!$J$7:$N$490"}</definedName>
    <definedName name="IOUOUOH">#REF!</definedName>
    <definedName name="IPN" hidden="1">{"Jabil - Personal View",#N/A,FALSE,"Passives"}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"10/13/2014 08:02:52"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R_Oven__speed">#REF!</definedName>
    <definedName name="IR_Oven_speed..">#REF!</definedName>
    <definedName name="iriiiiiiiiiiiiiiiiiiiiiiiiiiiiiiiiiiiiiiiiiiiiiiiiiiiii" hidden="1">#REF!</definedName>
    <definedName name="is_dataworkbook">#REF!</definedName>
    <definedName name="is_err">#REF!,#REF!,#REF!,#REF!,#REF!,#REF!,#REF!,#REF!,#REF!</definedName>
    <definedName name="issues">#REF!</definedName>
    <definedName name="ist">#REF!</definedName>
    <definedName name="IT">#REF!</definedName>
    <definedName name="ITAIYN">#REF!</definedName>
    <definedName name="ITBAmort">#REF!</definedName>
    <definedName name="ITBAssy">#REF!</definedName>
    <definedName name="ITBAssyTech">#REF!</definedName>
    <definedName name="ITBCap">#REF!</definedName>
    <definedName name="ITBoxMfgSqFt">#REF!</definedName>
    <definedName name="ITBoxWhseSqFt">#REF!</definedName>
    <definedName name="ITBQA">#REF!</definedName>
    <definedName name="ITBraC">#REF!</definedName>
    <definedName name="ITBraR">#REF!</definedName>
    <definedName name="ITBraRD">#REF!</definedName>
    <definedName name="ITBS">#REF!</definedName>
    <definedName name="ITBSCost">#REF!</definedName>
    <definedName name="ITBSCustTime">#REF!</definedName>
    <definedName name="ITBSRCust">#REF!</definedName>
    <definedName name="ITBSYield">#REF!</definedName>
    <definedName name="ITBTEST">#REF!</definedName>
    <definedName name="ITBTEST1">#REF!</definedName>
    <definedName name="ITBTEST1rep">#REF!</definedName>
    <definedName name="ITBTEST1yld">#REF!</definedName>
    <definedName name="ITBTEST2">#REF!</definedName>
    <definedName name="ITBTEST2rep">#REF!</definedName>
    <definedName name="ITBTEST2yld">#REF!</definedName>
    <definedName name="ITBTEST3">#REF!</definedName>
    <definedName name="ITBTEST3rep">#REF!</definedName>
    <definedName name="ITBTEST3yld">#REF!</definedName>
    <definedName name="ITBTEST4">#REF!</definedName>
    <definedName name="ITBTEST4rep">#REF!</definedName>
    <definedName name="ITBTEST4yld">#REF!</definedName>
    <definedName name="ITBTEST5">#REF!</definedName>
    <definedName name="ITBTEST5rep">#REF!</definedName>
    <definedName name="ITBTEST5yld">#REF!</definedName>
    <definedName name="ITBTEST6">#REF!</definedName>
    <definedName name="ITBTEST6rep">#REF!</definedName>
    <definedName name="ITBTEST6yld">#REF!</definedName>
    <definedName name="ITBTO">#REF!</definedName>
    <definedName name="ITBVOL">#REF!</definedName>
    <definedName name="ITCLI">#REF!</definedName>
    <definedName name="ITDPO">#REF!</definedName>
    <definedName name="ITDSO">#REF!</definedName>
    <definedName name="Item">#REF!</definedName>
    <definedName name="Item_codes">#REF!</definedName>
    <definedName name="Item_Entry">#REF!</definedName>
    <definedName name="Item2">#REF!</definedName>
    <definedName name="Itemcheck">#REF!</definedName>
    <definedName name="Itemmstr">#REF!</definedName>
    <definedName name="ITFCT">#REF!</definedName>
    <definedName name="ITFCT2">#REF!</definedName>
    <definedName name="ITFCT2Yield">#REF!</definedName>
    <definedName name="ITFCT3">#REF!</definedName>
    <definedName name="ITFCT3Yield">#REF!</definedName>
    <definedName name="ITFCT4">#REF!</definedName>
    <definedName name="ITFCT4Yield">#REF!</definedName>
    <definedName name="ITFCT5">#REF!</definedName>
    <definedName name="ITFCT5Yield">#REF!</definedName>
    <definedName name="ITFCT6">#REF!</definedName>
    <definedName name="ITFCT6Yield">#REF!</definedName>
    <definedName name="ITFCTCost">#REF!</definedName>
    <definedName name="ITFCTCost2">#REF!</definedName>
    <definedName name="ITFCTCost3">#REF!</definedName>
    <definedName name="ITFCTCost4">#REF!</definedName>
    <definedName name="ITFCTCost5">#REF!</definedName>
    <definedName name="ITFCTCost6">#REF!</definedName>
    <definedName name="ITFCTDepPer">#REF!</definedName>
    <definedName name="ITFCTDepPer2">#REF!</definedName>
    <definedName name="ITFCTDepPer3">#REF!</definedName>
    <definedName name="ITFCTDepPer4">#REF!</definedName>
    <definedName name="ITFCTDepPer5">#REF!</definedName>
    <definedName name="ITFCTDepPer6">#REF!</definedName>
    <definedName name="ITFCTRtime">#REF!</definedName>
    <definedName name="ITFCTRtime2">#REF!</definedName>
    <definedName name="ITFCTRtime3">#REF!</definedName>
    <definedName name="ITFCTRtime4">#REF!</definedName>
    <definedName name="ITFCTRtime5">#REF!</definedName>
    <definedName name="ITFCTRtime6">#REF!</definedName>
    <definedName name="ITFCTTime">#REF!</definedName>
    <definedName name="ITFCTTime2">#REF!</definedName>
    <definedName name="ITFCTTime3">#REF!</definedName>
    <definedName name="ITFCTTime4">#REF!</definedName>
    <definedName name="ITFCTTime5">#REF!</definedName>
    <definedName name="ITFCTTime6">#REF!</definedName>
    <definedName name="ITFCTYield">#REF!</definedName>
    <definedName name="ITGPPV">#REF!</definedName>
    <definedName name="ITHandloadTime">#REF!</definedName>
    <definedName name="ITHipot">#REF!</definedName>
    <definedName name="ITHipotCost">#REF!</definedName>
    <definedName name="ITHipotRep">#REF!</definedName>
    <definedName name="ITHipotYld">#REF!</definedName>
    <definedName name="ITHLParts">#REF!</definedName>
    <definedName name="ITICTCustTime">#REF!</definedName>
    <definedName name="ITICTRCust">#REF!</definedName>
    <definedName name="ITICTYield">#REF!</definedName>
    <definedName name="ITIncMFGSqFt">#REF!</definedName>
    <definedName name="ITIncWhseSqFt">#REF!</definedName>
    <definedName name="ITL">#REF!</definedName>
    <definedName name="ITLA">#REF!</definedName>
    <definedName name="ITMechAssyTime">#REF!</definedName>
    <definedName name="ITMechParts">#REF!</definedName>
    <definedName name="ITNBSmtSide">#REF!</definedName>
    <definedName name="ITNitReflow">#REF!</definedName>
    <definedName name="ITOAP">#REF!</definedName>
    <definedName name="ITOCT">#REF!</definedName>
    <definedName name="ITOEC">#REF!</definedName>
    <definedName name="ITOFD">#REF!</definedName>
    <definedName name="ITOTHER">#REF!</definedName>
    <definedName name="ITPackCost">#REF!</definedName>
    <definedName name="ITPanTest">#REF!</definedName>
    <definedName name="ITPN">#REF!</definedName>
    <definedName name="ITRMC">#REF!</definedName>
    <definedName name="ITRMT">#REF!</definedName>
    <definedName name="ITRMV">#REF!</definedName>
    <definedName name="ITRPPV">#REF!</definedName>
    <definedName name="ITShip">#REF!</definedName>
    <definedName name="ITSIM">#REF!</definedName>
    <definedName name="ITSIT">#REF!</definedName>
    <definedName name="ITSMTLineItem">#REF!</definedName>
    <definedName name="ITSMTParts">#REF!</definedName>
    <definedName name="ITSolarFlag">#REF!</definedName>
    <definedName name="ITSolderPaste">#REF!</definedName>
    <definedName name="ITStdPackMtl">#REF!</definedName>
    <definedName name="ITTestStrat">#REF!</definedName>
    <definedName name="ITTime">#REF!</definedName>
    <definedName name="ITTLI">#REF!</definedName>
    <definedName name="ITTYP">#REF!</definedName>
    <definedName name="ITVID">#REF!</definedName>
    <definedName name="ityiykh">#REF!</definedName>
    <definedName name="iyiyuiu">#REF!</definedName>
    <definedName name="iyjyjyyi" hidden="1">{#N/A,#N/A,FALSE,"Summary";#N/A,#N/A,FALSE,"Service";#N/A,#N/A,FALSE,"Carriage";#N/A,#N/A,FALSE,"Backbone"}</definedName>
    <definedName name="j">#REF!</definedName>
    <definedName name="J_DoneDate">#REF!</definedName>
    <definedName name="J1ER">#REF!</definedName>
    <definedName name="J2DO">#REF!</definedName>
    <definedName name="J3ER">#REF!</definedName>
    <definedName name="jagrjg">#REF!</definedName>
    <definedName name="jahggh">#REF!</definedName>
    <definedName name="Jahr">#REF!</definedName>
    <definedName name="JanSun1">DATEVALUE("1/1/"&amp;#REF!)-WEEKDAY(DATEVALUE("1/1/"&amp;#REF!))+1</definedName>
    <definedName name="Janus_Capital_Corporation">#REF!</definedName>
    <definedName name="JARIES">#REF!</definedName>
    <definedName name="jason">#REF!</definedName>
    <definedName name="Jazz">#REF!</definedName>
    <definedName name="jbnffv" hidden="1">{"one (KEY)",#N/A,FALSE,"P&amp;L"}</definedName>
    <definedName name="JCONSOLA">#REF!</definedName>
    <definedName name="JCWMCARN">#REF!</definedName>
    <definedName name="jdsu">#REF!</definedName>
    <definedName name="jeuatp">#REF!</definedName>
    <definedName name="jeufgi">#REF!</definedName>
    <definedName name="jeyjrujertyre">#REF!</definedName>
    <definedName name="jfdj" hidden="1">{"Jabil - Personal View",#N/A,FALSE,"Passives"}</definedName>
    <definedName name="JFGJGJ">balance sheet send</definedName>
    <definedName name="jfgjhfghjgh">balance sheet send</definedName>
    <definedName name="jfjdhg" hidden="1">{"one (KEY)",#N/A,FALSE,"P&amp;L"}</definedName>
    <definedName name="jfjghjghk">balance sheet send</definedName>
    <definedName name="jfjlkgkjlk" hidden="1">#REF!</definedName>
    <definedName name="JFKDJFD">balance sheet send</definedName>
    <definedName name="jg" hidden="1">#REF!</definedName>
    <definedName name="jggg" hidden="1">{#N/A,#N/A,FALSE,"Sales"}</definedName>
    <definedName name="jghfjhg" hidden="1">{"Jabil - Personal View",#N/A,FALSE,"Passives"}</definedName>
    <definedName name="JGJHGJH">balance sheet send</definedName>
    <definedName name="jgjrurty">balance sheet send</definedName>
    <definedName name="jh">#REF!</definedName>
    <definedName name="jhgfjh" hidden="1">{"Jabil - Personal View",#N/A,FALSE,"Passives"}</definedName>
    <definedName name="jhgfuftut" hidden="1">{"one (KEY)",#N/A,FALSE,"P&amp;L"}</definedName>
    <definedName name="jhgjghjfghj">balance sheet send</definedName>
    <definedName name="jhgkkyk">#REF!</definedName>
    <definedName name="jhjkgkjl" hidden="1">#REF!</definedName>
    <definedName name="JHJKKKKK">balance sheet send</definedName>
    <definedName name="jhjklk" hidden="1">#REF!</definedName>
    <definedName name="JHK">balance sheet send</definedName>
    <definedName name="JHKJHK">balance sheet send</definedName>
    <definedName name="jhy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jifr" hidden="1">#REF!</definedName>
    <definedName name="jim" hidden="1">{"one (KEY)",#N/A,FALSE,"P&amp;L"}</definedName>
    <definedName name="JJJ">balance sheet send</definedName>
    <definedName name="jjjjjjj">balance sheet send</definedName>
    <definedName name="JJJJJJJJJJJJJJJJJJJJ">balance sheet send</definedName>
    <definedName name="jjtnbnv" hidden="1">{"'Broadway ML#4'!$J$7:$N$490"}</definedName>
    <definedName name="JK.JKLKJKLJ">balance sheet send</definedName>
    <definedName name="jkf" hidden="1">{"Jabil - Personal View",#N/A,FALSE,"Passives"}</definedName>
    <definedName name="jkfh" hidden="1">#REF!</definedName>
    <definedName name="jkhjlkj">#REF!</definedName>
    <definedName name="jkj" hidden="1">{"'Broadway ML#4'!$J$7:$N$490"}</definedName>
    <definedName name="jkjh" hidden="1">{"Jabil - Personal View",#N/A,FALSE,"Passives"}</definedName>
    <definedName name="jkjij" hidden="1">#REF!</definedName>
    <definedName name="JKJJKKJKJ">balance sheet send</definedName>
    <definedName name="JKKJJJ">balance sheet send</definedName>
    <definedName name="JKKJKJKJ">balance sheet send</definedName>
    <definedName name="jkl" hidden="1">#REF!</definedName>
    <definedName name="jl" hidden="1">{#N/A,#N/A,FALSE,"Aging Summary";#N/A,#N/A,FALSE,"Ratio Analysis";#N/A,#N/A,FALSE,"Test 120 Day Accts";#N/A,#N/A,FALSE,"Tickmarks"}</definedName>
    <definedName name="jlfkdg" hidden="1">#REF!</definedName>
    <definedName name="jlklkfgjkl" hidden="1">#REF!</definedName>
    <definedName name="jmcm" hidden="1">#REF!</definedName>
    <definedName name="jnhbvh" hidden="1">{"Annual",#N/A,FALSE,"Sales &amp; Market";"Quarterly",#N/A,FALSE,"Sales &amp; Market"}</definedName>
    <definedName name="JNL">#REF!</definedName>
    <definedName name="JOPCARIES">#REF!</definedName>
    <definedName name="JOPCTAURUS">#REF!</definedName>
    <definedName name="JPY">#REF!</definedName>
    <definedName name="JPYA">#REF!</definedName>
    <definedName name="jrjrtj">#REF!</definedName>
    <definedName name="jrtkjuy" hidden="1">{"one (KEY)",#N/A,FALSE,"P&amp;L"}</definedName>
    <definedName name="jsh">#REF!</definedName>
    <definedName name="jshosoirtj" hidden="1">{#N/A,#N/A,FALSE,"Aging Summary";#N/A,#N/A,FALSE,"Ratio Analysis";#N/A,#N/A,FALSE,"Test 120 Day Accts";#N/A,#N/A,FALSE,"Tickmarks"}</definedName>
    <definedName name="JTAURUS">#REF!</definedName>
    <definedName name="jtejyryhjre">#REF!</definedName>
    <definedName name="jtjtj">#REF!</definedName>
    <definedName name="jtjtyjtj">#REF!</definedName>
    <definedName name="jtjuury">#REF!</definedName>
    <definedName name="jttytyjyj">#REF!</definedName>
    <definedName name="ju">#REF!</definedName>
    <definedName name="Juan">#N/A</definedName>
    <definedName name="jubgf" hidden="1">{"one (KEY)",#N/A,FALSE,"P&amp;L"}</definedName>
    <definedName name="judged" localSheetId="1">balance sheet send</definedName>
    <definedName name="judged">balance sheet send</definedName>
    <definedName name="Jueves">#REF!</definedName>
    <definedName name="julie">#REF!</definedName>
    <definedName name="julio">#REF!,#REF!,#REF!,#REF!,#REF!,#REF!,#REF!,#REF!,#REF!,#REF!,#REF!,#REF!,#REF!,#REF!</definedName>
    <definedName name="JulSun1">DATEVALUE("7/1/"&amp;#REF!)-WEEKDAY(DATEVALUE("7/1/"&amp;#REF!))+1</definedName>
    <definedName name="july">#REF!</definedName>
    <definedName name="July05_Act">#REF!</definedName>
    <definedName name="Jun.13" hidden="1">{"one (KEY)",#N/A,FALSE,"P&amp;L"}</definedName>
    <definedName name="june">#REF!</definedName>
    <definedName name="June05_Act">#REF!</definedName>
    <definedName name="June13f">#REF!</definedName>
    <definedName name="junio">#REF!,#REF!,#REF!,#REF!,#REF!,#REF!,#REF!,#REF!,#REF!,#REF!,#REF!,#REF!,#REF!,#REF!</definedName>
    <definedName name="junk">#REF!</definedName>
    <definedName name="junk2">#REF!</definedName>
    <definedName name="JunSun1">DATEVALUE("6/1/"&amp;#REF!)-WEEKDAY(DATEVALUE("6/1/"&amp;#REF!))+1</definedName>
    <definedName name="jutiyu" hidden="1">{"Jabil - Personal View",#N/A,FALSE,"Passives"}</definedName>
    <definedName name="jyiurirtiy">#REF!</definedName>
    <definedName name="jyjyj">#REF!</definedName>
    <definedName name="jykjgkjllkj" hidden="1">#REF!</definedName>
    <definedName name="jyt" hidden="1">{#N/A,#N/A,FALSE,"Sales"}</definedName>
    <definedName name="jytjuyjyu">#REF!</definedName>
    <definedName name="jytuuyt" hidden="1">{"one (KEY)",#N/A,FALSE,"P&amp;L"}</definedName>
    <definedName name="k">#REF!</definedName>
    <definedName name="K_DoneDate">#REF!</definedName>
    <definedName name="K2_WBEVMODE" hidden="1">0</definedName>
    <definedName name="kadima" hidden="1">{"one (KEY)",#N/A,FALSE,"P&amp;L"}</definedName>
    <definedName name="Kalender">#REF!</definedName>
    <definedName name="kanata">#REF!</definedName>
    <definedName name="KanataEng">#REF!</definedName>
    <definedName name="KB_MOUSE">#REF!</definedName>
    <definedName name="KB_Toys">#N/A</definedName>
    <definedName name="key">#REF!</definedName>
    <definedName name="keys" hidden="1">{#N/A,#N/A,FALSE,"F&amp;C Forecast";#N/A,#N/A,FALSE,"MPS";#N/A,#N/A,FALSE,"Persons detailed"}</definedName>
    <definedName name="kf" hidden="1">#REF!</definedName>
    <definedName name="KFAJF">balance sheet send</definedName>
    <definedName name="KFAKLJKFKA">balance sheet send</definedName>
    <definedName name="kfcgy" hidden="1">#REF!</definedName>
    <definedName name="kfgy" hidden="1">#REF!</definedName>
    <definedName name="kfh" hidden="1">#REF!</definedName>
    <definedName name="KFLKFLS">balance sheet send</definedName>
    <definedName name="KFSDKF">balance sheet send</definedName>
    <definedName name="KFSKDF">balance sheet send</definedName>
    <definedName name="kg" hidden="1">#REF!</definedName>
    <definedName name="KGFA">balance sheet send</definedName>
    <definedName name="kghjkhjkhjkhjk">balance sheet send</definedName>
    <definedName name="kghk" hidden="1">#REF!</definedName>
    <definedName name="kghkhj" hidden="1">{"Jabil - Personal View",#N/A,FALSE,"Passives"}</definedName>
    <definedName name="kgjg5" hidden="1">#REF!</definedName>
    <definedName name="kgjkl" hidden="1">#REF!</definedName>
    <definedName name="kgjklgk" hidden="1">#REF!</definedName>
    <definedName name="kgkj" hidden="1">#REF!</definedName>
    <definedName name="kgkjl" hidden="1">#REF!</definedName>
    <definedName name="kgl" hidden="1">#REF!</definedName>
    <definedName name="kglj" hidden="1">#REF!</definedName>
    <definedName name="KHJ">balance sheet send</definedName>
    <definedName name="khjkhjkhjkhjk">balance sheet send</definedName>
    <definedName name="khjkhkgk">#REF!</definedName>
    <definedName name="KHJKJKJK">balance sheet send</definedName>
    <definedName name="kickboxing" hidden="1">{"one (KEY)",#N/A,FALSE,"P&amp;L"}</definedName>
    <definedName name="kicr" hidden="1">{"'B-S Accounts Translation'!$A$1:$G$190"}</definedName>
    <definedName name="kikik" hidden="1">{"one (KEY)",#N/A,FALSE,"P&amp;L"}</definedName>
    <definedName name="KJ">balance sheet send</definedName>
    <definedName name="KJDFJSF">balance sheet send</definedName>
    <definedName name="kjdyj" hidden="1">#REF!</definedName>
    <definedName name="kjf" hidden="1">#REF!</definedName>
    <definedName name="KJFKJDFJK">balance sheet send</definedName>
    <definedName name="KJFSDJF">balance sheet send</definedName>
    <definedName name="kjhkhjk" hidden="1">{"Jabil - Personal View",#N/A,FALSE,"Passives"}</definedName>
    <definedName name="KJHKJ">balance sheet send</definedName>
    <definedName name="KJJJ">balance sheet send</definedName>
    <definedName name="KJJKJKJ">balance sheet send</definedName>
    <definedName name="KJJKJKJKKJ">balance sheet send</definedName>
    <definedName name="KJJKJKKJ">balance sheet send</definedName>
    <definedName name="KJJKKJKJ">balance sheet send</definedName>
    <definedName name="KJJKKK">balance sheet send</definedName>
    <definedName name="KJKJJKKJ">balance sheet send</definedName>
    <definedName name="KJKJJKKJJK">balance sheet send</definedName>
    <definedName name="KJKJKJ">balance sheet send</definedName>
    <definedName name="KJKJL">balance sheet send</definedName>
    <definedName name="kjkjlkhgkl" hidden="1">#REF!</definedName>
    <definedName name="KJKKJK">balance sheet send</definedName>
    <definedName name="KJKKJKJ">balance sheet send</definedName>
    <definedName name="KJKKJKJKJ">balance sheet send</definedName>
    <definedName name="kjklsda" hidden="1">{"one (KEY)",#N/A,FALSE,"P&amp;L"}</definedName>
    <definedName name="kjlgku" hidden="1">#REF!</definedName>
    <definedName name="kk" hidden="1">{"'Broadway ML#4'!$J$7:$N$490"}</definedName>
    <definedName name="KKJKKJK">balance sheet send</definedName>
    <definedName name="kkk" hidden="1">{"'Broadway ML#4'!$J$7:$N$490"}</definedName>
    <definedName name="KKKK">balance sheet send</definedName>
    <definedName name="KKKKKKKKKKKKKKKKKK">balance sheet send</definedName>
    <definedName name="kkl" hidden="1">{#N/A,#N/A,FALSE,"Summary";#N/A,#N/A,FALSE,"Service";#N/A,#N/A,FALSE,"Carriage";#N/A,#N/A,FALSE,"Backbone"}</definedName>
    <definedName name="kkyu" hidden="1">{#N/A,#N/A,FALSE,"Summary";#N/A,#N/A,FALSE,"Service";#N/A,#N/A,FALSE,"Carriage";#N/A,#N/A,FALSE,"Backbone"}</definedName>
    <definedName name="KL">#REF!,#REF!,#REF!</definedName>
    <definedName name="klfk" hidden="1">#REF!</definedName>
    <definedName name="klg" hidden="1">#REF!</definedName>
    <definedName name="KLHGFD">balance sheet send</definedName>
    <definedName name="kljkljklgjkl" hidden="1">#REF!</definedName>
    <definedName name="klkk">balance sheet send</definedName>
    <definedName name="KLLJLJKKLJ">balance sheet send</definedName>
    <definedName name="Kmart">#N/A</definedName>
    <definedName name="Koval_Baseline">#REF!</definedName>
    <definedName name="Koval_Cost_Reduction">#REF!</definedName>
    <definedName name="Koval_Ext_Cost">#REF!</definedName>
    <definedName name="Koval_Reduction_Percentage">#REF!</definedName>
    <definedName name="kq">#REF!</definedName>
    <definedName name="krhtuyuifd" hidden="1">#REF!</definedName>
    <definedName name="ku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kufdj" hidden="1">#REF!</definedName>
    <definedName name="kufkj" hidden="1">#REF!</definedName>
    <definedName name="kuito">#REF!</definedName>
    <definedName name="kusemec" hidden="1">{"one (KEY)",#N/A,FALSE,"P&amp;L"}</definedName>
    <definedName name="KUSEMEK" hidden="1">{"one (KEY)",#N/A,FALSE,"P&amp;L"}</definedName>
    <definedName name="kuukhj">balance sheet send</definedName>
    <definedName name="kuyioi">#REF!</definedName>
    <definedName name="KWC">#N/A</definedName>
    <definedName name="kwp">#REF!</definedName>
    <definedName name="ky" hidden="1">{"Jabil - Personal View",#N/A,FALSE,"Passives"}</definedName>
    <definedName name="Kyle2">#REF!</definedName>
    <definedName name="Kyle3">#REF!</definedName>
    <definedName name="L">#REF!</definedName>
    <definedName name="L07CSMT">#REF!</definedName>
    <definedName name="L1ER">#REF!</definedName>
    <definedName name="L2DO">#REF!</definedName>
    <definedName name="L3ER">#REF!</definedName>
    <definedName name="LabelChoice">#REF!</definedName>
    <definedName name="Labour">#REF!</definedName>
    <definedName name="labour2">#REF!</definedName>
    <definedName name="labour3">#REF!</definedName>
    <definedName name="Lam_Test_Top_Def">#REF!</definedName>
    <definedName name="Laminate_Inps">#N/A</definedName>
    <definedName name="LaminateArea">#REF!</definedName>
    <definedName name="LANDIMP">#REF!</definedName>
    <definedName name="LANDIMP_1">#REF!</definedName>
    <definedName name="LANDREV">#REF!</definedName>
    <definedName name="LANDREV_1">#REF!</definedName>
    <definedName name="LARIES">#REF!</definedName>
    <definedName name="LAS" hidden="1">{"one (KEY)",#N/A,FALSE,"P&amp;L"}</definedName>
    <definedName name="Laser_Engraving">#N/A</definedName>
    <definedName name="Last.Data.Row">98</definedName>
    <definedName name="LastPrice">#REF!</definedName>
    <definedName name="LastPriceDate">#REF!</definedName>
    <definedName name="LastRealCell">#REF!</definedName>
    <definedName name="lasttable">#REF!</definedName>
    <definedName name="lastyear">#REF!</definedName>
    <definedName name="LaunchCost">#REF!</definedName>
    <definedName name="LaunchNavList">#REF!</definedName>
    <definedName name="LBM" hidden="1">{#N/A,#N/A,FALSE,"Duran"}</definedName>
    <definedName name="LBoxFD">#REF!</definedName>
    <definedName name="LCD">#REF!</definedName>
    <definedName name="LCONSOLA">#REF!</definedName>
    <definedName name="LCPTable">#REF!</definedName>
    <definedName name="LCSavedComplexity">#REF!</definedName>
    <definedName name="LCSummary">#REF!</definedName>
    <definedName name="LCurveMultiplier">#REF!</definedName>
    <definedName name="LCWMCARN">#REF!</definedName>
    <definedName name="LDBS">#REF!</definedName>
    <definedName name="LDBSTech">#REF!</definedName>
    <definedName name="LDEngMgr">#REF!</definedName>
    <definedName name="LDFVMI">#REF!</definedName>
    <definedName name="LDHipot">#REF!</definedName>
    <definedName name="LDICT">#REF!</definedName>
    <definedName name="LDICTTech">#REF!</definedName>
    <definedName name="LDLineLeader">#REF!</definedName>
    <definedName name="LDMfgEng">#REF!</definedName>
    <definedName name="LDNonSMTIns">#REF!</definedName>
    <definedName name="LDNonSMTRework">#REF!</definedName>
    <definedName name="LDPack">#REF!</definedName>
    <definedName name="LDPM">#REF!</definedName>
    <definedName name="LDProdMgr">#REF!</definedName>
    <definedName name="LDQATech">#REF!</definedName>
    <definedName name="LDQualEng">#REF!</definedName>
    <definedName name="LDSMTEng">#REF!</definedName>
    <definedName name="LDSMTIns">#REF!</definedName>
    <definedName name="LDSMTOper">#REF!</definedName>
    <definedName name="LDSMTRework">#REF!</definedName>
    <definedName name="LDSMTTech">#REF!</definedName>
    <definedName name="LDSysAssy">#REF!</definedName>
    <definedName name="LDSysECC">#REF!</definedName>
    <definedName name="LDSysEng">#REF!</definedName>
    <definedName name="LDSysHipot">#REF!</definedName>
    <definedName name="LDSysQA">#REF!</definedName>
    <definedName name="LDSysQualRep">#REF!</definedName>
    <definedName name="LDSysTest12">#REF!</definedName>
    <definedName name="LDSysTest34">#REF!</definedName>
    <definedName name="LDSysTest56">#REF!</definedName>
    <definedName name="LDTable">#REF!</definedName>
    <definedName name="LDTAssyCost">#REF!</definedName>
    <definedName name="LDTAssyTime">#REF!</definedName>
    <definedName name="LDTAVol">#REF!</definedName>
    <definedName name="LDTBpD">#REF!</definedName>
    <definedName name="LDTCCtg">#REF!</definedName>
    <definedName name="LDTCompFact">#REF!</definedName>
    <definedName name="LDTCountry">#REF!</definedName>
    <definedName name="LDTDep">#REF!</definedName>
    <definedName name="LDTDL">#REF!</definedName>
    <definedName name="LDTDLHC">#REF!</definedName>
    <definedName name="LDTEL">#REF!</definedName>
    <definedName name="LDTELHC">#REF!</definedName>
    <definedName name="LDTestEng">#REF!</definedName>
    <definedName name="LDTFac">#REF!</definedName>
    <definedName name="LDTICT">#REF!</definedName>
    <definedName name="LDTIL">#REF!</definedName>
    <definedName name="LDTILHC">#REF!</definedName>
    <definedName name="LDTIncCap">#REF!</definedName>
    <definedName name="LDTIncFac">#REF!</definedName>
    <definedName name="LDTInvest">#REF!</definedName>
    <definedName name="LDTLineEq">#REF!</definedName>
    <definedName name="LDTNbParts">#REF!</definedName>
    <definedName name="LDTOperSup">#REF!</definedName>
    <definedName name="LDTOSLFAd">#REF!</definedName>
    <definedName name="LDTOSU">#REF!</definedName>
    <definedName name="LDTotalTime">#REF!</definedName>
    <definedName name="LDTOther">#REF!</definedName>
    <definedName name="LDTPN">#REF!</definedName>
    <definedName name="LDTProBCost">#REF!</definedName>
    <definedName name="LDTProdsqf">#REF!</definedName>
    <definedName name="LDTRtr">#REF!</definedName>
    <definedName name="LDTSIT">#REF!</definedName>
    <definedName name="LDTSMTL">#REF!</definedName>
    <definedName name="LDTtestCost">#REF!</definedName>
    <definedName name="LDTtestTime">#REF!</definedName>
    <definedName name="LDTTParts">#REF!</definedName>
    <definedName name="LDTVol">#REF!</definedName>
    <definedName name="LDWave">#REF!</definedName>
    <definedName name="LDWaveTech">#REF!</definedName>
    <definedName name="LEADTIME">#REF!</definedName>
    <definedName name="leddec">#REF!</definedName>
    <definedName name="lednov">#REF!</definedName>
    <definedName name="ledoct">#REF!</definedName>
    <definedName name="LegacyCode">#REF!</definedName>
    <definedName name="LegalRiskList">#REF!</definedName>
    <definedName name="LegalRiskTable">#REF!</definedName>
    <definedName name="Length">#REF!</definedName>
    <definedName name="LFKDFSKD">balance sheet send</definedName>
    <definedName name="LHE30A">#REF!</definedName>
    <definedName name="LHE30B">#REF!</definedName>
    <definedName name="LHE45A">#REF!</definedName>
    <definedName name="lhlghk" hidden="1">#REF!</definedName>
    <definedName name="limcount" hidden="1">1</definedName>
    <definedName name="linda" localSheetId="1">balance sheet send</definedName>
    <definedName name="linda">balance sheet send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5">#REF!</definedName>
    <definedName name="LINE_6">#REF!</definedName>
    <definedName name="LINE_7">#REF!</definedName>
    <definedName name="LINE_8">#REF!</definedName>
    <definedName name="LINE_9">#REF!</definedName>
    <definedName name="Line_Clearance">#REF!</definedName>
    <definedName name="LineConfigFlex">#REF!</definedName>
    <definedName name="LineConfigSLR">#REF!</definedName>
    <definedName name="LineEqDL">#REF!</definedName>
    <definedName name="LineFalloutReworkRate">#REF!</definedName>
    <definedName name="LineFalloutReworkTime">#REF!</definedName>
    <definedName name="LineFalloutRwkRate">#REF!</definedName>
    <definedName name="LineLeader">#REF!</definedName>
    <definedName name="LIneMaxSpeed">#REF!</definedName>
    <definedName name="LineSpeedTable">#REF!</definedName>
    <definedName name="LineStaff">#REF!</definedName>
    <definedName name="LineUsed">#REF!</definedName>
    <definedName name="lioh">#N/A</definedName>
    <definedName name="LIPS" hidden="1">{"one (KEY)",#N/A,FALSE,"P&amp;L"}</definedName>
    <definedName name="Lisa">#REF!</definedName>
    <definedName name="Lisa_bulk" hidden="1">{"'Broadway ML#4'!$J$7:$N$490"}</definedName>
    <definedName name="Lisa1">#REF!</definedName>
    <definedName name="Lisa2">#REF!</definedName>
    <definedName name="Lisa3">#REF!</definedName>
    <definedName name="list">#REF!</definedName>
    <definedName name="List_Box">#REF!</definedName>
    <definedName name="ListA">#REF!</definedName>
    <definedName name="listms">#REF!</definedName>
    <definedName name="ListOffset" hidden="1">1</definedName>
    <definedName name="ljf" hidden="1">#REF!</definedName>
    <definedName name="ljkljhlu">#REF!</definedName>
    <definedName name="LJKLJKL">balance sheet send</definedName>
    <definedName name="ljljhjk">#REF!</definedName>
    <definedName name="ljluyluy">#REF!</definedName>
    <definedName name="LKDFKSLDF">balance sheet send</definedName>
    <definedName name="LKFLSDF">balance sheet send</definedName>
    <definedName name="LKFLSDKF">balance sheet send</definedName>
    <definedName name="LKHLI">#REF!</definedName>
    <definedName name="LKIGME8">balance sheet send</definedName>
    <definedName name="lkjfwglkdf" hidden="1">{"one (KEY)",#N/A,FALSE,"P&amp;L"}</definedName>
    <definedName name="LKJHGD">balance sheet send</definedName>
    <definedName name="lkkhl" hidden="1">#REF!</definedName>
    <definedName name="ll" hidden="1">{"'Broadway ML#4'!$J$7:$N$490"}</definedName>
    <definedName name="llhg" hidden="1">#REF!</definedName>
    <definedName name="llj" hidden="1">{"'Broadway ML#4'!$J$7:$N$490"}</definedName>
    <definedName name="llkglkl" hidden="1">#REF!</definedName>
    <definedName name="LLL">#REF!</definedName>
    <definedName name="LLLLLLLLLLLLLLLLL">balance sheet send</definedName>
    <definedName name="LMarkUp">#REF!</definedName>
    <definedName name="LMSILLINOIS">#REF!</definedName>
    <definedName name="LMSLTD">#REF!</definedName>
    <definedName name="LMSTEXAS">#REF!</definedName>
    <definedName name="LMV">#REF!</definedName>
    <definedName name="lo" hidden="1">{#N/A,#N/A,FALSE,"Sales"}</definedName>
    <definedName name="LOB">#REF!</definedName>
    <definedName name="Locations">#REF!</definedName>
    <definedName name="locations1">#REF!</definedName>
    <definedName name="LockandSend">#REF!</definedName>
    <definedName name="LOGISTICAL">#REF!</definedName>
    <definedName name="Logistics">#REF!</definedName>
    <definedName name="loh" hidden="1">{"one (KEY)",#N/A,FALSE,"P&amp;L"}</definedName>
    <definedName name="loh." hidden="1">{"one (KEY)",#N/A,FALSE,"P&amp;L"}</definedName>
    <definedName name="Longbow_재료비" hidden="1">{"'Broadway ML#4'!$J$7:$N$490"}</definedName>
    <definedName name="Longbow_재료비_1" hidden="1">{"'Broadway ML#4'!$J$7:$N$490"}</definedName>
    <definedName name="LONGMONT">#REF!</definedName>
    <definedName name="Lookup">#N/A</definedName>
    <definedName name="lookup_range">#REF!</definedName>
    <definedName name="LookupRange">#REF!</definedName>
    <definedName name="LookupRange2">#REF!</definedName>
    <definedName name="LookupRange3">#REF!</definedName>
    <definedName name="LOPCARIES">#REF!</definedName>
    <definedName name="LOPCTAURUS">#REF!</definedName>
    <definedName name="LowPrice">#REF!</definedName>
    <definedName name="LP" hidden="1">{"'Broadway ML#4'!$J$7:$N$490"}</definedName>
    <definedName name="LP_" hidden="1">{"'Broadway ML#4'!$J$7:$N$490"}</definedName>
    <definedName name="lrg_vol">#REF!</definedName>
    <definedName name="LSCCount">#REF!</definedName>
    <definedName name="LSComplexityTable">#REF!</definedName>
    <definedName name="lsjls" hidden="1">{"totlg",#N/A,FALSE,"P&amp;L";"lgsusa",#N/A,FALSE,"P&amp;L";"smflg",#N/A,FALSE,"P&amp;L";"spnlg",#N/A,FALSE,"P&amp;L";"spnellg",#N/A,FALSE,"P&amp;L";"cnuslg",#N/A,FALSE,"P&amp;L";"canlg",#N/A,FALSE,"P&amp;L";"cdellg",#N/A,FALSE,"P&amp;L"}</definedName>
    <definedName name="LSL">#REF!</definedName>
    <definedName name="LSTAmor">#REF!</definedName>
    <definedName name="LstAmort2">#REF!</definedName>
    <definedName name="LSTCapType">#REF!</definedName>
    <definedName name="LSTCur">#REF!</definedName>
    <definedName name="LSTCustomer">#REF!</definedName>
    <definedName name="LSTICT">#REF!</definedName>
    <definedName name="LSTLineConfig">#REF!</definedName>
    <definedName name="LSTMS">#REF!</definedName>
    <definedName name="LSTPB">#REF!</definedName>
    <definedName name="LSTQT">#REF!</definedName>
    <definedName name="LSTROIC">#REF!</definedName>
    <definedName name="LSTSide">#REF!</definedName>
    <definedName name="LSTSite">#REF!</definedName>
    <definedName name="LSTSolderPaste">#REF!</definedName>
    <definedName name="LSTvolPL">#REF!</definedName>
    <definedName name="LSTVolume">#REF!</definedName>
    <definedName name="LSTYN">#REF!</definedName>
    <definedName name="LTAURUS">#REF!</definedName>
    <definedName name="LTRECV">#REF!</definedName>
    <definedName name="LU_Threshold">#REF!</definedName>
    <definedName name="Lucent_margins">#REF!</definedName>
    <definedName name="Luis" hidden="1">{#N/A,#N/A,FALSE,"Aging Summary";#N/A,#N/A,FALSE,"Ratio Analysis";#N/A,#N/A,FALSE,"Test 120 Day Accts";#N/A,#N/A,FALSE,"Tickmarks"}</definedName>
    <definedName name="Lunes">#REF!</definedName>
    <definedName name="luy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LWSALES">#REF!</definedName>
    <definedName name="LWSALES.">#REF!</definedName>
    <definedName name="LYBin">#REF!</definedName>
    <definedName name="Lybin.">#REF!</definedName>
    <definedName name="LYHolds">#REF!</definedName>
    <definedName name="LYHolds.">#REF!</definedName>
    <definedName name="LYNet">#REF!</definedName>
    <definedName name="LYNet.">#REF!</definedName>
    <definedName name="LYoos">#REF!</definedName>
    <definedName name="LYoos.">#REF!</definedName>
    <definedName name="LYReselects">#REF!</definedName>
    <definedName name="LYReselects.">#REF!</definedName>
    <definedName name="LYReturns">#REF!</definedName>
    <definedName name="LYReturns.">#REF!</definedName>
    <definedName name="LYSales">#REF!</definedName>
    <definedName name="LYSales.">#REF!</definedName>
    <definedName name="LYTotal">#REF!</definedName>
    <definedName name="LYTotal.">#REF!</definedName>
    <definedName name="M">balance sheet send</definedName>
    <definedName name="M_C_Tonnage">#REF!</definedName>
    <definedName name="M_DoneDate">#REF!</definedName>
    <definedName name="M11C">#REF!</definedName>
    <definedName name="M1ER">#REF!</definedName>
    <definedName name="M2DO">#REF!</definedName>
    <definedName name="M3ER">#REF!</definedName>
    <definedName name="MA" localSheetId="1">#REF!</definedName>
    <definedName name="MA">#REF!</definedName>
    <definedName name="MAC_QTY">#REF!</definedName>
    <definedName name="Machine">#REF!</definedName>
    <definedName name="Machine_Tonnage">#REF!</definedName>
    <definedName name="Machine_Tonnage2">#REF!</definedName>
    <definedName name="MACRO">#REF!</definedName>
    <definedName name="Macro1" localSheetId="1">#REF!</definedName>
    <definedName name="Macro1">#REF!</definedName>
    <definedName name="Macro10" localSheetId="1">#REF!</definedName>
    <definedName name="Macro10">#REF!</definedName>
    <definedName name="Macro11" localSheetId="1">#REF!</definedName>
    <definedName name="Macro11">#REF!</definedName>
    <definedName name="Macro12" localSheetId="1">#REF!</definedName>
    <definedName name="Macro12">#REF!</definedName>
    <definedName name="Macro13" localSheetId="1">#REF!</definedName>
    <definedName name="Macro13">#REF!</definedName>
    <definedName name="Macro14" localSheetId="1">#REF!</definedName>
    <definedName name="Macro14">#REF!</definedName>
    <definedName name="Macro15" localSheetId="1">#REF!</definedName>
    <definedName name="Macro15">#REF!</definedName>
    <definedName name="Macro2" localSheetId="1">#REF!</definedName>
    <definedName name="Macro2">#REF!</definedName>
    <definedName name="Macro3" localSheetId="1">#REF!</definedName>
    <definedName name="Macro3">#REF!</definedName>
    <definedName name="Macro4" localSheetId="1">#REF!</definedName>
    <definedName name="Macro4">#REF!</definedName>
    <definedName name="Macro5" localSheetId="1">#REF!</definedName>
    <definedName name="Macro5">#REF!</definedName>
    <definedName name="Macro6" localSheetId="1">#REF!</definedName>
    <definedName name="Macro6">#REF!</definedName>
    <definedName name="Macro7" localSheetId="1">#REF!</definedName>
    <definedName name="Macro7">#REF!</definedName>
    <definedName name="Macro8" localSheetId="1">#REF!</definedName>
    <definedName name="Macro8">#REF!</definedName>
    <definedName name="Macro9" localSheetId="1">#REF!</definedName>
    <definedName name="Macro9">#REF!</definedName>
    <definedName name="Mago" hidden="1">{#N/A,#N/A,FALSE,"PATROA.XLS";#N/A,#N/A,FALSE,"ASSYLABR.XLS";#N/A,#N/A,FALSE,"TESTLABR.XLS"}</definedName>
    <definedName name="MAINDATA">#REF!</definedName>
    <definedName name="mala" hidden="1">{"one (KEY)",#N/A,FALSE,"P&amp;L"}</definedName>
    <definedName name="man" hidden="1">{#N/A,#N/A,FALSE,"Sales"}</definedName>
    <definedName name="MAN_TIME">#REF!</definedName>
    <definedName name="Manaus" hidden="1">{"one (KEY)",#N/A,FALSE,"P&amp;L"}</definedName>
    <definedName name="ManpMonth">#REF!</definedName>
    <definedName name="manualassy_noParts">#N/A</definedName>
    <definedName name="Manufacturingvar" hidden="1">{#N/A,#N/A,TRUE,"Summary by FY";#N/A,#N/A,TRUE,"PRODUCTMIX ";#N/A,#N/A,TRUE,"Available hrs";#N/A,#N/A,TRUE,"Headcount ";#N/A,#N/A,TRUE,"Summary Spending";#N/A,#N/A,TRUE,"Summary Spend Incl.";#N/A,#N/A,TRUE,"Detail Spending";#N/A,#N/A,TRUE,"DSAvecor";#N/A,#N/A,TRUE,"DScombi";#N/A,#N/A,TRUE,"Capital"}</definedName>
    <definedName name="ManufEng">#REF!</definedName>
    <definedName name="mar">#REF!</definedName>
    <definedName name="march">#REF!</definedName>
    <definedName name="MARGINPLAN">#REF!</definedName>
    <definedName name="MARGINPLAN.">#REF!</definedName>
    <definedName name="MARGINPROJ">#REF!</definedName>
    <definedName name="mari" hidden="1">{"Jabil - Personal View",#N/A,FALSE,"Passives"}</definedName>
    <definedName name="MARIES">#REF!</definedName>
    <definedName name="mark">#REF!</definedName>
    <definedName name="mark10">#REF!</definedName>
    <definedName name="mark11">#REF!</definedName>
    <definedName name="mark4">#REF!</definedName>
    <definedName name="mark5">#REF!</definedName>
    <definedName name="mark6">#REF!</definedName>
    <definedName name="markdef2">#REF!</definedName>
    <definedName name="MARKETASSY">#REF!</definedName>
    <definedName name="MarketSegment">#REF!</definedName>
    <definedName name="MarketSegmentTable">#REF!</definedName>
    <definedName name="marknames">#REF!</definedName>
    <definedName name="MarSun1">DATEVALUE("3/1/"&amp;#REF!)-WEEKDAY(DATEVALUE("3/1/"&amp;#REF!))+1</definedName>
    <definedName name="Martes">#REF!</definedName>
    <definedName name="marzo">#REF!,#REF!,#REF!,#REF!,#REF!,#REF!,#REF!,#REF!,#REF!,#REF!,#REF!,#REF!,#REF!,#REF!</definedName>
    <definedName name="mast">#REF!</definedName>
    <definedName name="Master">#REF!</definedName>
    <definedName name="Masterfile">#REF!</definedName>
    <definedName name="mastermark">#REF!</definedName>
    <definedName name="mastertable">#REF!</definedName>
    <definedName name="Mat">#REF!</definedName>
    <definedName name="MATCOA">#REF!</definedName>
    <definedName name="Material">#REF!</definedName>
    <definedName name="MATERIAL_PREP_HOURS01">#REF!</definedName>
    <definedName name="MATERIAL_PREP_HOURS02">#REF!</definedName>
    <definedName name="MATERIAL_PREP_HOURS03">#REF!</definedName>
    <definedName name="MATERIAL_PREP_HOURS04">#REF!</definedName>
    <definedName name="MATERIAL_PREP_HOURS05">#REF!</definedName>
    <definedName name="MATERIAL_PREP_HOURS06">#REF!</definedName>
    <definedName name="MATERIAL_PREP_HOURS07">#REF!</definedName>
    <definedName name="MATERIAL_PREP_HOURS08">#REF!</definedName>
    <definedName name="MATERIAL_PREP_HOURS09">#REF!</definedName>
    <definedName name="MATERIAL_PREP_HOURS10">#REF!</definedName>
    <definedName name="MATERIAL_PREP_HOURS11">#REF!</definedName>
    <definedName name="MATERIAL_PREP_HOURS12">#REF!</definedName>
    <definedName name="MATERIAL_PREP_HOURS13">#REF!</definedName>
    <definedName name="MATERIAL_PREP_HOURS14">#REF!</definedName>
    <definedName name="MATERIAL_PREP_HOURS15">#REF!</definedName>
    <definedName name="MATERIAL_PREP_HOURS16">#REF!</definedName>
    <definedName name="MATERIAL_PREP_HOURS17">#REF!</definedName>
    <definedName name="MATERIAL_PREP_HOURS18">#REF!</definedName>
    <definedName name="Material_Quote">#REF!</definedName>
    <definedName name="material2">#REF!</definedName>
    <definedName name="material3">#REF!</definedName>
    <definedName name="MATERIALES">#REF!</definedName>
    <definedName name="Materials">#REF!</definedName>
    <definedName name="materialtype">#REF!</definedName>
    <definedName name="MatHandler">#REF!</definedName>
    <definedName name="MatHandlWH">#REF!</definedName>
    <definedName name="MatHandpHrs">#REF!</definedName>
    <definedName name="MatHWMthWg">#REF!</definedName>
    <definedName name="matl_1000">#N/A</definedName>
    <definedName name="matl_1500">#N/A</definedName>
    <definedName name="matl_250">#N/A</definedName>
    <definedName name="matl_500">#N/A</definedName>
    <definedName name="matlbur2">#REF!</definedName>
    <definedName name="matlbur3">#REF!</definedName>
    <definedName name="MatManager">#REF!</definedName>
    <definedName name="maxcell">#REF!</definedName>
    <definedName name="MaxSMT">#REF!</definedName>
    <definedName name="may">#REF!</definedName>
    <definedName name="May05_Act">#REF!</definedName>
    <definedName name="May24_2000_Demand">#REF!</definedName>
    <definedName name="mayo">#REF!,#REF!,#REF!,#REF!,#REF!,#REF!,#REF!,#REF!,#REF!,#REF!,#REF!,#REF!,#REF!,#REF!</definedName>
    <definedName name="MaySun1">DATEVALUE("5/1/"&amp;#REF!)-WEEKDAY(DATEVALUE("5/1/"&amp;#REF!))+1</definedName>
    <definedName name="MB">"文字方塊 25"</definedName>
    <definedName name="MB_Schedule">#REF!</definedName>
    <definedName name="MBoxFD">#REF!</definedName>
    <definedName name="mc">#REF!</definedName>
    <definedName name="mcdate">#N/A</definedName>
    <definedName name="MCONSOLA">#REF!</definedName>
    <definedName name="MCWMCARN">#REF!</definedName>
    <definedName name="MDAS" localSheetId="1">#REF!</definedName>
    <definedName name="MDAS">#REF!</definedName>
    <definedName name="MDASÁ" localSheetId="1">#REF!</definedName>
    <definedName name="MDASÁ">#REF!</definedName>
    <definedName name="MDPCBABuyer">#REF!</definedName>
    <definedName name="MDPCBAInv">#REF!</definedName>
    <definedName name="MDPCBAWhse">#REF!</definedName>
    <definedName name="MDSysBuyer">#REF!</definedName>
    <definedName name="MDSysInvCtrl">#REF!</definedName>
    <definedName name="MDSysOrdEnt">#REF!</definedName>
    <definedName name="MDSysPlan">#REF!</definedName>
    <definedName name="MDSysProdCtrl">#REF!</definedName>
    <definedName name="MDSysQE">#REF!</definedName>
    <definedName name="MDSysStk">#REF!</definedName>
    <definedName name="MDTable">#REF!</definedName>
    <definedName name="MDTAttrition">#REF!</definedName>
    <definedName name="MDTClamp">#REF!</definedName>
    <definedName name="MDTCRM">#REF!</definedName>
    <definedName name="MDTDPO">#REF!</definedName>
    <definedName name="MDTDSO">#REF!</definedName>
    <definedName name="MDTEO">#REF!</definedName>
    <definedName name="MDTFD">#REF!</definedName>
    <definedName name="MDTFDRate">#REF!</definedName>
    <definedName name="MDTFixCosts">#REF!</definedName>
    <definedName name="MDTIncWhse">#REF!</definedName>
    <definedName name="MDTint">#REF!</definedName>
    <definedName name="MDTStdPackMtl">#REF!</definedName>
    <definedName name="MDTTotLabor">#REF!</definedName>
    <definedName name="MDTTRM">#REF!</definedName>
    <definedName name="MDTTurn">#REF!</definedName>
    <definedName name="MDTWH">#REF!</definedName>
    <definedName name="MDTWhBCost">#REF!</definedName>
    <definedName name="MDTWHSqft">#REF!</definedName>
    <definedName name="ME" localSheetId="1">#REF!</definedName>
    <definedName name="ME">#REF!</definedName>
    <definedName name="MEAuth">#REF!</definedName>
    <definedName name="mech" hidden="1">{"one (KEY)",#N/A,FALSE,"P&amp;L"}</definedName>
    <definedName name="MECHANICAL">#REF!</definedName>
    <definedName name="MECHASSYTime">#REF!</definedName>
    <definedName name="MechRate">#REF!</definedName>
    <definedName name="med_vol">#REF!</definedName>
    <definedName name="Meijer">#N/A</definedName>
    <definedName name="MEMORY">#REF!</definedName>
    <definedName name="Menge">#REF!</definedName>
    <definedName name="menu">#REF!</definedName>
    <definedName name="MENU1">#REF!</definedName>
    <definedName name="MENU2">#REF!</definedName>
    <definedName name="MENU3">#REF!</definedName>
    <definedName name="MENU4">#REF!</definedName>
    <definedName name="MENUHOME">#REF!</definedName>
    <definedName name="MEP_AR">#N/A</definedName>
    <definedName name="MER">#REF!</definedName>
    <definedName name="MERFEI">#REF!</definedName>
    <definedName name="MERHOME">#REF!</definedName>
    <definedName name="Metaltek">#REF!</definedName>
    <definedName name="METCAL">#REF!</definedName>
    <definedName name="METHOME">#REF!</definedName>
    <definedName name="metro">#REF!</definedName>
    <definedName name="mets">#REF!</definedName>
    <definedName name="MEWarning" hidden="1">0</definedName>
    <definedName name="Mexico">#REF!</definedName>
    <definedName name="Mexico_Demand">#REF!</definedName>
    <definedName name="MEXOPS">#REF!</definedName>
    <definedName name="MEXPLASTICS">#REF!</definedName>
    <definedName name="MfgEngrLA">#REF!</definedName>
    <definedName name="MfgFaCost">#REF!</definedName>
    <definedName name="MfgFACostBox">#REF!</definedName>
    <definedName name="mfgvar" hidden="1">{#N/A,#N/A,TRUE,"Summary by FY";#N/A,#N/A,TRUE,"PRODUCTMIX ";#N/A,#N/A,TRUE,"Available hrs";#N/A,#N/A,TRUE,"Headcount ";#N/A,#N/A,TRUE,"Summary Spending";#N/A,#N/A,TRUE,"Summary Spend Incl.";#N/A,#N/A,TRUE,"Detail Spending";#N/A,#N/A,TRUE,"DSAvecor";#N/A,#N/A,TRUE,"DScombi";#N/A,#N/A,TRUE,"Capital"}</definedName>
    <definedName name="MgmtRevMaxSc">#REF!</definedName>
    <definedName name="MgmtRevSc">#REF!</definedName>
    <definedName name="MI1ER">#REF!</definedName>
    <definedName name="MI2DO">#REF!</definedName>
    <definedName name="MI3ER">#REF!</definedName>
    <definedName name="MIARIES">#REF!</definedName>
    <definedName name="MICHA" hidden="1">{"one (KEY)",#N/A,FALSE,"P&amp;L"}</definedName>
    <definedName name="michal" hidden="1">{"one (KEY)",#N/A,FALSE,"P&amp;L"}</definedName>
    <definedName name="MICONSOLA">#REF!</definedName>
    <definedName name="Microcell">#N/A</definedName>
    <definedName name="MICWMCARN">#REF!</definedName>
    <definedName name="Miercoles">#REF!</definedName>
    <definedName name="mikem">#REF!</definedName>
    <definedName name="mil">#REF!</definedName>
    <definedName name="Milpitas">#REF!</definedName>
    <definedName name="MIM">#REF!</definedName>
    <definedName name="mimi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mincell">#REF!</definedName>
    <definedName name="MIOPCARIES">#REF!</definedName>
    <definedName name="MIOPCTAURUS">#REF!</definedName>
    <definedName name="Miro_Baseline">#REF!</definedName>
    <definedName name="Miro_Cost_Reduction">#REF!</definedName>
    <definedName name="Miro_Ext_Cost">#REF!</definedName>
    <definedName name="Miro_Reduction_Percentage">#REF!</definedName>
    <definedName name="misc">#REF!</definedName>
    <definedName name="mishmish" hidden="1">{"one (KEY)",#N/A,FALSE,"P&amp;L"}</definedName>
    <definedName name="MITAURUS">#REF!</definedName>
    <definedName name="Mix">#REF!</definedName>
    <definedName name="mkshxrjh">#REF!</definedName>
    <definedName name="mm" hidden="1">{"'Broadway ML#4'!$J$7:$N$490"}</definedName>
    <definedName name="mm_" hidden="1">{"'Broadway ML#4'!$J$7:$N$490"}</definedName>
    <definedName name="MMarkUp">#REF!</definedName>
    <definedName name="MMC">#REF!</definedName>
    <definedName name="MMgrMthWg">#REF!</definedName>
    <definedName name="mmjyy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mmm" hidden="1">{"one (KEY)",#N/A,FALSE,"P&amp;L"}</definedName>
    <definedName name="MMMMMMMMMMMM">balance sheet send</definedName>
    <definedName name="mo">#REF!</definedName>
    <definedName name="MODEL">#REF!</definedName>
    <definedName name="Model_Query">#REF!</definedName>
    <definedName name="MODELO">#REF!</definedName>
    <definedName name="Module1.Macro1" localSheetId="1">#REF!</definedName>
    <definedName name="Module1.Macro1">#REF!</definedName>
    <definedName name="Module1.Macro10" localSheetId="1">#REF!</definedName>
    <definedName name="Module1.Macro10">#REF!</definedName>
    <definedName name="Module1.Macro11" localSheetId="1">#REF!</definedName>
    <definedName name="Module1.Macro11">#REF!</definedName>
    <definedName name="Module1.Macro12" localSheetId="1">#REF!</definedName>
    <definedName name="Module1.Macro12">#REF!</definedName>
    <definedName name="Module1.Macro13" localSheetId="1">#REF!</definedName>
    <definedName name="Module1.Macro13">#REF!</definedName>
    <definedName name="Module1.Macro14" localSheetId="1">#REF!</definedName>
    <definedName name="Module1.Macro14">#REF!</definedName>
    <definedName name="Module1.Macro15" localSheetId="1">#REF!</definedName>
    <definedName name="Module1.Macro15">#REF!</definedName>
    <definedName name="Module1.Macro2" localSheetId="1">#REF!</definedName>
    <definedName name="Module1.Macro2">#REF!</definedName>
    <definedName name="Module1.Macro3" localSheetId="1">#REF!</definedName>
    <definedName name="Module1.Macro3">#REF!</definedName>
    <definedName name="Module1.Macro4" localSheetId="1">#REF!</definedName>
    <definedName name="Module1.Macro4">#REF!</definedName>
    <definedName name="Module1.Macro5" localSheetId="1">#REF!</definedName>
    <definedName name="Module1.Macro5">#REF!</definedName>
    <definedName name="Module1.Macro6" localSheetId="1">#REF!</definedName>
    <definedName name="Module1.Macro6">#REF!</definedName>
    <definedName name="Module1.Macro7" localSheetId="1">#REF!</definedName>
    <definedName name="Module1.Macro7">#REF!</definedName>
    <definedName name="Module1.Macro8" localSheetId="1">#REF!</definedName>
    <definedName name="Module1.Macro8">#REF!</definedName>
    <definedName name="Module1.Macro9" localSheetId="1">#REF!</definedName>
    <definedName name="Module1.Macro9">#REF!</definedName>
    <definedName name="modules">#REF!</definedName>
    <definedName name="mof" hidden="1">{"one (KEY)",#N/A,FALSE,"P&amp;L"}</definedName>
    <definedName name="moh" hidden="1">{"one (KEY)",#N/A,FALSE,"P&amp;L"}</definedName>
    <definedName name="moh." hidden="1">{"one (KEY)",#N/A,FALSE,"P&amp;L"}</definedName>
    <definedName name="moh9901a">#REF!</definedName>
    <definedName name="Mold_Set_Up">#REF!</definedName>
    <definedName name="MONAT">#REF!</definedName>
    <definedName name="monkey">#REF!</definedName>
    <definedName name="MONO">#REF!</definedName>
    <definedName name="Mono125">#REF!</definedName>
    <definedName name="Mono125_2009">#REF!</definedName>
    <definedName name="Mono125_2009Q1">#REF!</definedName>
    <definedName name="Mono125_2009Q2">#REF!</definedName>
    <definedName name="Mono125_2009Q3">#REF!</definedName>
    <definedName name="Mono125_2009Q4">#REF!</definedName>
    <definedName name="Mono125_2010Q1">#REF!</definedName>
    <definedName name="Mono125_2010Q2">#REF!</definedName>
    <definedName name="Mono125_2010Q3">#REF!</definedName>
    <definedName name="Mono125_2010Q4">#REF!</definedName>
    <definedName name="Mono156">#REF!</definedName>
    <definedName name="Mono156_2009">#REF!</definedName>
    <definedName name="Mono156_2009Q1">#REF!</definedName>
    <definedName name="Mono156_2009Q2">#REF!</definedName>
    <definedName name="Mono156_2009Q3">#REF!</definedName>
    <definedName name="Mono156_2009Q4">#REF!</definedName>
    <definedName name="Mono156_2010Q1">#REF!</definedName>
    <definedName name="Mono156_2010Q2">#REF!</definedName>
    <definedName name="Mono156_2010Q3">#REF!</definedName>
    <definedName name="Mono156_2010Q4">#REF!</definedName>
    <definedName name="MONTH">#REF!</definedName>
    <definedName name="MonthEnded">#REF!</definedName>
    <definedName name="monthly_report_table">#REF!</definedName>
    <definedName name="monthNames">#REF!</definedName>
    <definedName name="months">#REF!</definedName>
    <definedName name="MOPCARIES">#REF!</definedName>
    <definedName name="MOPCTAURUS">#REF!</definedName>
    <definedName name="MOQ">#REF!</definedName>
    <definedName name="MOQDETAILS">#REF!</definedName>
    <definedName name="Morticia" hidden="1">{"'Broadway ML#4'!$J$7:$N$490"}</definedName>
    <definedName name="MOTHER" localSheetId="1">#REF!</definedName>
    <definedName name="MOTHER">#REF!</definedName>
    <definedName name="MOTHRSÁ" localSheetId="1">#REF!</definedName>
    <definedName name="MOTHRSÁ">#REF!</definedName>
    <definedName name="Motorola_margins">#REF!</definedName>
    <definedName name="Move_to_Backend">#N/A</definedName>
    <definedName name="Move_to_Laminator">#N/A</definedName>
    <definedName name="MOVETIME">#REF!</definedName>
    <definedName name="mqldf11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MRP">#REF!</definedName>
    <definedName name="MSBU_PBIT">#REF!</definedName>
    <definedName name="MSCCFCost">#REF!</definedName>
    <definedName name="MSDetail">#REF!</definedName>
    <definedName name="MSTCFCPLL">#REF!</definedName>
    <definedName name="MSTCFCPML">#REF!</definedName>
    <definedName name="MSTCFPNLL">#REF!</definedName>
    <definedName name="MSTCFPNML">#REF!</definedName>
    <definedName name="MSTTL">#REF!</definedName>
    <definedName name="MSxTable">#REF!</definedName>
    <definedName name="MTAURUS">#REF!</definedName>
    <definedName name="mtglocation">#REF!</definedName>
    <definedName name="mtgmethod">#REF!</definedName>
    <definedName name="mths" localSheetId="1">#REF!</definedName>
    <definedName name="mths">#REF!</definedName>
    <definedName name="MTY">#REF!</definedName>
    <definedName name="MULTEK">#N/A</definedName>
    <definedName name="Multi156">#REF!</definedName>
    <definedName name="Multi156_2009">#REF!</definedName>
    <definedName name="Multi156_2009Q1">#REF!</definedName>
    <definedName name="Multi156_2009Q2">#REF!</definedName>
    <definedName name="Multi156_2009Q3">#REF!</definedName>
    <definedName name="Multi156_2009Q4">#REF!</definedName>
    <definedName name="Multi156_2010Q1">#REF!</definedName>
    <definedName name="Multi156_2010Q2">#REF!</definedName>
    <definedName name="Multi156_2010Q3">#REF!</definedName>
    <definedName name="Multi156_2010Q4">#REF!</definedName>
    <definedName name="MultiVolumes">#REF!</definedName>
    <definedName name="Musicland">#N/A</definedName>
    <definedName name="MV">#REF!</definedName>
    <definedName name="MV_1">#REF!</definedName>
    <definedName name="MXO" hidden="1">{"budget",#N/A,FALSE,"4011"}</definedName>
    <definedName name="Myall">#REF!</definedName>
    <definedName name="Myall_Query">#REF!</definedName>
    <definedName name="MYR">#REF!</definedName>
    <definedName name="MYRA">#REF!</definedName>
    <definedName name="n">#REF!</definedName>
    <definedName name="na" hidden="1">{"Annual",#N/A,FALSE,"Sales &amp; Market";"Quarterly",#N/A,FALSE,"Sales &amp; Market"}</definedName>
    <definedName name="Name">#REF!</definedName>
    <definedName name="names">#REF!</definedName>
    <definedName name="nasia">#REF!</definedName>
    <definedName name="Nb">#N/A</definedName>
    <definedName name="NB_">#N/A</definedName>
    <definedName name="NB_AP">#REF!</definedName>
    <definedName name="NB_D">#N/A</definedName>
    <definedName name="NB_DSO">#REF!</definedName>
    <definedName name="NB_T">#N/A</definedName>
    <definedName name="NB_Turns">#REF!</definedName>
    <definedName name="NBo">#N/A</definedName>
    <definedName name="NbOtherEqt">#REF!</definedName>
    <definedName name="NBPOSTREF">#REF!</definedName>
    <definedName name="NBPREREF">#REF!</definedName>
    <definedName name="NbrAIParts">#REF!</definedName>
    <definedName name="NbrBoardperBI">#REF!</definedName>
    <definedName name="NbrCLineItems">#REF!</definedName>
    <definedName name="NbrParts">#REF!</definedName>
    <definedName name="NbrShipMonth">#REF!</definedName>
    <definedName name="NbrSuppliers">#REF!</definedName>
    <definedName name="NBSMTLine">#REF!</definedName>
    <definedName name="NBWrkBench">#REF!</definedName>
    <definedName name="NBX2RAY">#REF!</definedName>
    <definedName name="nc">#REF!</definedName>
    <definedName name="ne" hidden="1">{"one (KEY)",#N/A,FALSE,"P&amp;L"}</definedName>
    <definedName name="NEC_margins">#REF!</definedName>
    <definedName name="nela">balance sheet send</definedName>
    <definedName name="new">#REF!</definedName>
    <definedName name="New_MBR_start">#REF!</definedName>
    <definedName name="NewCheck">#REF!</definedName>
    <definedName name="newcomp">#N/A</definedName>
    <definedName name="newcust">#REF!</definedName>
    <definedName name="NewCustomer">#REF!</definedName>
    <definedName name="NewDataKeyRange">#REF!</definedName>
    <definedName name="Newman_Baseline">#REF!</definedName>
    <definedName name="Newman_Cost_Reduction">#REF!</definedName>
    <definedName name="Newman_Ext_Cost">#REF!</definedName>
    <definedName name="Newman_Reduction_Percentage">#REF!</definedName>
    <definedName name="newmark2">#REF!</definedName>
    <definedName name="newmarktable">#REF!</definedName>
    <definedName name="newname">#REF!</definedName>
    <definedName name="newnames">#REF!</definedName>
    <definedName name="newpandl2">#REF!</definedName>
    <definedName name="newpandl4">#REF!</definedName>
    <definedName name="Newport" hidden="1">{"'Broadway ML#4'!$J$7:$N$490"}</definedName>
    <definedName name="NewProductBuild" hidden="1">#REF!</definedName>
    <definedName name="newtable">#REF!</definedName>
    <definedName name="NewTicker">#REF!</definedName>
    <definedName name="NF.Down">INDIRECT(ADDRESS(ROW()-(#REF!+2),COLUMN()+1))</definedName>
    <definedName name="NF.Downrate">INDIRECT(ADDRESS(ROW()-(#REF!+2),COLUMN()+1))</definedName>
    <definedName name="NF.Total12">SUM(#REF!)</definedName>
    <definedName name="NH">#REF!</definedName>
    <definedName name="NHFK" hidden="1">{"one (KEY)",#N/A,FALSE,"P&amp;L"}</definedName>
    <definedName name="NitMin">#REF!</definedName>
    <definedName name="NitRate">#REF!</definedName>
    <definedName name="Nitrogen">#REF!</definedName>
    <definedName name="njy" hidden="1">{#N/A,#N/A,FALSE,"Summary";#N/A,#N/A,FALSE,"Service";#N/A,#N/A,FALSE,"Carriage";#N/A,#N/A,FALSE,"Backbone"}</definedName>
    <definedName name="NLG">#REF!</definedName>
    <definedName name="NLGA">#REF!</definedName>
    <definedName name="nm" hidden="1">{#N/A,#N/A,FALSE,"Sales"}</definedName>
    <definedName name="nn" hidden="1">{"'Broadway ML#4'!$J$7:$N$490"}</definedName>
    <definedName name="NNNNNNNNNNNN">balance sheet send</definedName>
    <definedName name="No">#REF!</definedName>
    <definedName name="no_boards_perPanel">#REF!</definedName>
    <definedName name="no_smt_glueDots">#N/A</definedName>
    <definedName name="NODES_per_Panel">#REF!</definedName>
    <definedName name="NOK">#REF!</definedName>
    <definedName name="Nokia_margins">#REF!</definedName>
    <definedName name="NOMAI">#REF!</definedName>
    <definedName name="NOMHOME">#REF!</definedName>
    <definedName name="Non_Engine" hidden="1">{"'Broadway ML#4'!$J$7:$N$490"}</definedName>
    <definedName name="none" localSheetId="1">#REF!</definedName>
    <definedName name="none">#REF!</definedName>
    <definedName name="none_3">#REF!</definedName>
    <definedName name="NonSMTInspection">#REF!</definedName>
    <definedName name="NonSMTInspRate">#REF!</definedName>
    <definedName name="NonSMTInspStaffing">#REF!</definedName>
    <definedName name="NonSMTRwkStaffing">#REF!</definedName>
    <definedName name="Nortel_margins">#REF!</definedName>
    <definedName name="NorthCarolina">#REF!</definedName>
    <definedName name="Nouveau" hidden="1">#REF!</definedName>
    <definedName name="nov">#REF!</definedName>
    <definedName name="Nov05_Act">#REF!</definedName>
    <definedName name="NovSC">#REF!</definedName>
    <definedName name="NovSun1">DATEVALUE("11/1/"&amp;#REF!)-WEEKDAY(DATEVALUE("11/1/"&amp;#REF!))+1</definedName>
    <definedName name="NPATested">#REF!</definedName>
    <definedName name="NPAUntested">#REF!</definedName>
    <definedName name="NPIMilpitas">#REF!</definedName>
    <definedName name="nre">#REF!</definedName>
    <definedName name="NSO_DISC">#REF!</definedName>
    <definedName name="NTPAY">#REF!</definedName>
    <definedName name="NTPAYLT">#REF!</definedName>
    <definedName name="NTRCVCURR">#REF!</definedName>
    <definedName name="nubeemet" hidden="1">{"one (KEY)",#N/A,FALSE,"P&amp;L"}</definedName>
    <definedName name="NullSpend">#REF!</definedName>
    <definedName name="nulp" hidden="1">{#N/A,#N/A,FALSE,"Summary";#N/A,#N/A,FALSE,"Service";#N/A,#N/A,FALSE,"Carriage";#N/A,#N/A,FALSE,"Backbone"}</definedName>
    <definedName name="Number_of_Pins">#REF!</definedName>
    <definedName name="Number_of_pins..">#REF!</definedName>
    <definedName name="numbers">#REF!</definedName>
    <definedName name="nurit" hidden="1">{"one (KEY)",#N/A,FALSE,"P&amp;L"}</definedName>
    <definedName name="NVBN">balance sheet send</definedName>
    <definedName name="Nvidia">#N/A</definedName>
    <definedName name="NVIDIA126">#N/A</definedName>
    <definedName name="NVIDIA128DELL">#N/A</definedName>
    <definedName name="NVIDIA128FSC">#N/A</definedName>
    <definedName name="NVIDIA128HP">#N/A</definedName>
    <definedName name="NVIDIA128IBM">#N/A</definedName>
    <definedName name="NVIDIA128PNY">#N/A</definedName>
    <definedName name="NVIDIAspeedracer">#N/A</definedName>
    <definedName name="NvsASD">"V2001-08-02"</definedName>
    <definedName name="NvsAutoDrillOk">"VY"</definedName>
    <definedName name="NvsElapsedTime">0.000285995374724735</definedName>
    <definedName name="NvsEndTime">37120.6158212963</definedName>
    <definedName name="NvsInstSpec">"%,FPROJECT_ID,VPS41151"</definedName>
    <definedName name="NvsLayoutType">"M3"</definedName>
    <definedName name="NvsNplSpec">"%,X,RZF..nPlosion,CZF.."</definedName>
    <definedName name="NvsPanelEffdt">"V1999-02-03"</definedName>
    <definedName name="NvsPanelSetid">"VGROUP"</definedName>
    <definedName name="NvsParentRef">#REF!</definedName>
    <definedName name="NvsReqBU">"VUNSWA"</definedName>
    <definedName name="NvsReqBUOnly">"VY"</definedName>
    <definedName name="NvsTransLed">"VN"</definedName>
    <definedName name="NvsTreeASD">"V2001-08-02"</definedName>
    <definedName name="NvsValTbl.ACCOUNT">"GL_ACCOUNT_TBL"</definedName>
    <definedName name="NvsValTbl.CURRENCY_CD">"CURRENCY_CD_TBL"</definedName>
    <definedName name="nyf" hidden="1">{#N/A,#N/A,FALSE,"Summary";#N/A,#N/A,FALSE,"Service";#N/A,#N/A,FALSE,"Carriage";#N/A,#N/A,FALSE,"Backbone"}</definedName>
    <definedName name="O">#REF!</definedName>
    <definedName name="OBSOLETE">#REF!</definedName>
    <definedName name="OCA_Deposits">#REF!</definedName>
    <definedName name="OCA_Others">#REF!</definedName>
    <definedName name="OCC">#REF!</definedName>
    <definedName name="oct">#REF!</definedName>
    <definedName name="Oct05_Act">#REF!</definedName>
    <definedName name="octdob">#REF!</definedName>
    <definedName name="octdob2">#REF!</definedName>
    <definedName name="OctSun1">DATEVALUE("10/1/"&amp;#REF!)-WEEKDAY(DATEVALUE("10/1/"&amp;#REF!))+1</definedName>
    <definedName name="ODepPer">#REF!</definedName>
    <definedName name="ODM">#N/A</definedName>
    <definedName name="OE">#REF!</definedName>
    <definedName name="OE_1">#REF!</definedName>
    <definedName name="OFFERNUM">#REF!</definedName>
    <definedName name="offline_noParts">#REF!</definedName>
    <definedName name="OFFLOAD">#REF!</definedName>
    <definedName name="OFFLOAD..">#REF!</definedName>
    <definedName name="oigg" hidden="1">{"one (KEY)",#N/A,FALSE,"P&amp;L"}</definedName>
    <definedName name="OK">#REF!</definedName>
    <definedName name="older">#REF!</definedName>
    <definedName name="oldname">#REF!</definedName>
    <definedName name="oldnames">#REF!</definedName>
    <definedName name="OLE_LINK1">#REF!</definedName>
    <definedName name="OLEChartName">#REF!</definedName>
    <definedName name="OLEPosition">#REF!</definedName>
    <definedName name="ON_SITE01">#REF!</definedName>
    <definedName name="ON_SITE02">#REF!</definedName>
    <definedName name="ON_SITE03">#REF!</definedName>
    <definedName name="ON_SITE04">#REF!</definedName>
    <definedName name="ON_SITE05">#REF!</definedName>
    <definedName name="ON_SITE06">#REF!</definedName>
    <definedName name="ON_SITE07">#REF!</definedName>
    <definedName name="ON_SITE08">#REF!</definedName>
    <definedName name="ON_SITE09">#REF!</definedName>
    <definedName name="ON_SITE10">#REF!</definedName>
    <definedName name="ON_SITE11">#REF!</definedName>
    <definedName name="ON_SITE12">#REF!</definedName>
    <definedName name="ON_SITE13">#REF!</definedName>
    <definedName name="ON_SITE14">#REF!</definedName>
    <definedName name="ON_SITE15">#REF!</definedName>
    <definedName name="ON_SITE16">#REF!</definedName>
    <definedName name="ON_SITE17">#REF!</definedName>
    <definedName name="ON_SITE18">#REF!</definedName>
    <definedName name="ON_SITE19">#REF!</definedName>
    <definedName name="ON_SITE20">#REF!</definedName>
    <definedName name="ON_SITE21">#REF!</definedName>
    <definedName name="ON_SITE22">#REF!</definedName>
    <definedName name="ON_SITE23">#REF!</definedName>
    <definedName name="onhandbpa">#REF!</definedName>
    <definedName name="OO">#REF!</definedName>
    <definedName name="oogh" hidden="1">{"one (KEY)",#N/A,FALSE,"P&amp;L"}</definedName>
    <definedName name="ooo">OFFSET(#REF!,0,COUNTA(#REF!)-1-10,1,10)</definedName>
    <definedName name="oooo" hidden="1">{"'Broadway ML#4'!$J$7:$N$490"}</definedName>
    <definedName name="oooooooo" hidden="1">{"totcf9701",#N/A,FALSE,"Cash Flow";"susa9701",#N/A,FALSE,"Cash Flow";"spine9701",#N/A,FALSE,"Cash Flow";"cnus9701",#N/A,FALSE,"Cash Flow";"elim9701",#N/A,FALSE,"Cash Flow"}</definedName>
    <definedName name="OOOOOOOOOOOO">balance sheet send</definedName>
    <definedName name="op" hidden="1">{"'Broadway ML#4'!$J$7:$N$490"}</definedName>
    <definedName name="OP_FY16">OFFSET(#REF!,0,0,COUNTA(#REF!))</definedName>
    <definedName name="OP_FY17">OFFSET(#REF!,0,0,COUNTA(#REF!))</definedName>
    <definedName name="OPBoxHurdle">#REF!</definedName>
    <definedName name="OPD" hidden="1">{#N/A,#N/A,TRUE,"index";#N/A,#N/A,TRUE,"Summary";#N/A,#N/A,TRUE,"Continuing Business";#N/A,#N/A,TRUE,"Disposals";#N/A,#N/A,TRUE,"Acquisitions";#N/A,#N/A,TRUE,"Actual &amp; Plan Reconciliation"}</definedName>
    <definedName name="OpeManager">#REF!</definedName>
    <definedName name="Open_Closed">#REF!</definedName>
    <definedName name="OPER_QTY">#REF!</definedName>
    <definedName name="OpeRatepHrs">#REF!</definedName>
    <definedName name="Operational.Hours.Input.Range">#REF!</definedName>
    <definedName name="OPERATOR_EFFICIENCY">#REF!</definedName>
    <definedName name="OperatorBaseCell">#REF!</definedName>
    <definedName name="OperSuppliesLF">#REF!</definedName>
    <definedName name="OperSuppliesMed">#REF!</definedName>
    <definedName name="OperSuppliesStd">#REF!</definedName>
    <definedName name="OpeSupplies">#REF!</definedName>
    <definedName name="OPEXRetRange">#N/A</definedName>
    <definedName name="OPHurdle">#REF!</definedName>
    <definedName name="OPJKKJL">balance sheet send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1">#REF!</definedName>
    <definedName name="OPPer_FY16">OFFSET(#REF!,0,0,COUNTA(#REF!))</definedName>
    <definedName name="OPPer_FY17">OFFSET(#REF!,0,0,COUNTA(#REF!))</definedName>
    <definedName name="OPSCalcPercent">#REF!</definedName>
    <definedName name="OPSMonths">#REF!</definedName>
    <definedName name="OPSStartingPercent">#REF!</definedName>
    <definedName name="OPTexponents">"0 3 6"</definedName>
    <definedName name="OPTvec">"1 1 0 0 0 0 0 0 0 0 0 8 11 1 0 35 1 1 1 0 1 0 1 0 1 0 0 0 0 0 1 0 100 300 0 0 0 0 12 0 0 0 0"</definedName>
    <definedName name="order_table">#REF!</definedName>
    <definedName name="OrderQty">#REF!</definedName>
    <definedName name="OrderTable" hidden="1">#REF!</definedName>
    <definedName name="oregon">#REF!</definedName>
    <definedName name="Origin">#REF!</definedName>
    <definedName name="ost">#REF!</definedName>
    <definedName name="OTBlended">#REF!</definedName>
    <definedName name="OTBlended10">#REF!</definedName>
    <definedName name="OTBlended11">#REF!</definedName>
    <definedName name="OTBlended12">#REF!</definedName>
    <definedName name="OTBlended13">#REF!</definedName>
    <definedName name="OTBlended14">#REF!</definedName>
    <definedName name="OTBlended15">#REF!</definedName>
    <definedName name="OTBlended16">#REF!</definedName>
    <definedName name="OTBlended17">#REF!</definedName>
    <definedName name="OTBlended18">#REF!</definedName>
    <definedName name="OTBlended19">#REF!</definedName>
    <definedName name="OTBlended2">#REF!</definedName>
    <definedName name="OTBlended20">#REF!</definedName>
    <definedName name="OTBlended3">#REF!</definedName>
    <definedName name="OTBlended4">#REF!</definedName>
    <definedName name="OTBlended5">#REF!</definedName>
    <definedName name="OTBlended6">#REF!</definedName>
    <definedName name="OTBlended7">#REF!</definedName>
    <definedName name="OTBlended8">#REF!</definedName>
    <definedName name="OTBlended9">#REF!</definedName>
    <definedName name="OTCompPL1">#REF!</definedName>
    <definedName name="OTCompPL2">#REF!</definedName>
    <definedName name="OTCompPL3">#REF!</definedName>
    <definedName name="OTCur">#REF!</definedName>
    <definedName name="OTCurT">#REF!</definedName>
    <definedName name="OTHACCR">#REF!</definedName>
    <definedName name="OtherCpLine">#REF!</definedName>
    <definedName name="OtherCust">#REF!</definedName>
    <definedName name="OtherDedYN">#REF!</definedName>
    <definedName name="OtherDepYN">#REF!</definedName>
    <definedName name="OtherEqtCost">#REF!</definedName>
    <definedName name="OtherProductionCost">#REF!</definedName>
    <definedName name="OtherProductionRate">#REF!</definedName>
    <definedName name="others" hidden="1">{"one (KEY)",#N/A,FALSE,"P&amp;L"}</definedName>
    <definedName name="OtherYN">#REF!</definedName>
    <definedName name="OTHPAY">#REF!</definedName>
    <definedName name="OTHRECBL">#REF!</definedName>
    <definedName name="otra">#REF!</definedName>
    <definedName name="OTRMSpe">#REF!</definedName>
    <definedName name="OTSum">#REF!</definedName>
    <definedName name="OTSum10">#REF!</definedName>
    <definedName name="OTSum11">#REF!</definedName>
    <definedName name="OTSum12">#REF!</definedName>
    <definedName name="OTSum13">#REF!</definedName>
    <definedName name="OTSum14">#REF!</definedName>
    <definedName name="OTSum15">#REF!</definedName>
    <definedName name="OTsum16">#REF!</definedName>
    <definedName name="OTSum17">#REF!</definedName>
    <definedName name="OTSum18">#REF!</definedName>
    <definedName name="OTSum19">#REF!</definedName>
    <definedName name="OTSum2">#REF!</definedName>
    <definedName name="OTSum20">#REF!</definedName>
    <definedName name="OTSum3">#REF!</definedName>
    <definedName name="OTSum4">#REF!</definedName>
    <definedName name="OTSum5">#REF!</definedName>
    <definedName name="OTSum6">#REF!</definedName>
    <definedName name="OTSum7">#REF!</definedName>
    <definedName name="OTSum8">#REF!</definedName>
    <definedName name="OTSum9">#REF!</definedName>
    <definedName name="OTVolume">#REF!</definedName>
    <definedName name="out_of_box_auditTime">#N/A</definedName>
    <definedName name="output3">#REF!</definedName>
    <definedName name="OutputsTable">#REF!</definedName>
    <definedName name="overhead">#N/A</definedName>
    <definedName name="overheads">#REF!</definedName>
    <definedName name="overheadspcba1">#REF!</definedName>
    <definedName name="OverL1">#REF!</definedName>
    <definedName name="OverrideRange">#REF!</definedName>
    <definedName name="OverTable">#REF!</definedName>
    <definedName name="OVT_SqFeet">#REF!</definedName>
    <definedName name="OVTAnnualP">#REF!</definedName>
    <definedName name="OVTAssySq">#REF!</definedName>
    <definedName name="OVTAttrition">#REF!</definedName>
    <definedName name="OVTBBoxPF">#REF!</definedName>
    <definedName name="OVTBISYield">#REF!</definedName>
    <definedName name="OVTBIYield">#REF!</definedName>
    <definedName name="OVTBUE">#REF!</definedName>
    <definedName name="OVTBUNE">#REF!</definedName>
    <definedName name="OVTBuyer">#REF!</definedName>
    <definedName name="OVTCMQ">#REF!</definedName>
    <definedName name="OVTCMQD">#REF!</definedName>
    <definedName name="OVTCMT">#REF!</definedName>
    <definedName name="OVTCMTD">#REF!</definedName>
    <definedName name="OVTConv">#REF!</definedName>
    <definedName name="OVTCorpSGA">#REF!</definedName>
    <definedName name="OVTDefLS">#REF!</definedName>
    <definedName name="OVTDep">#REF!</definedName>
    <definedName name="OVTDLperLine">#REF!</definedName>
    <definedName name="OVTDM">#REF!</definedName>
    <definedName name="OVTECC">#REF!</definedName>
    <definedName name="OVTEO">#REF!</definedName>
    <definedName name="OVTEquip">#REF!</definedName>
    <definedName name="OVTFCT_Hipot_BITech">#REF!</definedName>
    <definedName name="OVTFCT2Staff">#REF!</definedName>
    <definedName name="OVTFCT3Staff">#REF!</definedName>
    <definedName name="OVTFCT4Staff">#REF!</definedName>
    <definedName name="OVTFCT5Staff">#REF!</definedName>
    <definedName name="OVTFCT6Staff">#REF!</definedName>
    <definedName name="OVTFCTStaff">#REF!</definedName>
    <definedName name="OVTFCTYield">#REF!</definedName>
    <definedName name="OVTFD">#REF!</definedName>
    <definedName name="OvtHrspShift">#REF!</definedName>
    <definedName name="OVTICTTech">#REF!</definedName>
    <definedName name="OVTICTYield">#REF!</definedName>
    <definedName name="OVTIMQ">#REF!</definedName>
    <definedName name="OVTIMQD">#REF!</definedName>
    <definedName name="OVTIMT">#REF!</definedName>
    <definedName name="OVTIMTD">#REF!</definedName>
    <definedName name="OVTInvControl">#REF!</definedName>
    <definedName name="OVTLineconf">#REF!</definedName>
    <definedName name="OVTLineSpeed">#REF!</definedName>
    <definedName name="OVTME">#REF!</definedName>
    <definedName name="OVTMFGsqFt">#REF!</definedName>
    <definedName name="OVTMSCC">#REF!</definedName>
    <definedName name="OVTNbrSqUnit">#REF!</definedName>
    <definedName name="OVTOEE">#REF!</definedName>
    <definedName name="OVTOENE">#REF!</definedName>
    <definedName name="OVTOpe">#REF!</definedName>
    <definedName name="OVTOpEx">#REF!</definedName>
    <definedName name="OVTOrdEntry">#REF!</definedName>
    <definedName name="OVTOtheCosts">#REF!</definedName>
    <definedName name="OVTPackSq">#REF!</definedName>
    <definedName name="OVTPBIT">#REF!</definedName>
    <definedName name="OVTPCBABP">#REF!</definedName>
    <definedName name="OVTPCBAIS">#REF!</definedName>
    <definedName name="OVTPCBAME">#REF!</definedName>
    <definedName name="OVTPCBAMgt">#REF!</definedName>
    <definedName name="OVTPCBANPTime">#REF!</definedName>
    <definedName name="OVTPCBAQE">#REF!</definedName>
    <definedName name="OVTPCBASMTEngr">#REF!</definedName>
    <definedName name="OVTPCBATE">#REF!</definedName>
    <definedName name="OVTPCBAWhse">#REF!</definedName>
    <definedName name="OVTPlanner">#REF!</definedName>
    <definedName name="OVTPressFitMach">#REF!</definedName>
    <definedName name="OVTPressFitSpeed">#REF!</definedName>
    <definedName name="OVTPrinter">#REF!</definedName>
    <definedName name="OVTProdCtl">#REF!</definedName>
    <definedName name="OVTProdMgr">#REF!</definedName>
    <definedName name="OVTProfit">#REF!</definedName>
    <definedName name="OVTProfitMethod">#REF!</definedName>
    <definedName name="OVTProgMgr">#REF!</definedName>
    <definedName name="OVTQATech">#REF!</definedName>
    <definedName name="OVTQC_BSTech">#REF!</definedName>
    <definedName name="OVTQE">#REF!</definedName>
    <definedName name="OVTQR">#REF!</definedName>
    <definedName name="OVTRepDefLS">#REF!</definedName>
    <definedName name="OVTRepLineconf">#REF!</definedName>
    <definedName name="OVTRepTable">#REF!</definedName>
    <definedName name="OVTROIC">#REF!</definedName>
    <definedName name="OVTScrap">#REF!</definedName>
    <definedName name="OVTSDMHRate">#REF!</definedName>
    <definedName name="OVTSegmentSGA">#REF!</definedName>
    <definedName name="OVTShiftpDay">#REF!</definedName>
    <definedName name="OVTSiteSGA">#REF!</definedName>
    <definedName name="OVTSMTTech">#REF!</definedName>
    <definedName name="OVTSQE">#REF!</definedName>
    <definedName name="OVTSRMFGRate">#REF!</definedName>
    <definedName name="OVTStdPack">#REF!</definedName>
    <definedName name="OVTSuperDLR">#REF!</definedName>
    <definedName name="OVTSysVol">#REF!</definedName>
    <definedName name="OVTTE">#REF!</definedName>
    <definedName name="OVTTestSq">#REF!</definedName>
    <definedName name="OVTTOPLineStaff">#REF!</definedName>
    <definedName name="OVTTurn">#REF!</definedName>
    <definedName name="OVTWarRate">#REF!</definedName>
    <definedName name="OVTWave">#REF!</definedName>
    <definedName name="OVTWaveTech">#REF!</definedName>
    <definedName name="OVTWorkDaysE">#REF!</definedName>
    <definedName name="OVTWorkDaysM">#REF!</definedName>
    <definedName name="OVTWty">#REF!</definedName>
    <definedName name="owner">#REF!</definedName>
    <definedName name="owners">#REF!</definedName>
    <definedName name="P">#REF!</definedName>
    <definedName name="P_1">#REF!</definedName>
    <definedName name="P_DoneDate">#REF!</definedName>
    <definedName name="P_L">#REF!</definedName>
    <definedName name="P_M">#REF!</definedName>
    <definedName name="P_M_1">#REF!</definedName>
    <definedName name="p2g" hidden="1">{#N/A,#N/A,FALSE,"F&amp;C Forecast";#N/A,#N/A,FALSE,"MPS";#N/A,#N/A,FALSE,"Persons detailed"}</definedName>
    <definedName name="pack_noParts">#N/A</definedName>
    <definedName name="page1" localSheetId="1">#REF!</definedName>
    <definedName name="page1">#REF!</definedName>
    <definedName name="page2" localSheetId="1">#REF!</definedName>
    <definedName name="page2">#REF!</definedName>
    <definedName name="Page29">#REF!</definedName>
    <definedName name="pagea" localSheetId="1">#REF!</definedName>
    <definedName name="pagea">#REF!</definedName>
    <definedName name="pageb" localSheetId="1">#REF!</definedName>
    <definedName name="pageb">#REF!</definedName>
    <definedName name="pagec" localSheetId="1">#REF!</definedName>
    <definedName name="pagec">#REF!</definedName>
    <definedName name="paged" localSheetId="1">#REF!</definedName>
    <definedName name="paged">#REF!</definedName>
    <definedName name="PageDimensionRange">#REF!</definedName>
    <definedName name="pagee" localSheetId="1">#REF!</definedName>
    <definedName name="pagee">#REF!</definedName>
    <definedName name="pan" hidden="1">{#N/A,#N/A,FALSE,"Summary";#N/A,#N/A,FALSE,"Service";#N/A,#N/A,FALSE,"Carriage";#N/A,#N/A,FALSE,"Backbone"}</definedName>
    <definedName name="PanBoardYN">#REF!</definedName>
    <definedName name="pandl">#REF!</definedName>
    <definedName name="Pandl1">#REF!</definedName>
    <definedName name="pandl2">#REF!</definedName>
    <definedName name="pandl478">#REF!</definedName>
    <definedName name="pandlsystems">#REF!</definedName>
    <definedName name="papa">#REF!</definedName>
    <definedName name="par" hidden="1">#REF!</definedName>
    <definedName name="par_2DwCum_Click" localSheetId="1">#REF!</definedName>
    <definedName name="par_2DwCum_Click">#REF!</definedName>
    <definedName name="par_2DwoCum_Click" localSheetId="1">#REF!</definedName>
    <definedName name="par_2DwoCum_Click">#REF!</definedName>
    <definedName name="par_3DwoCum_Click" localSheetId="1">#REF!</definedName>
    <definedName name="par_3DwoCum_Click">#REF!</definedName>
    <definedName name="par_Ascend_Click" localSheetId="1">#REF!</definedName>
    <definedName name="par_Ascend_Click">#REF!</definedName>
    <definedName name="par_Back_Click" localSheetId="1">#REF!</definedName>
    <definedName name="par_Back_Click">#REF!</definedName>
    <definedName name="par_Descend_Click" localSheetId="1">#REF!</definedName>
    <definedName name="par_Descend_Click">#REF!</definedName>
    <definedName name="par_First_Row_Click" localSheetId="1">#REF!</definedName>
    <definedName name="par_First_Row_Click">#REF!</definedName>
    <definedName name="par_Save_Defaults" localSheetId="1">#REF!</definedName>
    <definedName name="par_Save_Defaults">#REF!</definedName>
    <definedName name="Para">#N/A</definedName>
    <definedName name="Parameter">#REF!</definedName>
    <definedName name="PARAMETERS">#REF!</definedName>
    <definedName name="parButton_Click" localSheetId="1">#REF!</definedName>
    <definedName name="parButton_Click">#REF!</definedName>
    <definedName name="parent">#REF!</definedName>
    <definedName name="ParetoBaseCell">#REF!</definedName>
    <definedName name="Paretos1" hidden="1">{#N/A,#N/A,TRUE,"index";#N/A,#N/A,TRUE,"Summary";#N/A,#N/A,TRUE,"Continuing Business";#N/A,#N/A,TRUE,"Disposals";#N/A,#N/A,TRUE,"Acquisitions";#N/A,#N/A,TRUE,"Actual &amp; Plan Reconciliation"}</definedName>
    <definedName name="PARQUE" hidden="1">{"one (KEY)",#N/A,FALSE,"P&amp;L"}</definedName>
    <definedName name="PARSIPPANY">#REF!</definedName>
    <definedName name="part" hidden="1">#REF!</definedName>
    <definedName name="PART_DETAIL">#REF!</definedName>
    <definedName name="PART_NAME01">#REF!</definedName>
    <definedName name="PART_NAME02">#REF!</definedName>
    <definedName name="PART_NAME03">#REF!</definedName>
    <definedName name="PART_NAME04">#REF!</definedName>
    <definedName name="PART_NAME05">#REF!</definedName>
    <definedName name="PART_NAME06">#REF!</definedName>
    <definedName name="PART_NAME07">#REF!</definedName>
    <definedName name="PART_NAME08">#REF!</definedName>
    <definedName name="PART_NAME09">#REF!</definedName>
    <definedName name="PART_NAME10">#REF!</definedName>
    <definedName name="PART_NAME11">#REF!</definedName>
    <definedName name="PART_NAME12">#REF!</definedName>
    <definedName name="PART_NAME13">#REF!</definedName>
    <definedName name="PART_NAME14">#REF!</definedName>
    <definedName name="PART_NAME15">#REF!</definedName>
    <definedName name="PART_NAME16">#REF!</definedName>
    <definedName name="PART_NAME17">#REF!</definedName>
    <definedName name="PART_NAME18">#REF!</definedName>
    <definedName name="PART_NO01">#REF!</definedName>
    <definedName name="PART_NO02">#REF!</definedName>
    <definedName name="PART_NO03">#REF!</definedName>
    <definedName name="PART_NO04">#REF!</definedName>
    <definedName name="PART_NO05">#REF!</definedName>
    <definedName name="PART_NO06">#REF!</definedName>
    <definedName name="PART_NO07">#REF!</definedName>
    <definedName name="PART_NO08">#REF!</definedName>
    <definedName name="PART_NO09">#REF!</definedName>
    <definedName name="PART_NO10">#REF!</definedName>
    <definedName name="PART_NO11">#REF!</definedName>
    <definedName name="PART_NO12">#REF!</definedName>
    <definedName name="PART_NO13">#REF!</definedName>
    <definedName name="PART_NO14">#REF!</definedName>
    <definedName name="PART_NO15">#REF!</definedName>
    <definedName name="PART_NO16">#REF!</definedName>
    <definedName name="PART_NO17">#REF!</definedName>
    <definedName name="PART_NO18">#REF!</definedName>
    <definedName name="PART_NO19">#REF!</definedName>
    <definedName name="PART_NO20">#REF!</definedName>
    <definedName name="PART_NO21">#REF!</definedName>
    <definedName name="PART_NO22">#REF!</definedName>
    <definedName name="PART_NO23">#REF!</definedName>
    <definedName name="PART1">#REF!</definedName>
    <definedName name="PART2">#REF!</definedName>
    <definedName name="PartBaseCell">#REF!</definedName>
    <definedName name="PartialDepMach">#REF!</definedName>
    <definedName name="partname">#REF!</definedName>
    <definedName name="PARTS">#REF!</definedName>
    <definedName name="partsAxial">#N/A</definedName>
    <definedName name="partsDIP">#N/A</definedName>
    <definedName name="partsRadial">#N/A</definedName>
    <definedName name="pass">#REF!</definedName>
    <definedName name="PASTDUE">#REF!</definedName>
    <definedName name="paty">#REF!</definedName>
    <definedName name="Payment">OFFSET(#REF!,0,COUNTA(#REF!)-1-10,1,10)</definedName>
    <definedName name="Payment_Terms_Days">#REF!</definedName>
    <definedName name="Payroll_Statement">#REF!</definedName>
    <definedName name="pba">#REF!</definedName>
    <definedName name="PBIT">#REF!</definedName>
    <definedName name="PBIT_a">#N/A</definedName>
    <definedName name="PBIT_aft_tax">#REF!</definedName>
    <definedName name="PBT">#REF!</definedName>
    <definedName name="PC">#REF!</definedName>
    <definedName name="PCB">#REF!</definedName>
    <definedName name="PCBA" hidden="1">{#N/A,#N/A,FALSE,"Contents";#N/A,#N/A,FALSE,"FC_vs_Report";#N/A,#N/A,FALSE,"Cumulated_Report";#N/A,#N/A,FALSE,"Inv. turns acc. to Vienna";#N/A,#N/A,FALSE,"Inv. turns. acc. to GM top ind."}</definedName>
    <definedName name="pcba_mat_1037">#REF!</definedName>
    <definedName name="pcba_mat_1045">#REF!</definedName>
    <definedName name="pcba_mat_1085">#REF!</definedName>
    <definedName name="pcba_mat_1113">#REF!</definedName>
    <definedName name="pcba_mat_1122">#REF!</definedName>
    <definedName name="pcba_mat_1123">#REF!</definedName>
    <definedName name="pcba_mat_1124">#REF!</definedName>
    <definedName name="pcba_mat_1125">#REF!</definedName>
    <definedName name="pcba_mat_1126">#REF!</definedName>
    <definedName name="pcba_mat_1127">#REF!</definedName>
    <definedName name="pcba_mat_1128">#REF!</definedName>
    <definedName name="pcba_mat_1129">#REF!</definedName>
    <definedName name="pcba_mat_1130">#REF!</definedName>
    <definedName name="pcba_mat_1133">#REF!</definedName>
    <definedName name="pcba_mat_1140">#REF!</definedName>
    <definedName name="pcba_mat_1141">#REF!</definedName>
    <definedName name="pcba_mat_1142">#REF!</definedName>
    <definedName name="pcba_mat_1143">#REF!</definedName>
    <definedName name="pcba_mat_1144">#REF!</definedName>
    <definedName name="pcba_mat_1656">#REF!</definedName>
    <definedName name="pcba_mat_1657">#REF!</definedName>
    <definedName name="pcba_mat_381">#REF!</definedName>
    <definedName name="pcba_mat_382">#REF!</definedName>
    <definedName name="pcba_mat_383">#REF!</definedName>
    <definedName name="pcba_mat_384">#REF!</definedName>
    <definedName name="pcba_mat_385">#REF!</definedName>
    <definedName name="pcba_mat_386">#REF!</definedName>
    <definedName name="pcba_mat_387">#REF!</definedName>
    <definedName name="pcba_mat_388">#REF!</definedName>
    <definedName name="pcba_mat_389">#REF!</definedName>
    <definedName name="pcba_mat_390">#REF!</definedName>
    <definedName name="pcba_mat_391">#REF!</definedName>
    <definedName name="pcba_mat_392">#REF!</definedName>
    <definedName name="pcba_mat_393">#REF!</definedName>
    <definedName name="pcba_mat_394">#REF!</definedName>
    <definedName name="pcba_mat_395">#REF!</definedName>
    <definedName name="pcba_mat_396">#REF!</definedName>
    <definedName name="pcba_mat_397">#REF!</definedName>
    <definedName name="pcba_mat_398">#REF!</definedName>
    <definedName name="pcba_mat_399">#REF!</definedName>
    <definedName name="pcba_mat_400">#REF!</definedName>
    <definedName name="pcba_mat_401">#REF!</definedName>
    <definedName name="pcba_mat_429">#REF!</definedName>
    <definedName name="pcba_mat_430">#REF!</definedName>
    <definedName name="pcba_mat_431">#REF!</definedName>
    <definedName name="pcba_mat_432">#REF!</definedName>
    <definedName name="pcba_mat_433">#REF!</definedName>
    <definedName name="pcba_mat_434">#REF!</definedName>
    <definedName name="pcba_mat_435">#REF!</definedName>
    <definedName name="pcba_mat_436">#REF!</definedName>
    <definedName name="pcba_mat_437">#REF!</definedName>
    <definedName name="pcba_mat_438">#REF!</definedName>
    <definedName name="pcba_mat_439">#REF!</definedName>
    <definedName name="pcba_mat_440">#REF!</definedName>
    <definedName name="pcba_mat_441">#REF!</definedName>
    <definedName name="pcba_mat_442">#REF!</definedName>
    <definedName name="pcba_mat_443">#REF!</definedName>
    <definedName name="pcba_mat_444">#REF!</definedName>
    <definedName name="pcba_mat_445">#REF!</definedName>
    <definedName name="pcba_mat_446">#REF!</definedName>
    <definedName name="pcba_mat_737">#REF!</definedName>
    <definedName name="pcba_mat_738">#REF!</definedName>
    <definedName name="pcba_mat_739">#REF!</definedName>
    <definedName name="pcba_mat_740">#REF!</definedName>
    <definedName name="pcba_mat_752">#REF!</definedName>
    <definedName name="pcba_mat_827">#REF!</definedName>
    <definedName name="pcba_mat_917">#REF!</definedName>
    <definedName name="pcba_mat_918">#REF!</definedName>
    <definedName name="pcba_mat_929">#REF!</definedName>
    <definedName name="PCBA_Shenzhen_62N" hidden="1">{"one (KEY)",#N/A,FALSE,"P&amp;L"}</definedName>
    <definedName name="PCBA_WUZHONG_898" hidden="1">{"one (KEY)",#N/A,FALSE,"P&amp;L"}</definedName>
    <definedName name="PCBA1">#REF!</definedName>
    <definedName name="PCBA2">#REF!</definedName>
    <definedName name="PCBACount">#REF!</definedName>
    <definedName name="PCBAFD">#REF!</definedName>
    <definedName name="PCBAFvmi">#REF!</definedName>
    <definedName name="PCBAFVMIRate">#REF!</definedName>
    <definedName name="PCBAFVMITimeStaffing">#REF!</definedName>
    <definedName name="pcb共用人力">#REF!</definedName>
    <definedName name="pcb輪值表">#REF!</definedName>
    <definedName name="PCE" hidden="1">{"'B-S Accounts Translation'!$A$1:$G$190"}</definedName>
    <definedName name="PCN">#REF!</definedName>
    <definedName name="PCNQuery">#REF!</definedName>
    <definedName name="PCpMonth">#REF!</definedName>
    <definedName name="PD">#REF!</definedName>
    <definedName name="PEDRO">#REF!</definedName>
    <definedName name="PeerNames">#REF!</definedName>
    <definedName name="PeerTickers">#REF!</definedName>
    <definedName name="Pelican" hidden="1">{"'Broadway ML#4'!$J$7:$N$490"}</definedName>
    <definedName name="Pelican_Plus_LP2" hidden="1">{#N/A,#N/A,FALSE,"Summary";#N/A,#N/A,FALSE,"Service";#N/A,#N/A,FALSE,"Carriage";#N/A,#N/A,FALSE,"Backbone"}</definedName>
    <definedName name="per">#N/A</definedName>
    <definedName name="PERAdderCompMC">#REF!</definedName>
    <definedName name="PERAdderCompSC">#REF!</definedName>
    <definedName name="PERAdderCompVSC">#REF!</definedName>
    <definedName name="PERAdderLineItemMC">#REF!</definedName>
    <definedName name="PERAdderLineItemSC">#REF!</definedName>
    <definedName name="PERAdderLineItemVSC">#REF!</definedName>
    <definedName name="percent_range">#REF!</definedName>
    <definedName name="percent_range.">#REF!</definedName>
    <definedName name="percent_range..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centDrivers">#REF!</definedName>
    <definedName name="PercentFormula">IF(ISERROR(#REF!/#REF!),0,#REF!/#REF!)</definedName>
    <definedName name="period" localSheetId="1">#REF!</definedName>
    <definedName name="period">#REF!</definedName>
    <definedName name="Period_200909_v909">#REF!</definedName>
    <definedName name="Period_200910_v184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ft">#N/A</definedName>
    <definedName name="PHIHOME">#REF!</definedName>
    <definedName name="PHILIPS">#REF!</definedName>
    <definedName name="phkdbnm" hidden="1">{"one (KEY)",#N/A,FALSE,"P&amp;L"}</definedName>
    <definedName name="Photo" hidden="1">{"'Broadway ML#4'!$J$7:$N$490"}</definedName>
    <definedName name="pi" hidden="1">{#N/A,#N/A,FALSE,"Summary";#N/A,#N/A,FALSE,"Service";#N/A,#N/A,FALSE,"Carriage";#N/A,#N/A,FALSE,"Backbone"}</definedName>
    <definedName name="PIC">#REF!</definedName>
    <definedName name="PICK">#REF!</definedName>
    <definedName name="PICS">#REF!</definedName>
    <definedName name="Pilot_capital">#REF!</definedName>
    <definedName name="Pilot_expenses">#REF!</definedName>
    <definedName name="Pilot_services">#REF!</definedName>
    <definedName name="ping" hidden="1">{#N/A,#N/A,FALSE,"Summary";#N/A,#N/A,FALSE,"Service";#N/A,#N/A,FALSE,"Carriage";#N/A,#N/A,FALSE,"Backbone"}</definedName>
    <definedName name="PinInsertLabor">#REF!</definedName>
    <definedName name="PinStraightenLabor">#REF!</definedName>
    <definedName name="Pipeline">#REF!</definedName>
    <definedName name="pkgtbl">#REF!</definedName>
    <definedName name="PL">#REF!</definedName>
    <definedName name="PL_Input">#N/A</definedName>
    <definedName name="Pla" hidden="1">#REF!</definedName>
    <definedName name="PLACEMENTI">#REF!</definedName>
    <definedName name="PLAmort">#REF!</definedName>
    <definedName name="Plan">PeriodInPlan*(#REF!&gt;0)</definedName>
    <definedName name="Plan_Order_200909_v909">#REF!</definedName>
    <definedName name="Plan_Order_200910_v184">#REF!</definedName>
    <definedName name="plan2000" hidden="1">{#N/A,#N/A,TRUE,"Summary by FY";#N/A,#N/A,TRUE,"PRODUCTMIX ";#N/A,#N/A,TRUE,"Available hrs";#N/A,#N/A,TRUE,"Headcount ";#N/A,#N/A,TRUE,"Summary Spending";#N/A,#N/A,TRUE,"Summary Spend Incl.";#N/A,#N/A,TRUE,"Detail Spending";#N/A,#N/A,TRUE,"DSAvecor";#N/A,#N/A,TRUE,"DScombi";#N/A,#N/A,TRUE,"Capital"}</definedName>
    <definedName name="PLANNEDORDER">#REF!</definedName>
    <definedName name="PLANNER">#REF!</definedName>
    <definedName name="PLAP">#REF!</definedName>
    <definedName name="PLCorpSGA">#REF!</definedName>
    <definedName name="PLDL">#REF!</definedName>
    <definedName name="PLDPO">#REF!</definedName>
    <definedName name="PLDTB1">#REF!</definedName>
    <definedName name="PLDTB10">#REF!</definedName>
    <definedName name="PLDTB11">#REF!</definedName>
    <definedName name="PLDTB12">#REF!</definedName>
    <definedName name="PLDTB13">#REF!</definedName>
    <definedName name="PLDTB14">#REF!</definedName>
    <definedName name="PLDTB15">#REF!</definedName>
    <definedName name="PLDTB16">#REF!</definedName>
    <definedName name="PLDTB17">#REF!</definedName>
    <definedName name="PLDTB18">#REF!</definedName>
    <definedName name="PLDTB19">#REF!</definedName>
    <definedName name="PLDTB2">#REF!</definedName>
    <definedName name="PLDTB20">#REF!</definedName>
    <definedName name="PLDTB3">#REF!</definedName>
    <definedName name="PLDTB4">#REF!</definedName>
    <definedName name="PLDTB5">#REF!</definedName>
    <definedName name="PLDTB6">#REF!</definedName>
    <definedName name="PLDTB7">#REF!</definedName>
    <definedName name="PLDTB8">#REF!</definedName>
    <definedName name="PLDTB9">#REF!</definedName>
    <definedName name="PLDTIncCap">#REF!</definedName>
    <definedName name="PLDTS1">#REF!</definedName>
    <definedName name="PLDTS10">#REF!</definedName>
    <definedName name="PLDTS11">#REF!</definedName>
    <definedName name="PLDTS12">#REF!</definedName>
    <definedName name="PLDTS13">#REF!</definedName>
    <definedName name="PLDTS14">#REF!</definedName>
    <definedName name="PLDTS15">#REF!</definedName>
    <definedName name="PLDTS16">#REF!</definedName>
    <definedName name="PLDTS17">#REF!</definedName>
    <definedName name="PLDTS18">#REF!</definedName>
    <definedName name="PLDTS19">#REF!</definedName>
    <definedName name="PLDTS2">#REF!</definedName>
    <definedName name="PLDTS20">#REF!</definedName>
    <definedName name="PLDTS3">#REF!</definedName>
    <definedName name="PLDTS4">#REF!</definedName>
    <definedName name="PLDTS5">#REF!</definedName>
    <definedName name="PLDTS6">#REF!</definedName>
    <definedName name="PLDTS7">#REF!</definedName>
    <definedName name="PLDTS8">#REF!</definedName>
    <definedName name="PLDTS9">#REF!</definedName>
    <definedName name="please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PLEDM">#REF!</definedName>
    <definedName name="PLEquip">#REF!</definedName>
    <definedName name="PLFac">#REF!</definedName>
    <definedName name="pli" hidden="1">{#N/A,#N/A,FALSE,"Summary";#N/A,#N/A,FALSE,"Service";#N/A,#N/A,FALSE,"Carriage";#N/A,#N/A,FALSE,"Backbone"}</definedName>
    <definedName name="PLInbFD">#REF!</definedName>
    <definedName name="plinf" hidden="1">{"one (KEY)",#N/A,FALSE,"P&amp;L"}</definedName>
    <definedName name="PLINV">#REF!</definedName>
    <definedName name="PLInvRsrvs">#REF!</definedName>
    <definedName name="PLManStart">#REF!</definedName>
    <definedName name="PLManualTable">#REF!</definedName>
    <definedName name="PLMFGOH">#REF!</definedName>
    <definedName name="PLMTL">#REF!</definedName>
    <definedName name="PLMtlLoss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LPrice">#REF!</definedName>
    <definedName name="PLProduct">#REF!</definedName>
    <definedName name="PLSegmentSGA">#REF!</definedName>
    <definedName name="PLSGA">#REF!</definedName>
    <definedName name="PLSite">#REF!</definedName>
    <definedName name="PLTYPE">#REF!</definedName>
    <definedName name="PLvol">#REF!</definedName>
    <definedName name="PLWrty">#REF!</definedName>
    <definedName name="plyd" hidden="1">{#N/A,#N/A,FALSE,"Summary";#N/A,#N/A,FALSE,"Service";#N/A,#N/A,FALSE,"Carriage";#N/A,#N/A,FALSE,"Backbone"}</definedName>
    <definedName name="PM">#REF!</definedName>
    <definedName name="PM_New" hidden="1">{#N/A,#N/A,FALSE,"Summary";#N/A,#N/A,FALSE,"Service";#N/A,#N/A,FALSE,"Carriage";#N/A,#N/A,FALSE,"Backbone"}</definedName>
    <definedName name="pmpp">OFFSET(#REF!,,,COUNTA(#REF!)-1)</definedName>
    <definedName name="PNDLTMSCC">#REF!</definedName>
    <definedName name="Png">#N/A</definedName>
    <definedName name="PNLDTable">#REF!</definedName>
    <definedName name="PNLDTAC">#REF!</definedName>
    <definedName name="PNLDTAP">#REF!</definedName>
    <definedName name="PNLDTAP2">#REF!</definedName>
    <definedName name="PNLDTAPlac">#REF!</definedName>
    <definedName name="PNLDTAR">#REF!</definedName>
    <definedName name="PNLDTBEL">#REF!</definedName>
    <definedName name="PNLDTBra">#REF!</definedName>
    <definedName name="PNLDTBraTax">#REF!</definedName>
    <definedName name="PNLDTCM">#REF!</definedName>
    <definedName name="PNLDTCorpSGA">#REF!</definedName>
    <definedName name="PNLDTCountry">#REF!</definedName>
    <definedName name="PNLDTCustCont">#REF!</definedName>
    <definedName name="PNLDTDep">#REF!</definedName>
    <definedName name="PNLDTDike">#REF!</definedName>
    <definedName name="PNLDTDL">#REF!</definedName>
    <definedName name="PNLDTDLHC">#REF!</definedName>
    <definedName name="PNLDTDM">#REF!</definedName>
    <definedName name="PNLDTDPO">#REF!</definedName>
    <definedName name="PNLDTDSO">#REF!</definedName>
    <definedName name="PNLDTEDM">#REF!</definedName>
    <definedName name="PNLDTEO">#REF!</definedName>
    <definedName name="PNLDTEqt">#REF!</definedName>
    <definedName name="PNLDTFac">#REF!</definedName>
    <definedName name="PNLDTFacility">#REF!</definedName>
    <definedName name="PNLDTFD">#REF!</definedName>
    <definedName name="PNLDTFO">#REF!</definedName>
    <definedName name="PNLDTGAAPVAM">#REF!</definedName>
    <definedName name="PNLDTGM">#REF!</definedName>
    <definedName name="PNLDTIDL">#REF!</definedName>
    <definedName name="PNLDTILHC">#REF!</definedName>
    <definedName name="PNLDTInt">#REF!</definedName>
    <definedName name="PNLDTInterest">#REF!</definedName>
    <definedName name="PNLDTInv">#REF!</definedName>
    <definedName name="PNLDTInv2">#REF!</definedName>
    <definedName name="PNLDTInvCap">#REF!</definedName>
    <definedName name="PNLDTInvCap2">#REF!</definedName>
    <definedName name="PNLDTLandP">#REF!</definedName>
    <definedName name="PNLDTLCpC">#REF!</definedName>
    <definedName name="PNLDTMatOH">#REF!</definedName>
    <definedName name="PNLDTMbud">#REF!</definedName>
    <definedName name="PNLDTMC">#REF!</definedName>
    <definedName name="PNLDTMCOS">#REF!</definedName>
    <definedName name="PNLDTMfgOH">#REF!</definedName>
    <definedName name="PNLDTMLoss">#REF!</definedName>
    <definedName name="PNLDTNetEQT">#REF!</definedName>
    <definedName name="PNLDTNetRev">#REF!</definedName>
    <definedName name="PNLDTNRE">#REF!</definedName>
    <definedName name="PNLDTOCA">#REF!</definedName>
    <definedName name="PNLDTOP">#REF!</definedName>
    <definedName name="PNLDTOthEquip">#REF!</definedName>
    <definedName name="PNLDTOther">#REF!</definedName>
    <definedName name="PNLDTOthProd">#REF!</definedName>
    <definedName name="PNLDTPack">#REF!</definedName>
    <definedName name="PNLDTPackMat">#REF!</definedName>
    <definedName name="PNLDTPAI">#REF!</definedName>
    <definedName name="PNLDTParts">#REF!</definedName>
    <definedName name="PNLDTPBIT">#REF!</definedName>
    <definedName name="PNLDTPBITp">#REF!</definedName>
    <definedName name="PNLDTPBITp2">#REF!</definedName>
    <definedName name="PNLDTPBT">#REF!</definedName>
    <definedName name="PNLDTPBTp">#REF!</definedName>
    <definedName name="PNLDTPN">#REF!</definedName>
    <definedName name="PNLDTPPV">#REF!</definedName>
    <definedName name="PNLDTPrice">#REF!</definedName>
    <definedName name="PNLDTRM">#REF!</definedName>
    <definedName name="PNLDTROA">#REF!</definedName>
    <definedName name="PNLDTROA2">#REF!</definedName>
    <definedName name="PNLDTROIC">#REF!</definedName>
    <definedName name="PNLDTROIC2">#REF!</definedName>
    <definedName name="PNLDTROIR">#REF!</definedName>
    <definedName name="PNLDTROIR2">#REF!</definedName>
    <definedName name="PNLDTrPPV">#REF!</definedName>
    <definedName name="PNLDTSBud">#REF!</definedName>
    <definedName name="PNLDTSegmentSGA">#REF!</definedName>
    <definedName name="PNLDTSGA">#REF!</definedName>
    <definedName name="PNLDTSIT">#REF!</definedName>
    <definedName name="PNLDTSMTL">#REF!</definedName>
    <definedName name="PNLDTStamp">#REF!</definedName>
    <definedName name="PNLDTTC">#REF!</definedName>
    <definedName name="PNLDTTPM">#REF!</definedName>
    <definedName name="PNLDTTURNS">#REF!</definedName>
    <definedName name="PNLDTUMCT">#REF!</definedName>
    <definedName name="PNLDTVA">#REF!</definedName>
    <definedName name="PNLDTVACpC">#REF!</definedName>
    <definedName name="PNLDTVolume">#REF!</definedName>
    <definedName name="PNLDTWar">#REF!</definedName>
    <definedName name="PNLTDTCOGS">#REF!</definedName>
    <definedName name="PNLTSSA">#REF!</definedName>
    <definedName name="PNLTSSL">#REF!</definedName>
    <definedName name="PNLTSSM">#REF!</definedName>
    <definedName name="PO">#REF!</definedName>
    <definedName name="POAN">balance sheet send</definedName>
    <definedName name="POANDetailNoMulti">#REF!</definedName>
    <definedName name="POANSummary">#REF!</definedName>
    <definedName name="polly" hidden="1">{"'Edit'!$A$1:$V$2277"}</definedName>
    <definedName name="POMESSAGEDETAILS">#REF!</definedName>
    <definedName name="POMessages">#REF!</definedName>
    <definedName name="POMessagesDetails">#REF!</definedName>
    <definedName name="pong" hidden="1">{#N/A,#N/A,FALSE,"Summary";#N/A,#N/A,FALSE,"Service";#N/A,#N/A,FALSE,"Carriage";#N/A,#N/A,FALSE,"Backbone"}</definedName>
    <definedName name="pos">balance sheet send</definedName>
    <definedName name="postwave_inspectionTime">#N/A</definedName>
    <definedName name="postwave_touchupTime">#N/A</definedName>
    <definedName name="pouthgb" hidden="1">{"one (KEY)",#N/A,FALSE,"P&amp;L"}</definedName>
    <definedName name="POWER">#REF!</definedName>
    <definedName name="pp" hidden="1">{"'Broadway ML#4'!$J$7:$N$490"}</definedName>
    <definedName name="pp_" hidden="1">{"'Broadway ML#4'!$J$7:$N$490"}</definedName>
    <definedName name="PPDS">#REF!</definedName>
    <definedName name="PPL">#REF!</definedName>
    <definedName name="pplplplp" hidden="1">{"one (KEY)",#N/A,FALSE,"P&amp;L"}</definedName>
    <definedName name="PPP">#REF!</definedName>
    <definedName name="ppp_" hidden="1">{"'Broadway ML#4'!$J$7:$N$490"}</definedName>
    <definedName name="pppp" hidden="1">{"'Broadway ML#4'!$J$7:$N$490"}</definedName>
    <definedName name="ppppppp" hidden="1">{"Annual",#N/A,FALSE,"Sales &amp; Market";"Quarterly",#N/A,FALSE,"Sales &amp; Market"}</definedName>
    <definedName name="PPPPPPPPPPP">balance sheet send</definedName>
    <definedName name="pr">#REF!</definedName>
    <definedName name="PRATIO">#REF!</definedName>
    <definedName name="prdlist">#REF!</definedName>
    <definedName name="PRDump">#REF!</definedName>
    <definedName name="PRDump.">#REF!</definedName>
    <definedName name="PRE">#REF!</definedName>
    <definedName name="prep_noParts">#N/A</definedName>
    <definedName name="PreparedBy">#REF!</definedName>
    <definedName name="PreppingStaff">#REF!</definedName>
    <definedName name="Presentation.Range">#REF!</definedName>
    <definedName name="Presentation.Range.1">#REF!</definedName>
    <definedName name="Presentation.Range.2">#REF!</definedName>
    <definedName name="PressFit">#REF!</definedName>
    <definedName name="PressFitDM">#REF!</definedName>
    <definedName name="PressFitLabor">#REF!</definedName>
    <definedName name="PressFitList">#REF!</definedName>
    <definedName name="PressFitPinCount">#REF!</definedName>
    <definedName name="PrevCost">#REF!</definedName>
    <definedName name="PRFQ">#REF!</definedName>
    <definedName name="price" localSheetId="1">#REF!</definedName>
    <definedName name="price">#REF!</definedName>
    <definedName name="prices">#REF!</definedName>
    <definedName name="PRINT">#REF!</definedName>
    <definedName name="_xlnm.Print_Area">#REF!</definedName>
    <definedName name="Print_Area.">#REF!</definedName>
    <definedName name="Print_Area..">#REF!</definedName>
    <definedName name="Print_Area_MI">#REF!</definedName>
    <definedName name="PRINT_AREA_MI.">#REF!</definedName>
    <definedName name="_xlnm.Print_Titles">#REF!</definedName>
    <definedName name="Print_Titles_MI">#REF!</definedName>
    <definedName name="print1" hidden="1">{#N/A,#N/A,FALSE,"Financial";#N/A,#N/A,FALSE,"Balance Sheet";#N/A,#N/A,FALSE,"Income stmt";#N/A,#N/A,FALSE,"Ratio"}</definedName>
    <definedName name="print2">#REF!,#REF!</definedName>
    <definedName name="PrintGraph">#REF!</definedName>
    <definedName name="PrintTitle1">#REF!</definedName>
    <definedName name="prior_fcst">#N/A</definedName>
    <definedName name="prior_month">#N/A</definedName>
    <definedName name="Priority">#REF!</definedName>
    <definedName name="priortable">#REF!</definedName>
    <definedName name="prioryear">#REF!</definedName>
    <definedName name="PRN">#REF!</definedName>
    <definedName name="Problem">#REF!</definedName>
    <definedName name="PROCESS">#REF!</definedName>
    <definedName name="Procurement">OFFSET(#REF!,0,COUNTA(#REF!)-1-10,1,10)</definedName>
    <definedName name="PROD">#REF!</definedName>
    <definedName name="ProdCtl">#REF!</definedName>
    <definedName name="ProdCtrlLA">#REF!</definedName>
    <definedName name="PRODDEVELOP">#REF!</definedName>
    <definedName name="ProdForm" hidden="1">#REF!</definedName>
    <definedName name="ProdM2PerYear">#REF!</definedName>
    <definedName name="ProdManager">#REF!</definedName>
    <definedName name="ProdMgrLA">#REF!</definedName>
    <definedName name="ProdSuperLA">#REF!</definedName>
    <definedName name="ProdSuperV">#REF!</definedName>
    <definedName name="ProdTested">#REF!</definedName>
    <definedName name="PRODTY">#REF!,#REF!,#REF!,#REF!</definedName>
    <definedName name="PRODUCCION">#REF!</definedName>
    <definedName name="PRODUCIDO">#REF!</definedName>
    <definedName name="product">#REF!</definedName>
    <definedName name="Product_Family_200909_v909">#REF!</definedName>
    <definedName name="Product_Family_200910_v184">#REF!</definedName>
    <definedName name="Product_Info">#REF!</definedName>
    <definedName name="Product_List">#REF!</definedName>
    <definedName name="Product_List_3">#REF!</definedName>
    <definedName name="Product_List_Annual_Inserts">#REF!</definedName>
    <definedName name="Product_List_Annual_Revenue">#REF!</definedName>
    <definedName name="Product_List_Annual_ValueAdd">#REF!</definedName>
    <definedName name="Product_List_Count">#REF!</definedName>
    <definedName name="Product_List_Count_3">#REF!</definedName>
    <definedName name="Product_List_Description">#REF!</definedName>
    <definedName name="Product_List_Description_3">#REF!</definedName>
    <definedName name="Product_List_Family">#REF!</definedName>
    <definedName name="Product_List_Family_3">#REF!</definedName>
    <definedName name="Product_List_Group">#REF!</definedName>
    <definedName name="Product_List_Group_3">#REF!</definedName>
    <definedName name="Product_List_Project">#REF!</definedName>
    <definedName name="Product_List_Project_3">#REF!</definedName>
    <definedName name="Product_List_Rev">#REF!</definedName>
    <definedName name="Product_List_Status">#REF!</definedName>
    <definedName name="Product_List_Transfer_Group">#REF!</definedName>
    <definedName name="Product_List_Transfer_Priority">#REF!</definedName>
    <definedName name="Product_List_Type">#REF!</definedName>
    <definedName name="Product_List_Type_3">#REF!</definedName>
    <definedName name="product_table">#REF!</definedName>
    <definedName name="Product_Transfer_Group">#REF!</definedName>
    <definedName name="Product_Transfer_Priority">#REF!</definedName>
    <definedName name="PRODUCT1">#REF!</definedName>
    <definedName name="PRODUCT2">#REF!</definedName>
    <definedName name="PRODUCT3">#REF!</definedName>
    <definedName name="Production_Start_Date">#REF!</definedName>
    <definedName name="Products" localSheetId="1">#REF!</definedName>
    <definedName name="Products">#REF!</definedName>
    <definedName name="prodVolInM2">#REF!</definedName>
    <definedName name="prof">#REF!</definedName>
    <definedName name="PROFIT">#REF!</definedName>
    <definedName name="Profit.A">#REF!</definedName>
    <definedName name="Profit_Loss">#REF!</definedName>
    <definedName name="Profit_Loss.">#REF!</definedName>
    <definedName name="ProfitA">#REF!</definedName>
    <definedName name="ProfitA.">#REF!</definedName>
    <definedName name="ProfitA..">#REF!</definedName>
    <definedName name="profitandlosspcba1">#REF!</definedName>
    <definedName name="Program">#REF!</definedName>
    <definedName name="PROGRAMA">#REF!</definedName>
    <definedName name="ProgramMan">#REF!</definedName>
    <definedName name="Project_End_Date">#REF!</definedName>
    <definedName name="Project_last_entry">#REF!</definedName>
    <definedName name="Project_Life">#REF!</definedName>
    <definedName name="Project_Life.">#REF!</definedName>
    <definedName name="Project_Name">#N/A</definedName>
    <definedName name="Project_Start">#REF!</definedName>
    <definedName name="Project_Start_Date">#REF!</definedName>
    <definedName name="Project_Start_Date_3">#REF!</definedName>
    <definedName name="Project_start_row">#REF!</definedName>
    <definedName name="ProjectEnd">#REF!</definedName>
    <definedName name="ProjectName">#REF!</definedName>
    <definedName name="ProjectStart">#REF!</definedName>
    <definedName name="ProjEndDate">#REF!</definedName>
    <definedName name="ProjStartDate">#REF!</definedName>
    <definedName name="PROMESA">#REF!</definedName>
    <definedName name="PROPIS">#REF!</definedName>
    <definedName name="PROPNIS">#REF!</definedName>
    <definedName name="prosenscorner">#REF!</definedName>
    <definedName name="prospectscorner">#REF!</definedName>
    <definedName name="Proto_capital">#REF!</definedName>
    <definedName name="Proto_expenses">#REF!</definedName>
    <definedName name="Proto_services">#REF!</definedName>
    <definedName name="PS">#REF!</definedName>
    <definedName name="PSZ">#REF!</definedName>
    <definedName name="PTE">#REF!</definedName>
    <definedName name="PTEA">#REF!</definedName>
    <definedName name="PTHHLSatff">#REF!</definedName>
    <definedName name="PTSA">#REF!</definedName>
    <definedName name="PUC">#REF!</definedName>
    <definedName name="PuertoRico">#REF!</definedName>
    <definedName name="puesto">#REF!</definedName>
    <definedName name="pung" hidden="1">{#N/A,#N/A,FALSE,"Summary";#N/A,#N/A,FALSE,"Service";#N/A,#N/A,FALSE,"Carriage";#N/A,#N/A,FALSE,"Backbone"}</definedName>
    <definedName name="PurchasesWithinLeadTimeDetailsNewFcst">#REF!</definedName>
    <definedName name="PY">#REF!</definedName>
    <definedName name="PY_Data">OFFSET(#REF!,0,0,1,COUNTA(#REF!))</definedName>
    <definedName name="Q" hidden="1">#REF!</definedName>
    <definedName name="q1aop">#REF!</definedName>
    <definedName name="q1commit">#REF!</definedName>
    <definedName name="Q1Q2_PBT">#REF!</definedName>
    <definedName name="Q1Q2_Restr">#REF!</definedName>
    <definedName name="q2aop">#REF!</definedName>
    <definedName name="Q2PnL">#REF!</definedName>
    <definedName name="Q3AM">#REF!</definedName>
    <definedName name="q3aop">#REF!</definedName>
    <definedName name="Q3Q4_PBIT">#REF!</definedName>
    <definedName name="Q3Q4_Restr">#REF!</definedName>
    <definedName name="q3table">#REF!</definedName>
    <definedName name="Q4_FY05">#REF!</definedName>
    <definedName name="Q4AM">#REF!</definedName>
    <definedName name="q4aop">#REF!</definedName>
    <definedName name="Q4Q3">balance sheet send</definedName>
    <definedName name="q4table">#REF!</definedName>
    <definedName name="qa">#N/A</definedName>
    <definedName name="qadzk" hidden="1">{"one (KEY)",#N/A,FALSE,"P&amp;L"}</definedName>
    <definedName name="QAEATCE">#REF!</definedName>
    <definedName name="QAEATCE_9M_2005">#REF!</definedName>
    <definedName name="QAEATCE_9M_2006">#REF!</definedName>
    <definedName name="QAEATCE_9M_2007">#REF!</definedName>
    <definedName name="QAEATCE_9M_2008">#REF!</definedName>
    <definedName name="QAEATCE_9M_2009">#REF!</definedName>
    <definedName name="QAEATCE_9M_2010">#REF!</definedName>
    <definedName name="QAEATCE_9M_2011">#REF!</definedName>
    <definedName name="QAEATCE_9M_2012">#REF!</definedName>
    <definedName name="QAEATCE_9M_2013">#REF!</definedName>
    <definedName name="QAEATCE_9M_2014">#REF!</definedName>
    <definedName name="QAEATCE_9M_2015">#REF!</definedName>
    <definedName name="QAEATCE_H1_2005">#REF!</definedName>
    <definedName name="QAEATCE_H1_2006">#REF!</definedName>
    <definedName name="QAEATCE_H1_2007">#REF!</definedName>
    <definedName name="QAEATCE_H1_2008">#REF!</definedName>
    <definedName name="QAEATCE_H1_2009">#REF!</definedName>
    <definedName name="QAEATCE_H1_2010">#REF!</definedName>
    <definedName name="QAEATCE_H1_2011">#REF!</definedName>
    <definedName name="QAEATCE_H1_2012">#REF!</definedName>
    <definedName name="QAEATCE_H1_2013">#REF!</definedName>
    <definedName name="QAEATCE_H1_2014">#REF!</definedName>
    <definedName name="QAEATCE_H1_2015">#REF!</definedName>
    <definedName name="QAEATCE_H2_2005">#REF!</definedName>
    <definedName name="QAEATCE_H2_2006">#REF!</definedName>
    <definedName name="QAEATCE_H2_2007">#REF!</definedName>
    <definedName name="QAEATCE_H2_2008">#REF!</definedName>
    <definedName name="QAEATCE_H2_2009">#REF!</definedName>
    <definedName name="QAEATCE_H2_2010">#REF!</definedName>
    <definedName name="QAEATCE_H2_2011">#REF!</definedName>
    <definedName name="QAEATCE_H2_2012">#REF!</definedName>
    <definedName name="QAEATCE_H2_2013">#REF!</definedName>
    <definedName name="QAEATCE_H2_2014">#REF!</definedName>
    <definedName name="QAEATCE_H2_2015">#REF!</definedName>
    <definedName name="QAEATCE_Q1_2005">#REF!</definedName>
    <definedName name="QAEATCE_Q1_2006">#REF!</definedName>
    <definedName name="QAEATCE_Q1_2007">#REF!</definedName>
    <definedName name="QAEATCE_Q1_2008">#REF!</definedName>
    <definedName name="QAEATCE_Q1_2009">#REF!</definedName>
    <definedName name="QAEATCE_Q1_2010">#REF!</definedName>
    <definedName name="QAEATCE_Q1_2011">#REF!</definedName>
    <definedName name="QAEATCE_Q1_2012">#REF!</definedName>
    <definedName name="QAEATCE_Q1_2013">#REF!</definedName>
    <definedName name="QAEATCE_Q1_2014">#REF!</definedName>
    <definedName name="QAEATCE_Q1_2015">#REF!</definedName>
    <definedName name="QAEATCE_Q2_2005">#REF!</definedName>
    <definedName name="QAEATCE_Q2_2006">#REF!</definedName>
    <definedName name="QAEATCE_Q2_2007">#REF!</definedName>
    <definedName name="QAEATCE_Q2_2008">#REF!</definedName>
    <definedName name="QAEATCE_Q2_2009">#REF!</definedName>
    <definedName name="QAEATCE_Q2_2010">#REF!</definedName>
    <definedName name="QAEATCE_Q2_2011">#REF!</definedName>
    <definedName name="QAEATCE_Q2_2012">#REF!</definedName>
    <definedName name="QAEATCE_Q2_2013">#REF!</definedName>
    <definedName name="QAEATCE_Q2_2014">#REF!</definedName>
    <definedName name="QAEATCE_Q2_2015">#REF!</definedName>
    <definedName name="QAEATCE_Q3_2005">#REF!</definedName>
    <definedName name="QAEATCE_Q3_2006">#REF!</definedName>
    <definedName name="QAEATCE_Q3_2007">#REF!</definedName>
    <definedName name="QAEATCE_Q3_2008">#REF!</definedName>
    <definedName name="QAEATCE_Q3_2009">#REF!</definedName>
    <definedName name="QAEATCE_Q3_2010">#REF!</definedName>
    <definedName name="QAEATCE_Q3_2011">#REF!</definedName>
    <definedName name="QAEATCE_Q3_2012">#REF!</definedName>
    <definedName name="QAEATCE_Q3_2013">#REF!</definedName>
    <definedName name="QAEATCE_Q3_2014">#REF!</definedName>
    <definedName name="QAEATCE_Q3_2015">#REF!</definedName>
    <definedName name="QAEATCE_Q4_2005">#REF!</definedName>
    <definedName name="QAEATCE_Q4_2006">#REF!</definedName>
    <definedName name="QAEATCE_Q4_2007">#REF!</definedName>
    <definedName name="QAEATCE_Q4_2008">#REF!</definedName>
    <definedName name="QAEATCE_Q4_2009">#REF!</definedName>
    <definedName name="QAEATCE_Q4_2010">#REF!</definedName>
    <definedName name="QAEATCE_Q4_2011">#REF!</definedName>
    <definedName name="QAEATCE_Q4_2012">#REF!</definedName>
    <definedName name="QAEATCE_Q4_2013">#REF!</definedName>
    <definedName name="QAEATCE_Q4_2014">#REF!</definedName>
    <definedName name="QAEATCE_Q4_2015">#REF!</definedName>
    <definedName name="QAEATCE_Y1_2005">#REF!</definedName>
    <definedName name="QAEATCE_Y1_2006">#REF!</definedName>
    <definedName name="QAEATCE_Y1_2007">#REF!</definedName>
    <definedName name="QAEATCE_Y1_2008">#REF!</definedName>
    <definedName name="QAEATCE_Y1_2009">#REF!</definedName>
    <definedName name="QAEATCE_Y1_2010">#REF!</definedName>
    <definedName name="QAEATCE_Y1_2011">#REF!</definedName>
    <definedName name="QAEATCE_Y1_2012">#REF!</definedName>
    <definedName name="QAEATCE_Y1_2013">#REF!</definedName>
    <definedName name="QAEATCE_Y1_2014">#REF!</definedName>
    <definedName name="QAEATCE_Y1_2015">#REF!</definedName>
    <definedName name="QAEATOE">#REF!</definedName>
    <definedName name="QAEATOE_9M_2005">#REF!</definedName>
    <definedName name="QAEATOE_9M_2006">#REF!</definedName>
    <definedName name="QAEATOE_9M_2007">#REF!</definedName>
    <definedName name="QAEATOE_9M_2008">#REF!</definedName>
    <definedName name="QAEATOE_9M_2009">#REF!</definedName>
    <definedName name="QAEATOE_9M_2010">#REF!</definedName>
    <definedName name="QAEATOE_9M_2011">#REF!</definedName>
    <definedName name="QAEATOE_9M_2012">#REF!</definedName>
    <definedName name="QAEATOE_9M_2013">#REF!</definedName>
    <definedName name="QAEATOE_9M_2014">#REF!</definedName>
    <definedName name="QAEATOE_9M_2015">#REF!</definedName>
    <definedName name="QAEATOE_H1_2005">#REF!</definedName>
    <definedName name="QAEATOE_H1_2006">#REF!</definedName>
    <definedName name="QAEATOE_H1_2007">#REF!</definedName>
    <definedName name="QAEATOE_H1_2008">#REF!</definedName>
    <definedName name="QAEATOE_H1_2009">#REF!</definedName>
    <definedName name="QAEATOE_H1_2010">#REF!</definedName>
    <definedName name="QAEATOE_H1_2011">#REF!</definedName>
    <definedName name="QAEATOE_H1_2012">#REF!</definedName>
    <definedName name="QAEATOE_H1_2013">#REF!</definedName>
    <definedName name="QAEATOE_H1_2014">#REF!</definedName>
    <definedName name="QAEATOE_H1_2015">#REF!</definedName>
    <definedName name="QAEATOE_H2_2005">#REF!</definedName>
    <definedName name="QAEATOE_H2_2006">#REF!</definedName>
    <definedName name="QAEATOE_H2_2007">#REF!</definedName>
    <definedName name="QAEATOE_H2_2008">#REF!</definedName>
    <definedName name="QAEATOE_H2_2009">#REF!</definedName>
    <definedName name="QAEATOE_H2_2010">#REF!</definedName>
    <definedName name="QAEATOE_H2_2011">#REF!</definedName>
    <definedName name="QAEATOE_H2_2012">#REF!</definedName>
    <definedName name="QAEATOE_H2_2013">#REF!</definedName>
    <definedName name="QAEATOE_H2_2014">#REF!</definedName>
    <definedName name="QAEATOE_H2_2015">#REF!</definedName>
    <definedName name="QAEATOE_Q1_2005">#REF!</definedName>
    <definedName name="QAEATOE_Q1_2006">#REF!</definedName>
    <definedName name="QAEATOE_Q1_2007">#REF!</definedName>
    <definedName name="QAEATOE_Q1_2008">#REF!</definedName>
    <definedName name="QAEATOE_Q1_2009">#REF!</definedName>
    <definedName name="QAEATOE_Q1_2010">#REF!</definedName>
    <definedName name="QAEATOE_Q1_2011">#REF!</definedName>
    <definedName name="QAEATOE_Q1_2012">#REF!</definedName>
    <definedName name="QAEATOE_Q1_2013">#REF!</definedName>
    <definedName name="QAEATOE_Q1_2014">#REF!</definedName>
    <definedName name="QAEATOE_Q1_2015">#REF!</definedName>
    <definedName name="QAEATOE_Q2_2005">#REF!</definedName>
    <definedName name="QAEATOE_Q2_2006">#REF!</definedName>
    <definedName name="QAEATOE_Q2_2007">#REF!</definedName>
    <definedName name="QAEATOE_Q2_2008">#REF!</definedName>
    <definedName name="QAEATOE_Q2_2009">#REF!</definedName>
    <definedName name="QAEATOE_Q2_2010">#REF!</definedName>
    <definedName name="QAEATOE_Q2_2011">#REF!</definedName>
    <definedName name="QAEATOE_Q2_2012">#REF!</definedName>
    <definedName name="QAEATOE_Q2_2013">#REF!</definedName>
    <definedName name="QAEATOE_Q2_2014">#REF!</definedName>
    <definedName name="QAEATOE_Q2_2015">#REF!</definedName>
    <definedName name="QAEATOE_Q3_2005">#REF!</definedName>
    <definedName name="QAEATOE_Q3_2006">#REF!</definedName>
    <definedName name="QAEATOE_Q3_2007">#REF!</definedName>
    <definedName name="QAEATOE_Q3_2008">#REF!</definedName>
    <definedName name="QAEATOE_Q3_2009">#REF!</definedName>
    <definedName name="QAEATOE_Q3_2010">#REF!</definedName>
    <definedName name="QAEATOE_Q3_2011">#REF!</definedName>
    <definedName name="QAEATOE_Q3_2012">#REF!</definedName>
    <definedName name="QAEATOE_Q3_2013">#REF!</definedName>
    <definedName name="QAEATOE_Q3_2014">#REF!</definedName>
    <definedName name="QAEATOE_Q3_2015">#REF!</definedName>
    <definedName name="QAEATOE_Q4_2005">#REF!</definedName>
    <definedName name="QAEATOE_Q4_2006">#REF!</definedName>
    <definedName name="QAEATOE_Q4_2007">#REF!</definedName>
    <definedName name="QAEATOE_Q4_2008">#REF!</definedName>
    <definedName name="QAEATOE_Q4_2009">#REF!</definedName>
    <definedName name="QAEATOE_Q4_2010">#REF!</definedName>
    <definedName name="QAEATOE_Q4_2011">#REF!</definedName>
    <definedName name="QAEATOE_Q4_2012">#REF!</definedName>
    <definedName name="QAEATOE_Q4_2013">#REF!</definedName>
    <definedName name="QAEATOE_Q4_2014">#REF!</definedName>
    <definedName name="QAEATOE_Q4_2015">#REF!</definedName>
    <definedName name="QAEATOE_Y1_2005">#REF!</definedName>
    <definedName name="QAEATOE_Y1_2006">#REF!</definedName>
    <definedName name="QAEATOE_Y1_2007">#REF!</definedName>
    <definedName name="QAEATOE_Y1_2008">#REF!</definedName>
    <definedName name="QAEATOE_Y1_2009">#REF!</definedName>
    <definedName name="QAEATOE_Y1_2010">#REF!</definedName>
    <definedName name="QAEATOE_Y1_2011">#REF!</definedName>
    <definedName name="QAEATOE_Y1_2012">#REF!</definedName>
    <definedName name="QAEATOE_Y1_2013">#REF!</definedName>
    <definedName name="QAEATOE_Y1_2014">#REF!</definedName>
    <definedName name="QAEATOE_Y1_2015">#REF!</definedName>
    <definedName name="QAEATREP">#REF!</definedName>
    <definedName name="QAEATREP_9M_2005">#REF!</definedName>
    <definedName name="QAEATREP_9M_2006">#REF!</definedName>
    <definedName name="QAEATREP_9M_2007">#REF!</definedName>
    <definedName name="QAEATREP_9M_2008">#REF!</definedName>
    <definedName name="QAEATREP_9M_2009">#REF!</definedName>
    <definedName name="QAEATREP_9M_2010">#REF!</definedName>
    <definedName name="QAEATREP_9M_2011">#REF!</definedName>
    <definedName name="QAEATREP_9M_2012">#REF!</definedName>
    <definedName name="QAEATREP_9M_2013">#REF!</definedName>
    <definedName name="QAEATREP_9M_2014">#REF!</definedName>
    <definedName name="QAEATREP_9M_2015">#REF!</definedName>
    <definedName name="QAEATREP_H1_2005">#REF!</definedName>
    <definedName name="QAEATREP_H1_2006">#REF!</definedName>
    <definedName name="QAEATREP_H1_2007">#REF!</definedName>
    <definedName name="QAEATREP_H1_2008">#REF!</definedName>
    <definedName name="QAEATREP_H1_2009">#REF!</definedName>
    <definedName name="QAEATREP_H1_2010">#REF!</definedName>
    <definedName name="QAEATREP_H1_2011">#REF!</definedName>
    <definedName name="QAEATREP_H1_2012">#REF!</definedName>
    <definedName name="QAEATREP_H1_2013">#REF!</definedName>
    <definedName name="QAEATREP_H1_2014">#REF!</definedName>
    <definedName name="QAEATREP_H1_2015">#REF!</definedName>
    <definedName name="QAEATREP_H2_2005">#REF!</definedName>
    <definedName name="QAEATREP_H2_2006">#REF!</definedName>
    <definedName name="QAEATREP_H2_2007">#REF!</definedName>
    <definedName name="QAEATREP_H2_2008">#REF!</definedName>
    <definedName name="QAEATREP_H2_2009">#REF!</definedName>
    <definedName name="QAEATREP_H2_2010">#REF!</definedName>
    <definedName name="QAEATREP_H2_2011">#REF!</definedName>
    <definedName name="QAEATREP_H2_2012">#REF!</definedName>
    <definedName name="QAEATREP_H2_2013">#REF!</definedName>
    <definedName name="QAEATREP_H2_2014">#REF!</definedName>
    <definedName name="QAEATREP_H2_2015">#REF!</definedName>
    <definedName name="QAEATREP_Q1_2005">#REF!</definedName>
    <definedName name="QAEATREP_Q1_2006">#REF!</definedName>
    <definedName name="QAEATREP_Q1_2007">#REF!</definedName>
    <definedName name="QAEATREP_Q1_2008">#REF!</definedName>
    <definedName name="QAEATREP_Q1_2009">#REF!</definedName>
    <definedName name="QAEATREP_Q1_2010">#REF!</definedName>
    <definedName name="QAEATREP_Q1_2011">#REF!</definedName>
    <definedName name="QAEATREP_Q1_2012">#REF!</definedName>
    <definedName name="QAEATREP_Q1_2013">#REF!</definedName>
    <definedName name="QAEATREP_Q1_2014">#REF!</definedName>
    <definedName name="QAEATREP_Q1_2015">#REF!</definedName>
    <definedName name="QAEATREP_Q2_2005">#REF!</definedName>
    <definedName name="QAEATREP_Q2_2006">#REF!</definedName>
    <definedName name="QAEATREP_Q2_2007">#REF!</definedName>
    <definedName name="QAEATREP_Q2_2008">#REF!</definedName>
    <definedName name="QAEATREP_Q2_2009">#REF!</definedName>
    <definedName name="QAEATREP_Q2_2010">#REF!</definedName>
    <definedName name="QAEATREP_Q2_2011">#REF!</definedName>
    <definedName name="QAEATREP_Q2_2012">#REF!</definedName>
    <definedName name="QAEATREP_Q2_2013">#REF!</definedName>
    <definedName name="QAEATREP_Q2_2014">#REF!</definedName>
    <definedName name="QAEATREP_Q2_2015">#REF!</definedName>
    <definedName name="QAEATREP_Q3_2005">#REF!</definedName>
    <definedName name="QAEATREP_Q3_2006">#REF!</definedName>
    <definedName name="QAEATREP_Q3_2007">#REF!</definedName>
    <definedName name="QAEATREP_Q3_2008">#REF!</definedName>
    <definedName name="QAEATREP_Q3_2009">#REF!</definedName>
    <definedName name="QAEATREP_Q3_2010">#REF!</definedName>
    <definedName name="QAEATREP_Q3_2011">#REF!</definedName>
    <definedName name="QAEATREP_Q3_2012">#REF!</definedName>
    <definedName name="QAEATREP_Q3_2013">#REF!</definedName>
    <definedName name="QAEATREP_Q3_2014">#REF!</definedName>
    <definedName name="QAEATREP_Q3_2015">#REF!</definedName>
    <definedName name="QAEATREP_Q4_2005">#REF!</definedName>
    <definedName name="QAEATREP_Q4_2006">#REF!</definedName>
    <definedName name="QAEATREP_Q4_2007">#REF!</definedName>
    <definedName name="QAEATREP_Q4_2008">#REF!</definedName>
    <definedName name="QAEATREP_Q4_2009">#REF!</definedName>
    <definedName name="QAEATREP_Q4_2010">#REF!</definedName>
    <definedName name="QAEATREP_Q4_2011">#REF!</definedName>
    <definedName name="QAEATREP_Q4_2012">#REF!</definedName>
    <definedName name="QAEATREP_Q4_2013">#REF!</definedName>
    <definedName name="QAEATREP_Q4_2014">#REF!</definedName>
    <definedName name="QAEATREP_Q4_2015">#REF!</definedName>
    <definedName name="QAEATREP_Y1_2005">#REF!</definedName>
    <definedName name="QAEATREP_Y1_2006">#REF!</definedName>
    <definedName name="QAEATREP_Y1_2007">#REF!</definedName>
    <definedName name="QAEATREP_Y1_2008">#REF!</definedName>
    <definedName name="QAEATREP_Y1_2009">#REF!</definedName>
    <definedName name="QAEATREP_Y1_2010">#REF!</definedName>
    <definedName name="QAEATREP_Y1_2011">#REF!</definedName>
    <definedName name="QAEATREP_Y1_2012">#REF!</definedName>
    <definedName name="QAEATREP_Y1_2013">#REF!</definedName>
    <definedName name="QAEATREP_Y1_2014">#REF!</definedName>
    <definedName name="QAEATREP_Y1_2015">#REF!</definedName>
    <definedName name="QAEATREPPY">#REF!</definedName>
    <definedName name="QAEPSCE">#REF!</definedName>
    <definedName name="QAEPSCE_9M_2005">#REF!</definedName>
    <definedName name="QAEPSCE_9M_2006">#REF!</definedName>
    <definedName name="QAEPSCE_9M_2007">#REF!</definedName>
    <definedName name="QAEPSCE_9M_2008">#REF!</definedName>
    <definedName name="QAEPSCE_9M_2009">#REF!</definedName>
    <definedName name="QAEPSCE_9M_2010">#REF!</definedName>
    <definedName name="QAEPSCE_9M_2011">#REF!</definedName>
    <definedName name="QAEPSCE_9M_2012">#REF!</definedName>
    <definedName name="QAEPSCE_9M_2013">#REF!</definedName>
    <definedName name="QAEPSCE_9M_2014">#REF!</definedName>
    <definedName name="QAEPSCE_9M_2015">#REF!</definedName>
    <definedName name="QAEPSCE_H1_2005">#REF!</definedName>
    <definedName name="QAEPSCE_H1_2006">#REF!</definedName>
    <definedName name="QAEPSCE_H1_2007">#REF!</definedName>
    <definedName name="QAEPSCE_H1_2008">#REF!</definedName>
    <definedName name="QAEPSCE_H1_2009">#REF!</definedName>
    <definedName name="QAEPSCE_H1_2010">#REF!</definedName>
    <definedName name="QAEPSCE_H1_2011">#REF!</definedName>
    <definedName name="QAEPSCE_H1_2012">#REF!</definedName>
    <definedName name="QAEPSCE_H1_2013">#REF!</definedName>
    <definedName name="QAEPSCE_H1_2014">#REF!</definedName>
    <definedName name="QAEPSCE_H1_2015">#REF!</definedName>
    <definedName name="QAEPSCE_H2_2005">#REF!</definedName>
    <definedName name="QAEPSCE_H2_2006">#REF!</definedName>
    <definedName name="QAEPSCE_H2_2007">#REF!</definedName>
    <definedName name="QAEPSCE_H2_2008">#REF!</definedName>
    <definedName name="QAEPSCE_H2_2009">#REF!</definedName>
    <definedName name="QAEPSCE_H2_2010">#REF!</definedName>
    <definedName name="QAEPSCE_H2_2011">#REF!</definedName>
    <definedName name="QAEPSCE_H2_2012">#REF!</definedName>
    <definedName name="QAEPSCE_H2_2013">#REF!</definedName>
    <definedName name="QAEPSCE_H2_2014">#REF!</definedName>
    <definedName name="QAEPSCE_H2_2015">#REF!</definedName>
    <definedName name="QAEPSCE_Q1_2005">#REF!</definedName>
    <definedName name="QAEPSCE_Q1_2006">#REF!</definedName>
    <definedName name="QAEPSCE_Q1_2007">#REF!</definedName>
    <definedName name="QAEPSCE_Q1_2008">#REF!</definedName>
    <definedName name="QAEPSCE_Q1_2009">#REF!</definedName>
    <definedName name="QAEPSCE_Q1_2010">#REF!</definedName>
    <definedName name="QAEPSCE_Q1_2011">#REF!</definedName>
    <definedName name="QAEPSCE_Q1_2012">#REF!</definedName>
    <definedName name="QAEPSCE_Q1_2013">#REF!</definedName>
    <definedName name="QAEPSCE_Q1_2014">#REF!</definedName>
    <definedName name="QAEPSCE_Q1_2015">#REF!</definedName>
    <definedName name="QAEPSCE_Q2_2005">#REF!</definedName>
    <definedName name="QAEPSCE_Q2_2006">#REF!</definedName>
    <definedName name="QAEPSCE_Q2_2007">#REF!</definedName>
    <definedName name="QAEPSCE_Q2_2008">#REF!</definedName>
    <definedName name="QAEPSCE_Q2_2009">#REF!</definedName>
    <definedName name="QAEPSCE_Q2_2010">#REF!</definedName>
    <definedName name="QAEPSCE_Q2_2011">#REF!</definedName>
    <definedName name="QAEPSCE_Q2_2012">#REF!</definedName>
    <definedName name="QAEPSCE_Q2_2013">#REF!</definedName>
    <definedName name="QAEPSCE_Q2_2014">#REF!</definedName>
    <definedName name="QAEPSCE_Q2_2015">#REF!</definedName>
    <definedName name="QAEPSCE_Q3_2005">#REF!</definedName>
    <definedName name="QAEPSCE_Q3_2006">#REF!</definedName>
    <definedName name="QAEPSCE_Q3_2007">#REF!</definedName>
    <definedName name="QAEPSCE_Q3_2008">#REF!</definedName>
    <definedName name="QAEPSCE_Q3_2009">#REF!</definedName>
    <definedName name="QAEPSCE_Q3_2010">#REF!</definedName>
    <definedName name="QAEPSCE_Q3_2011">#REF!</definedName>
    <definedName name="QAEPSCE_Q3_2012">#REF!</definedName>
    <definedName name="QAEPSCE_Q3_2013">#REF!</definedName>
    <definedName name="QAEPSCE_Q3_2014">#REF!</definedName>
    <definedName name="QAEPSCE_Q3_2015">#REF!</definedName>
    <definedName name="QAEPSCE_Q4_2005">#REF!</definedName>
    <definedName name="QAEPSCE_Q4_2006">#REF!</definedName>
    <definedName name="QAEPSCE_Q4_2007">#REF!</definedName>
    <definedName name="QAEPSCE_Q4_2008">#REF!</definedName>
    <definedName name="QAEPSCE_Q4_2009">#REF!</definedName>
    <definedName name="QAEPSCE_Q4_2010">#REF!</definedName>
    <definedName name="QAEPSCE_Q4_2011">#REF!</definedName>
    <definedName name="QAEPSCE_Q4_2012">#REF!</definedName>
    <definedName name="QAEPSCE_Q4_2013">#REF!</definedName>
    <definedName name="QAEPSCE_Q4_2014">#REF!</definedName>
    <definedName name="QAEPSCE_Q4_2015">#REF!</definedName>
    <definedName name="QAEPSCE_Y1_2005">#REF!</definedName>
    <definedName name="QAEPSCE_Y1_2006">#REF!</definedName>
    <definedName name="QAEPSCE_Y1_2007">#REF!</definedName>
    <definedName name="QAEPSCE_Y1_2008">#REF!</definedName>
    <definedName name="QAEPSCE_Y1_2009">#REF!</definedName>
    <definedName name="QAEPSCE_Y1_2010">#REF!</definedName>
    <definedName name="QAEPSCE_Y1_2011">#REF!</definedName>
    <definedName name="QAEPSCE_Y1_2012">#REF!</definedName>
    <definedName name="QAEPSCE_Y1_2013">#REF!</definedName>
    <definedName name="QAEPSCE_Y1_2014">#REF!</definedName>
    <definedName name="QAEPSCE_Y1_2015">#REF!</definedName>
    <definedName name="QAEPSOE">#REF!</definedName>
    <definedName name="QAEPSOE_9M_2005">#REF!</definedName>
    <definedName name="QAEPSOE_9M_2006">#REF!</definedName>
    <definedName name="QAEPSOE_9M_2007">#REF!</definedName>
    <definedName name="QAEPSOE_9M_2008">#REF!</definedName>
    <definedName name="QAEPSOE_9M_2009">#REF!</definedName>
    <definedName name="QAEPSOE_9M_2010">#REF!</definedName>
    <definedName name="QAEPSOE_9M_2011">#REF!</definedName>
    <definedName name="QAEPSOE_9M_2012">#REF!</definedName>
    <definedName name="QAEPSOE_9M_2013">#REF!</definedName>
    <definedName name="QAEPSOE_9M_2014">#REF!</definedName>
    <definedName name="QAEPSOE_9M_2015">#REF!</definedName>
    <definedName name="QAEPSOE_H1_2005">#REF!</definedName>
    <definedName name="QAEPSOE_H1_2006">#REF!</definedName>
    <definedName name="QAEPSOE_H1_2007">#REF!</definedName>
    <definedName name="QAEPSOE_H1_2008">#REF!</definedName>
    <definedName name="QAEPSOE_H1_2009">#REF!</definedName>
    <definedName name="QAEPSOE_H1_2010">#REF!</definedName>
    <definedName name="QAEPSOE_H1_2011">#REF!</definedName>
    <definedName name="QAEPSOE_H1_2012">#REF!</definedName>
    <definedName name="QAEPSOE_H1_2013">#REF!</definedName>
    <definedName name="QAEPSOE_H1_2014">#REF!</definedName>
    <definedName name="QAEPSOE_H1_2015">#REF!</definedName>
    <definedName name="QAEPSOE_H2_2005">#REF!</definedName>
    <definedName name="QAEPSOE_H2_2006">#REF!</definedName>
    <definedName name="QAEPSOE_H2_2007">#REF!</definedName>
    <definedName name="QAEPSOE_H2_2008">#REF!</definedName>
    <definedName name="QAEPSOE_H2_2009">#REF!</definedName>
    <definedName name="QAEPSOE_H2_2010">#REF!</definedName>
    <definedName name="QAEPSOE_H2_2011">#REF!</definedName>
    <definedName name="QAEPSOE_H2_2012">#REF!</definedName>
    <definedName name="QAEPSOE_H2_2013">#REF!</definedName>
    <definedName name="QAEPSOE_H2_2014">#REF!</definedName>
    <definedName name="QAEPSOE_H2_2015">#REF!</definedName>
    <definedName name="QAEPSOE_Q1_2005">#REF!</definedName>
    <definedName name="QAEPSOE_Q1_2006">#REF!</definedName>
    <definedName name="QAEPSOE_Q1_2007">#REF!</definedName>
    <definedName name="QAEPSOE_Q1_2008">#REF!</definedName>
    <definedName name="QAEPSOE_Q1_2009">#REF!</definedName>
    <definedName name="QAEPSOE_Q1_2010">#REF!</definedName>
    <definedName name="QAEPSOE_Q1_2011">#REF!</definedName>
    <definedName name="QAEPSOE_Q1_2012">#REF!</definedName>
    <definedName name="QAEPSOE_Q1_2013">#REF!</definedName>
    <definedName name="QAEPSOE_Q1_2014">#REF!</definedName>
    <definedName name="QAEPSOE_Q1_2015">#REF!</definedName>
    <definedName name="QAEPSOE_Q2_2005">#REF!</definedName>
    <definedName name="QAEPSOE_Q2_2006">#REF!</definedName>
    <definedName name="QAEPSOE_Q2_2007">#REF!</definedName>
    <definedName name="QAEPSOE_Q2_2008">#REF!</definedName>
    <definedName name="QAEPSOE_Q2_2009">#REF!</definedName>
    <definedName name="QAEPSOE_Q2_2010">#REF!</definedName>
    <definedName name="QAEPSOE_Q2_2011">#REF!</definedName>
    <definedName name="QAEPSOE_Q2_2012">#REF!</definedName>
    <definedName name="QAEPSOE_Q2_2013">#REF!</definedName>
    <definedName name="QAEPSOE_Q2_2014">#REF!</definedName>
    <definedName name="QAEPSOE_Q2_2015">#REF!</definedName>
    <definedName name="QAEPSOE_Q3_2005">#REF!</definedName>
    <definedName name="QAEPSOE_Q3_2006">#REF!</definedName>
    <definedName name="QAEPSOE_Q3_2007">#REF!</definedName>
    <definedName name="QAEPSOE_Q3_2008">#REF!</definedName>
    <definedName name="QAEPSOE_Q3_2009">#REF!</definedName>
    <definedName name="QAEPSOE_Q3_2010">#REF!</definedName>
    <definedName name="QAEPSOE_Q3_2011">#REF!</definedName>
    <definedName name="QAEPSOE_Q3_2012">#REF!</definedName>
    <definedName name="QAEPSOE_Q3_2013">#REF!</definedName>
    <definedName name="QAEPSOE_Q3_2014">#REF!</definedName>
    <definedName name="QAEPSOE_Q3_2015">#REF!</definedName>
    <definedName name="QAEPSOE_Q4_2005">#REF!</definedName>
    <definedName name="QAEPSOE_Q4_2006">#REF!</definedName>
    <definedName name="QAEPSOE_Q4_2007">#REF!</definedName>
    <definedName name="QAEPSOE_Q4_2008">#REF!</definedName>
    <definedName name="QAEPSOE_Q4_2009">#REF!</definedName>
    <definedName name="QAEPSOE_Q4_2010">#REF!</definedName>
    <definedName name="QAEPSOE_Q4_2011">#REF!</definedName>
    <definedName name="QAEPSOE_Q4_2012">#REF!</definedName>
    <definedName name="QAEPSOE_Q4_2013">#REF!</definedName>
    <definedName name="QAEPSOE_Q4_2014">#REF!</definedName>
    <definedName name="QAEPSOE_Q4_2015">#REF!</definedName>
    <definedName name="QAEPSOE_Y1_2005">#REF!</definedName>
    <definedName name="QAEPSOE_Y1_2006">#REF!</definedName>
    <definedName name="QAEPSOE_Y1_2007">#REF!</definedName>
    <definedName name="QAEPSOE_Y1_2008">#REF!</definedName>
    <definedName name="QAEPSOE_Y1_2009">#REF!</definedName>
    <definedName name="QAEPSOE_Y1_2010">#REF!</definedName>
    <definedName name="QAEPSOE_Y1_2011">#REF!</definedName>
    <definedName name="QAEPSOE_Y1_2012">#REF!</definedName>
    <definedName name="QAEPSOE_Y1_2013">#REF!</definedName>
    <definedName name="QAEPSOE_Y1_2014">#REF!</definedName>
    <definedName name="QAEPSOE_Y1_2015">#REF!</definedName>
    <definedName name="QAEPSREP">#REF!</definedName>
    <definedName name="QAEPSREP_9M_2005">#REF!</definedName>
    <definedName name="QAEPSREP_9M_2006">#REF!</definedName>
    <definedName name="QAEPSREP_9M_2007">#REF!</definedName>
    <definedName name="QAEPSREP_9M_2008">#REF!</definedName>
    <definedName name="QAEPSREP_9M_2009">#REF!</definedName>
    <definedName name="QAEPSREP_9M_2010">#REF!</definedName>
    <definedName name="QAEPSREP_9M_2011">#REF!</definedName>
    <definedName name="QAEPSREP_9M_2012">#REF!</definedName>
    <definedName name="QAEPSREP_9M_2013">#REF!</definedName>
    <definedName name="QAEPSREP_9M_2014">#REF!</definedName>
    <definedName name="QAEPSREP_9M_2015">#REF!</definedName>
    <definedName name="QAEPSREP_H1_2005">#REF!</definedName>
    <definedName name="QAEPSREP_H1_2006">#REF!</definedName>
    <definedName name="QAEPSREP_H1_2007">#REF!</definedName>
    <definedName name="QAEPSREP_H1_2008">#REF!</definedName>
    <definedName name="QAEPSREP_H1_2009">#REF!</definedName>
    <definedName name="QAEPSREP_H1_2010">#REF!</definedName>
    <definedName name="QAEPSREP_H1_2011">#REF!</definedName>
    <definedName name="QAEPSREP_H1_2012">#REF!</definedName>
    <definedName name="QAEPSREP_H1_2013">#REF!</definedName>
    <definedName name="QAEPSREP_H1_2014">#REF!</definedName>
    <definedName name="QAEPSREP_H1_2015">#REF!</definedName>
    <definedName name="QAEPSREP_H2_2005">#REF!</definedName>
    <definedName name="QAEPSREP_H2_2006">#REF!</definedName>
    <definedName name="QAEPSREP_H2_2007">#REF!</definedName>
    <definedName name="QAEPSREP_H2_2008">#REF!</definedName>
    <definedName name="QAEPSREP_H2_2009">#REF!</definedName>
    <definedName name="QAEPSREP_H2_2010">#REF!</definedName>
    <definedName name="QAEPSREP_H2_2011">#REF!</definedName>
    <definedName name="QAEPSREP_H2_2012">#REF!</definedName>
    <definedName name="QAEPSREP_H2_2013">#REF!</definedName>
    <definedName name="QAEPSREP_H2_2014">#REF!</definedName>
    <definedName name="QAEPSREP_H2_2015">#REF!</definedName>
    <definedName name="QAEPSREP_Q1_2005">#REF!</definedName>
    <definedName name="QAEPSREP_Q1_2006">#REF!</definedName>
    <definedName name="QAEPSREP_Q1_2007">#REF!</definedName>
    <definedName name="QAEPSREP_Q1_2008">#REF!</definedName>
    <definedName name="QAEPSREP_Q1_2009">#REF!</definedName>
    <definedName name="QAEPSREP_Q1_2010">#REF!</definedName>
    <definedName name="QAEPSREP_Q1_2011">#REF!</definedName>
    <definedName name="QAEPSREP_Q1_2012">#REF!</definedName>
    <definedName name="QAEPSREP_Q1_2013">#REF!</definedName>
    <definedName name="QAEPSREP_Q1_2014">#REF!</definedName>
    <definedName name="QAEPSREP_Q1_2015">#REF!</definedName>
    <definedName name="QAEPSREP_Q2_2005">#REF!</definedName>
    <definedName name="QAEPSREP_Q2_2006">#REF!</definedName>
    <definedName name="QAEPSREP_Q2_2007">#REF!</definedName>
    <definedName name="QAEPSREP_Q2_2008">#REF!</definedName>
    <definedName name="QAEPSREP_Q2_2009">#REF!</definedName>
    <definedName name="QAEPSREP_Q2_2010">#REF!</definedName>
    <definedName name="QAEPSREP_Q2_2011">#REF!</definedName>
    <definedName name="QAEPSREP_Q2_2012">#REF!</definedName>
    <definedName name="QAEPSREP_Q2_2013">#REF!</definedName>
    <definedName name="QAEPSREP_Q2_2014">#REF!</definedName>
    <definedName name="QAEPSREP_Q2_2015">#REF!</definedName>
    <definedName name="QAEPSREP_Q3_2005">#REF!</definedName>
    <definedName name="QAEPSREP_Q3_2006">#REF!</definedName>
    <definedName name="QAEPSREP_Q3_2007">#REF!</definedName>
    <definedName name="QAEPSREP_Q3_2008">#REF!</definedName>
    <definedName name="QAEPSREP_Q3_2009">#REF!</definedName>
    <definedName name="QAEPSREP_Q3_2010">#REF!</definedName>
    <definedName name="QAEPSREP_Q3_2011">#REF!</definedName>
    <definedName name="QAEPSREP_Q3_2012">#REF!</definedName>
    <definedName name="QAEPSREP_Q3_2013">#REF!</definedName>
    <definedName name="QAEPSREP_Q3_2014">#REF!</definedName>
    <definedName name="QAEPSREP_Q3_2015">#REF!</definedName>
    <definedName name="QAEPSREP_Q4_2005">#REF!</definedName>
    <definedName name="QAEPSREP_Q4_2006">#REF!</definedName>
    <definedName name="QAEPSREP_Q4_2007">#REF!</definedName>
    <definedName name="QAEPSREP_Q4_2008">#REF!</definedName>
    <definedName name="QAEPSREP_Q4_2009">#REF!</definedName>
    <definedName name="QAEPSREP_Q4_2010">#REF!</definedName>
    <definedName name="QAEPSREP_Q4_2011">#REF!</definedName>
    <definedName name="QAEPSREP_Q4_2012">#REF!</definedName>
    <definedName name="QAEPSREP_Q4_2013">#REF!</definedName>
    <definedName name="QAEPSREP_Q4_2014">#REF!</definedName>
    <definedName name="QAEPSREP_Q4_2015">#REF!</definedName>
    <definedName name="QAEPSREP_Y1_2005">#REF!</definedName>
    <definedName name="QAEPSREP_Y1_2006">#REF!</definedName>
    <definedName name="QAEPSREP_Y1_2007">#REF!</definedName>
    <definedName name="QAEPSREP_Y1_2008">#REF!</definedName>
    <definedName name="QAEPSREP_Y1_2009">#REF!</definedName>
    <definedName name="QAEPSREP_Y1_2010">#REF!</definedName>
    <definedName name="QAEPSREP_Y1_2011">#REF!</definedName>
    <definedName name="QAEPSREP_Y1_2012">#REF!</definedName>
    <definedName name="QAEPSREP_Y1_2013">#REF!</definedName>
    <definedName name="QAEPSREP_Y1_2014">#REF!</definedName>
    <definedName name="QAEPSREP_Y1_2015">#REF!</definedName>
    <definedName name="QAEPSREPPY">#REF!</definedName>
    <definedName name="QAOPPCE">#REF!</definedName>
    <definedName name="QAOPPCE_9M_2005">#REF!</definedName>
    <definedName name="QAOPPCE_9M_2006">#REF!</definedName>
    <definedName name="QAOPPCE_9M_2007">#REF!</definedName>
    <definedName name="QAOPPCE_9M_2008">#REF!</definedName>
    <definedName name="QAOPPCE_9M_2009">#REF!</definedName>
    <definedName name="QAOPPCE_9M_2010">#REF!</definedName>
    <definedName name="QAOPPCE_9M_2011">#REF!</definedName>
    <definedName name="QAOPPCE_9M_2012">#REF!</definedName>
    <definedName name="QAOPPCE_9M_2013">#REF!</definedName>
    <definedName name="QAOPPCE_9M_2014">#REF!</definedName>
    <definedName name="QAOPPCE_9M_2015">#REF!</definedName>
    <definedName name="QAOPPCE_H1_2005">#REF!</definedName>
    <definedName name="QAOPPCE_H1_2006">#REF!</definedName>
    <definedName name="QAOPPCE_H1_2007">#REF!</definedName>
    <definedName name="QAOPPCE_H1_2008">#REF!</definedName>
    <definedName name="QAOPPCE_H1_2009">#REF!</definedName>
    <definedName name="QAOPPCE_H1_2010">#REF!</definedName>
    <definedName name="QAOPPCE_H1_2011">#REF!</definedName>
    <definedName name="QAOPPCE_H1_2012">#REF!</definedName>
    <definedName name="QAOPPCE_H1_2013">#REF!</definedName>
    <definedName name="QAOPPCE_H1_2014">#REF!</definedName>
    <definedName name="QAOPPCE_H1_2015">#REF!</definedName>
    <definedName name="QAOPPCE_H2_2005">#REF!</definedName>
    <definedName name="QAOPPCE_H2_2006">#REF!</definedName>
    <definedName name="QAOPPCE_H2_2007">#REF!</definedName>
    <definedName name="QAOPPCE_H2_2008">#REF!</definedName>
    <definedName name="QAOPPCE_H2_2009">#REF!</definedName>
    <definedName name="QAOPPCE_H2_2010">#REF!</definedName>
    <definedName name="QAOPPCE_H2_2011">#REF!</definedName>
    <definedName name="QAOPPCE_H2_2012">#REF!</definedName>
    <definedName name="QAOPPCE_H2_2013">#REF!</definedName>
    <definedName name="QAOPPCE_H2_2014">#REF!</definedName>
    <definedName name="QAOPPCE_H2_2015">#REF!</definedName>
    <definedName name="QAOPPCE_Q1_2005">#REF!</definedName>
    <definedName name="QAOPPCE_Q1_2006">#REF!</definedName>
    <definedName name="QAOPPCE_Q1_2007">#REF!</definedName>
    <definedName name="QAOPPCE_Q1_2008">#REF!</definedName>
    <definedName name="QAOPPCE_Q1_2009">#REF!</definedName>
    <definedName name="QAOPPCE_Q1_2010">#REF!</definedName>
    <definedName name="QAOPPCE_Q1_2011">#REF!</definedName>
    <definedName name="QAOPPCE_Q1_2012">#REF!</definedName>
    <definedName name="QAOPPCE_Q1_2013">#REF!</definedName>
    <definedName name="QAOPPCE_Q1_2014">#REF!</definedName>
    <definedName name="QAOPPCE_Q1_2015">#REF!</definedName>
    <definedName name="QAOPPCE_Q2_2005">#REF!</definedName>
    <definedName name="QAOPPCE_Q2_2006">#REF!</definedName>
    <definedName name="QAOPPCE_Q2_2007">#REF!</definedName>
    <definedName name="QAOPPCE_Q2_2008">#REF!</definedName>
    <definedName name="QAOPPCE_Q2_2009">#REF!</definedName>
    <definedName name="QAOPPCE_Q2_2010">#REF!</definedName>
    <definedName name="QAOPPCE_Q2_2011">#REF!</definedName>
    <definedName name="QAOPPCE_Q2_2012">#REF!</definedName>
    <definedName name="QAOPPCE_Q2_2013">#REF!</definedName>
    <definedName name="QAOPPCE_Q2_2014">#REF!</definedName>
    <definedName name="QAOPPCE_Q2_2015">#REF!</definedName>
    <definedName name="QAOPPCE_Q3_2005">#REF!</definedName>
    <definedName name="QAOPPCE_Q3_2006">#REF!</definedName>
    <definedName name="QAOPPCE_Q3_2007">#REF!</definedName>
    <definedName name="QAOPPCE_Q3_2008">#REF!</definedName>
    <definedName name="QAOPPCE_Q3_2009">#REF!</definedName>
    <definedName name="QAOPPCE_Q3_2010">#REF!</definedName>
    <definedName name="QAOPPCE_Q3_2011">#REF!</definedName>
    <definedName name="QAOPPCE_Q3_2012">#REF!</definedName>
    <definedName name="QAOPPCE_Q3_2013">#REF!</definedName>
    <definedName name="QAOPPCE_Q3_2014">#REF!</definedName>
    <definedName name="QAOPPCE_Q3_2015">#REF!</definedName>
    <definedName name="QAOPPCE_Q4_2005">#REF!</definedName>
    <definedName name="QAOPPCE_Q4_2006">#REF!</definedName>
    <definedName name="QAOPPCE_Q4_2007">#REF!</definedName>
    <definedName name="QAOPPCE_Q4_2008">#REF!</definedName>
    <definedName name="QAOPPCE_Q4_2009">#REF!</definedName>
    <definedName name="QAOPPCE_Q4_2010">#REF!</definedName>
    <definedName name="QAOPPCE_Q4_2011">#REF!</definedName>
    <definedName name="QAOPPCE_Q4_2012">#REF!</definedName>
    <definedName name="QAOPPCE_Q4_2013">#REF!</definedName>
    <definedName name="QAOPPCE_Q4_2014">#REF!</definedName>
    <definedName name="QAOPPCE_Q4_2015">#REF!</definedName>
    <definedName name="QAOPPCE_Y1_2005">#REF!</definedName>
    <definedName name="QAOPPCE_Y1_2006">#REF!</definedName>
    <definedName name="QAOPPCE_Y1_2007">#REF!</definedName>
    <definedName name="QAOPPCE_Y1_2008">#REF!</definedName>
    <definedName name="QAOPPCE_Y1_2009">#REF!</definedName>
    <definedName name="QAOPPCE_Y1_2010">#REF!</definedName>
    <definedName name="QAOPPCE_Y1_2011">#REF!</definedName>
    <definedName name="QAOPPCE_Y1_2012">#REF!</definedName>
    <definedName name="QAOPPCE_Y1_2013">#REF!</definedName>
    <definedName name="QAOPPCE_Y1_2014">#REF!</definedName>
    <definedName name="QAOPPCE_Y1_2015">#REF!</definedName>
    <definedName name="QAOPPOE">#REF!</definedName>
    <definedName name="QAOPPOE_9M_2005">#REF!</definedName>
    <definedName name="QAOPPOE_9M_2006">#REF!</definedName>
    <definedName name="QAOPPOE_9M_2007">#REF!</definedName>
    <definedName name="QAOPPOE_9M_2008">#REF!</definedName>
    <definedName name="QAOPPOE_9M_2009">#REF!</definedName>
    <definedName name="QAOPPOE_9M_2010">#REF!</definedName>
    <definedName name="QAOPPOE_9M_2011">#REF!</definedName>
    <definedName name="QAOPPOE_9M_2012">#REF!</definedName>
    <definedName name="QAOPPOE_9M_2013">#REF!</definedName>
    <definedName name="QAOPPOE_9M_2014">#REF!</definedName>
    <definedName name="QAOPPOE_9M_2015">#REF!</definedName>
    <definedName name="QAOPPOE_H1_2005">#REF!</definedName>
    <definedName name="QAOPPOE_H1_2006">#REF!</definedName>
    <definedName name="QAOPPOE_H1_2007">#REF!</definedName>
    <definedName name="QAOPPOE_H1_2008">#REF!</definedName>
    <definedName name="QAOPPOE_H1_2009">#REF!</definedName>
    <definedName name="QAOPPOE_H1_2010">#REF!</definedName>
    <definedName name="QAOPPOE_H1_2011">#REF!</definedName>
    <definedName name="QAOPPOE_H1_2012">#REF!</definedName>
    <definedName name="QAOPPOE_H1_2013">#REF!</definedName>
    <definedName name="QAOPPOE_H1_2014">#REF!</definedName>
    <definedName name="QAOPPOE_H1_2015">#REF!</definedName>
    <definedName name="QAOPPOE_H2_2005">#REF!</definedName>
    <definedName name="QAOPPOE_H2_2006">#REF!</definedName>
    <definedName name="QAOPPOE_H2_2007">#REF!</definedName>
    <definedName name="QAOPPOE_H2_2008">#REF!</definedName>
    <definedName name="QAOPPOE_H2_2009">#REF!</definedName>
    <definedName name="QAOPPOE_H2_2010">#REF!</definedName>
    <definedName name="QAOPPOE_H2_2011">#REF!</definedName>
    <definedName name="QAOPPOE_H2_2012">#REF!</definedName>
    <definedName name="QAOPPOE_H2_2013">#REF!</definedName>
    <definedName name="QAOPPOE_H2_2014">#REF!</definedName>
    <definedName name="QAOPPOE_H2_2015">#REF!</definedName>
    <definedName name="QAOPPOE_Q1_2005">#REF!</definedName>
    <definedName name="QAOPPOE_Q1_2006">#REF!</definedName>
    <definedName name="QAOPPOE_Q1_2007">#REF!</definedName>
    <definedName name="QAOPPOE_Q1_2008">#REF!</definedName>
    <definedName name="QAOPPOE_Q1_2009">#REF!</definedName>
    <definedName name="QAOPPOE_Q1_2010">#REF!</definedName>
    <definedName name="QAOPPOE_Q1_2011">#REF!</definedName>
    <definedName name="QAOPPOE_Q1_2012">#REF!</definedName>
    <definedName name="QAOPPOE_Q1_2013">#REF!</definedName>
    <definedName name="QAOPPOE_Q1_2014">#REF!</definedName>
    <definedName name="QAOPPOE_Q1_2015">#REF!</definedName>
    <definedName name="QAOPPOE_Q2_2005">#REF!</definedName>
    <definedName name="QAOPPOE_Q2_2006">#REF!</definedName>
    <definedName name="QAOPPOE_Q2_2007">#REF!</definedName>
    <definedName name="QAOPPOE_Q2_2008">#REF!</definedName>
    <definedName name="QAOPPOE_Q2_2009">#REF!</definedName>
    <definedName name="QAOPPOE_Q2_2010">#REF!</definedName>
    <definedName name="QAOPPOE_Q2_2011">#REF!</definedName>
    <definedName name="QAOPPOE_Q2_2012">#REF!</definedName>
    <definedName name="QAOPPOE_Q2_2013">#REF!</definedName>
    <definedName name="QAOPPOE_Q2_2014">#REF!</definedName>
    <definedName name="QAOPPOE_Q2_2015">#REF!</definedName>
    <definedName name="QAOPPOE_Q3_2005">#REF!</definedName>
    <definedName name="QAOPPOE_Q3_2006">#REF!</definedName>
    <definedName name="QAOPPOE_Q3_2007">#REF!</definedName>
    <definedName name="QAOPPOE_Q3_2008">#REF!</definedName>
    <definedName name="QAOPPOE_Q3_2009">#REF!</definedName>
    <definedName name="QAOPPOE_Q3_2010">#REF!</definedName>
    <definedName name="QAOPPOE_Q3_2011">#REF!</definedName>
    <definedName name="QAOPPOE_Q3_2012">#REF!</definedName>
    <definedName name="QAOPPOE_Q3_2013">#REF!</definedName>
    <definedName name="QAOPPOE_Q3_2014">#REF!</definedName>
    <definedName name="QAOPPOE_Q3_2015">#REF!</definedName>
    <definedName name="QAOPPOE_Q4_2005">#REF!</definedName>
    <definedName name="QAOPPOE_Q4_2006">#REF!</definedName>
    <definedName name="QAOPPOE_Q4_2007">#REF!</definedName>
    <definedName name="QAOPPOE_Q4_2008">#REF!</definedName>
    <definedName name="QAOPPOE_Q4_2009">#REF!</definedName>
    <definedName name="QAOPPOE_Q4_2010">#REF!</definedName>
    <definedName name="QAOPPOE_Q4_2011">#REF!</definedName>
    <definedName name="QAOPPOE_Q4_2012">#REF!</definedName>
    <definedName name="QAOPPOE_Q4_2013">#REF!</definedName>
    <definedName name="QAOPPOE_Q4_2014">#REF!</definedName>
    <definedName name="QAOPPOE_Q4_2015">#REF!</definedName>
    <definedName name="QAOPPOE_Y1_2005">#REF!</definedName>
    <definedName name="QAOPPOE_Y1_2006">#REF!</definedName>
    <definedName name="QAOPPOE_Y1_2007">#REF!</definedName>
    <definedName name="QAOPPOE_Y1_2008">#REF!</definedName>
    <definedName name="QAOPPOE_Y1_2009">#REF!</definedName>
    <definedName name="QAOPPOE_Y1_2010">#REF!</definedName>
    <definedName name="QAOPPOE_Y1_2011">#REF!</definedName>
    <definedName name="QAOPPOE_Y1_2012">#REF!</definedName>
    <definedName name="QAOPPOE_Y1_2013">#REF!</definedName>
    <definedName name="QAOPPOE_Y1_2014">#REF!</definedName>
    <definedName name="QAOPPOE_Y1_2015">#REF!</definedName>
    <definedName name="QAOPPREP">#REF!</definedName>
    <definedName name="QAOPPREP_9M_2005">#REF!</definedName>
    <definedName name="QAOPPREP_9M_2006">#REF!</definedName>
    <definedName name="QAOPPREP_9M_2007">#REF!</definedName>
    <definedName name="QAOPPREP_9M_2008">#REF!</definedName>
    <definedName name="QAOPPREP_9M_2009">#REF!</definedName>
    <definedName name="QAOPPREP_9M_2010">#REF!</definedName>
    <definedName name="QAOPPREP_9M_2011">#REF!</definedName>
    <definedName name="QAOPPREP_9M_2012">#REF!</definedName>
    <definedName name="QAOPPREP_9M_2013">#REF!</definedName>
    <definedName name="QAOPPREP_9M_2014">#REF!</definedName>
    <definedName name="QAOPPREP_9M_2015">#REF!</definedName>
    <definedName name="QAOPPREP_H1_2005">#REF!</definedName>
    <definedName name="QAOPPREP_H1_2006">#REF!</definedName>
    <definedName name="QAOPPREP_H1_2007">#REF!</definedName>
    <definedName name="QAOPPREP_H1_2008">#REF!</definedName>
    <definedName name="QAOPPREP_H1_2009">#REF!</definedName>
    <definedName name="QAOPPREP_H1_2010">#REF!</definedName>
    <definedName name="QAOPPREP_H1_2011">#REF!</definedName>
    <definedName name="QAOPPREP_H1_2012">#REF!</definedName>
    <definedName name="QAOPPREP_H1_2013">#REF!</definedName>
    <definedName name="QAOPPREP_H1_2014">#REF!</definedName>
    <definedName name="QAOPPREP_H1_2015">#REF!</definedName>
    <definedName name="QAOPPREP_H2_2005">#REF!</definedName>
    <definedName name="QAOPPREP_H2_2006">#REF!</definedName>
    <definedName name="QAOPPREP_H2_2007">#REF!</definedName>
    <definedName name="QAOPPREP_H2_2008">#REF!</definedName>
    <definedName name="QAOPPREP_H2_2009">#REF!</definedName>
    <definedName name="QAOPPREP_H2_2010">#REF!</definedName>
    <definedName name="QAOPPREP_H2_2011">#REF!</definedName>
    <definedName name="QAOPPREP_H2_2012">#REF!</definedName>
    <definedName name="QAOPPREP_H2_2013">#REF!</definedName>
    <definedName name="QAOPPREP_H2_2014">#REF!</definedName>
    <definedName name="QAOPPREP_H2_2015">#REF!</definedName>
    <definedName name="QAOPPREP_Q1_2005">#REF!</definedName>
    <definedName name="QAOPPREP_Q1_2006">#REF!</definedName>
    <definedName name="QAOPPREP_Q1_2007">#REF!</definedName>
    <definedName name="QAOPPREP_Q1_2008">#REF!</definedName>
    <definedName name="QAOPPREP_Q1_2009">#REF!</definedName>
    <definedName name="QAOPPREP_Q1_2010">#REF!</definedName>
    <definedName name="QAOPPREP_Q1_2011">#REF!</definedName>
    <definedName name="QAOPPREP_Q1_2012">#REF!</definedName>
    <definedName name="QAOPPREP_Q1_2013">#REF!</definedName>
    <definedName name="QAOPPREP_Q1_2014">#REF!</definedName>
    <definedName name="QAOPPREP_Q1_2015">#REF!</definedName>
    <definedName name="QAOPPREP_Q2_2005">#REF!</definedName>
    <definedName name="QAOPPREP_Q2_2006">#REF!</definedName>
    <definedName name="QAOPPREP_Q2_2007">#REF!</definedName>
    <definedName name="QAOPPREP_Q2_2008">#REF!</definedName>
    <definedName name="QAOPPREP_Q2_2009">#REF!</definedName>
    <definedName name="QAOPPREP_Q2_2010">#REF!</definedName>
    <definedName name="QAOPPREP_Q2_2011">#REF!</definedName>
    <definedName name="QAOPPREP_Q2_2012">#REF!</definedName>
    <definedName name="QAOPPREP_Q2_2013">#REF!</definedName>
    <definedName name="QAOPPREP_Q2_2014">#REF!</definedName>
    <definedName name="QAOPPREP_Q2_2015">#REF!</definedName>
    <definedName name="QAOPPREP_Q3_2005">#REF!</definedName>
    <definedName name="QAOPPREP_Q3_2006">#REF!</definedName>
    <definedName name="QAOPPREP_Q3_2007">#REF!</definedName>
    <definedName name="QAOPPREP_Q3_2008">#REF!</definedName>
    <definedName name="QAOPPREP_Q3_2009">#REF!</definedName>
    <definedName name="QAOPPREP_Q3_2010">#REF!</definedName>
    <definedName name="QAOPPREP_Q3_2011">#REF!</definedName>
    <definedName name="QAOPPREP_Q3_2012">#REF!</definedName>
    <definedName name="QAOPPREP_Q3_2013">#REF!</definedName>
    <definedName name="QAOPPREP_Q3_2014">#REF!</definedName>
    <definedName name="QAOPPREP_Q3_2015">#REF!</definedName>
    <definedName name="QAOPPREP_Q4_2005">#REF!</definedName>
    <definedName name="QAOPPREP_Q4_2006">#REF!</definedName>
    <definedName name="QAOPPREP_Q4_2007">#REF!</definedName>
    <definedName name="QAOPPREP_Q4_2008">#REF!</definedName>
    <definedName name="QAOPPREP_Q4_2009">#REF!</definedName>
    <definedName name="QAOPPREP_Q4_2010">#REF!</definedName>
    <definedName name="QAOPPREP_Q4_2011">#REF!</definedName>
    <definedName name="QAOPPREP_Q4_2012">#REF!</definedName>
    <definedName name="QAOPPREP_Q4_2013">#REF!</definedName>
    <definedName name="QAOPPREP_Q4_2014">#REF!</definedName>
    <definedName name="QAOPPREP_Q4_2015">#REF!</definedName>
    <definedName name="QAOPPREP_Y1_2005">#REF!</definedName>
    <definedName name="QAOPPREP_Y1_2006">#REF!</definedName>
    <definedName name="QAOPPREP_Y1_2007">#REF!</definedName>
    <definedName name="QAOPPREP_Y1_2008">#REF!</definedName>
    <definedName name="QAOPPREP_Y1_2009">#REF!</definedName>
    <definedName name="QAOPPREP_Y1_2010">#REF!</definedName>
    <definedName name="QAOPPREP_Y1_2011">#REF!</definedName>
    <definedName name="QAOPPREP_Y1_2012">#REF!</definedName>
    <definedName name="QAOPPREP_Y1_2013">#REF!</definedName>
    <definedName name="QAOPPREP_Y1_2014">#REF!</definedName>
    <definedName name="QAOPPREP_Y1_2015">#REF!</definedName>
    <definedName name="QAOPPREPPY">#REF!</definedName>
    <definedName name="QASALESCE">#REF!</definedName>
    <definedName name="QASALESCE_9M_2005">#REF!</definedName>
    <definedName name="QASALESCE_9M_2006">#REF!</definedName>
    <definedName name="QASALESCE_9M_2007">#REF!</definedName>
    <definedName name="QASALESCE_9M_2008">#REF!</definedName>
    <definedName name="QASALESCE_9M_2009">#REF!</definedName>
    <definedName name="QASALESCE_9M_2010">#REF!</definedName>
    <definedName name="QASALESCE_9M_2011">#REF!</definedName>
    <definedName name="QASALESCE_9M_2012">#REF!</definedName>
    <definedName name="QASALESCE_9M_2013">#REF!</definedName>
    <definedName name="QASALESCE_9M_2014">#REF!</definedName>
    <definedName name="QASALESCE_9M_2015">#REF!</definedName>
    <definedName name="QASALESCE_H1_2005">#REF!</definedName>
    <definedName name="QASALESCE_H1_2006">#REF!</definedName>
    <definedName name="QASALESCE_H1_2007">#REF!</definedName>
    <definedName name="QASALESCE_H1_2008">#REF!</definedName>
    <definedName name="QASALESCE_H1_2009">#REF!</definedName>
    <definedName name="QASALESCE_H1_2010">#REF!</definedName>
    <definedName name="QASALESCE_H1_2011">#REF!</definedName>
    <definedName name="QASALESCE_H1_2012">#REF!</definedName>
    <definedName name="QASALESCE_H1_2013">#REF!</definedName>
    <definedName name="QASALESCE_H1_2014">#REF!</definedName>
    <definedName name="QASALESCE_H1_2015">#REF!</definedName>
    <definedName name="QASALESCE_H2_2005">#REF!</definedName>
    <definedName name="QASALESCE_H2_2006">#REF!</definedName>
    <definedName name="QASALESCE_H2_2007">#REF!</definedName>
    <definedName name="QASALESCE_H2_2008">#REF!</definedName>
    <definedName name="QASALESCE_H2_2009">#REF!</definedName>
    <definedName name="QASALESCE_H2_2010">#REF!</definedName>
    <definedName name="QASALESCE_H2_2011">#REF!</definedName>
    <definedName name="QASALESCE_H2_2012">#REF!</definedName>
    <definedName name="QASALESCE_H2_2013">#REF!</definedName>
    <definedName name="QASALESCE_H2_2014">#REF!</definedName>
    <definedName name="QASALESCE_H2_2015">#REF!</definedName>
    <definedName name="QASALESCE_Q1_2005">#REF!</definedName>
    <definedName name="QASALESCE_Q1_2006">#REF!</definedName>
    <definedName name="QASALESCE_Q1_2007">#REF!</definedName>
    <definedName name="QASALESCE_Q1_2008">#REF!</definedName>
    <definedName name="QASALESCE_Q1_2009">#REF!</definedName>
    <definedName name="QASALESCE_Q1_2010">#REF!</definedName>
    <definedName name="QASALESCE_Q1_2011">#REF!</definedName>
    <definedName name="QASALESCE_Q1_2012">#REF!</definedName>
    <definedName name="QASALESCE_Q1_2013">#REF!</definedName>
    <definedName name="QASALESCE_Q1_2014">#REF!</definedName>
    <definedName name="QASALESCE_Q1_2015">#REF!</definedName>
    <definedName name="QASALESCE_Q2_2005">#REF!</definedName>
    <definedName name="QASALESCE_Q2_2006">#REF!</definedName>
    <definedName name="QASALESCE_Q2_2007">#REF!</definedName>
    <definedName name="QASALESCE_Q2_2008">#REF!</definedName>
    <definedName name="QASALESCE_Q2_2009">#REF!</definedName>
    <definedName name="QASALESCE_Q2_2010">#REF!</definedName>
    <definedName name="QASALESCE_Q2_2011">#REF!</definedName>
    <definedName name="QASALESCE_Q2_2012">#REF!</definedName>
    <definedName name="QASALESCE_Q2_2013">#REF!</definedName>
    <definedName name="QASALESCE_Q2_2014">#REF!</definedName>
    <definedName name="QASALESCE_Q2_2015">#REF!</definedName>
    <definedName name="QASALESCE_Q3_2005">#REF!</definedName>
    <definedName name="QASALESCE_Q3_2006">#REF!</definedName>
    <definedName name="QASALESCE_Q3_2007">#REF!</definedName>
    <definedName name="QASALESCE_Q3_2008">#REF!</definedName>
    <definedName name="QASALESCE_Q3_2009">#REF!</definedName>
    <definedName name="QASALESCE_Q3_2010">#REF!</definedName>
    <definedName name="QASALESCE_Q3_2011">#REF!</definedName>
    <definedName name="QASALESCE_Q3_2012">#REF!</definedName>
    <definedName name="QASALESCE_Q3_2013">#REF!</definedName>
    <definedName name="QASALESCE_Q3_2014">#REF!</definedName>
    <definedName name="QASALESCE_Q3_2015">#REF!</definedName>
    <definedName name="QASALESCE_Q4_2005">#REF!</definedName>
    <definedName name="QASALESCE_Q4_2006">#REF!</definedName>
    <definedName name="QASALESCE_Q4_2007">#REF!</definedName>
    <definedName name="QASALESCE_Q4_2008">#REF!</definedName>
    <definedName name="QASALESCE_Q4_2009">#REF!</definedName>
    <definedName name="QASALESCE_Q4_2010">#REF!</definedName>
    <definedName name="QASALESCE_Q4_2011">#REF!</definedName>
    <definedName name="QASALESCE_Q4_2012">#REF!</definedName>
    <definedName name="QASALESCE_Q4_2013">#REF!</definedName>
    <definedName name="QASALESCE_Q4_2014">#REF!</definedName>
    <definedName name="QASALESCE_Q4_2015">#REF!</definedName>
    <definedName name="QASALESCE_Y1_2005">#REF!</definedName>
    <definedName name="QASALESCE_Y1_2006">#REF!</definedName>
    <definedName name="QASALESCE_Y1_2007">#REF!</definedName>
    <definedName name="QASALESCE_Y1_2008">#REF!</definedName>
    <definedName name="QASALESCE_Y1_2009">#REF!</definedName>
    <definedName name="QASALESCE_Y1_2010">#REF!</definedName>
    <definedName name="QASALESCE_Y1_2011">#REF!</definedName>
    <definedName name="QASALESCE_Y1_2012">#REF!</definedName>
    <definedName name="QASALESCE_Y1_2013">#REF!</definedName>
    <definedName name="QASALESCE_Y1_2014">#REF!</definedName>
    <definedName name="QASALESCE_Y1_2015">#REF!</definedName>
    <definedName name="QASALESOE">#REF!</definedName>
    <definedName name="QASALESOE_9M_2005">#REF!</definedName>
    <definedName name="QASALESOE_9M_2006">#REF!</definedName>
    <definedName name="QASALESOE_9M_2007">#REF!</definedName>
    <definedName name="QASALESOE_9M_2008">#REF!</definedName>
    <definedName name="QASALESOE_9M_2009">#REF!</definedName>
    <definedName name="QASALESOE_9M_2010">#REF!</definedName>
    <definedName name="QASALESOE_9M_2011">#REF!</definedName>
    <definedName name="QASALESOE_9M_2012">#REF!</definedName>
    <definedName name="QASALESOE_9M_2013">#REF!</definedName>
    <definedName name="QASALESOE_9M_2014">#REF!</definedName>
    <definedName name="QASALESOE_9M_2015">#REF!</definedName>
    <definedName name="QASALESOE_H1_2005">#REF!</definedName>
    <definedName name="QASALESOE_H1_2006">#REF!</definedName>
    <definedName name="QASALESOE_H1_2007">#REF!</definedName>
    <definedName name="QASALESOE_H1_2008">#REF!</definedName>
    <definedName name="QASALESOE_H1_2009">#REF!</definedName>
    <definedName name="QASALESOE_H1_2010">#REF!</definedName>
    <definedName name="QASALESOE_H1_2011">#REF!</definedName>
    <definedName name="QASALESOE_H1_2012">#REF!</definedName>
    <definedName name="QASALESOE_H1_2013">#REF!</definedName>
    <definedName name="QASALESOE_H1_2014">#REF!</definedName>
    <definedName name="QASALESOE_H1_2015">#REF!</definedName>
    <definedName name="QASALESOE_H2_2005">#REF!</definedName>
    <definedName name="QASALESOE_H2_2006">#REF!</definedName>
    <definedName name="QASALESOE_H2_2007">#REF!</definedName>
    <definedName name="QASALESOE_H2_2008">#REF!</definedName>
    <definedName name="QASALESOE_H2_2009">#REF!</definedName>
    <definedName name="QASALESOE_H2_2010">#REF!</definedName>
    <definedName name="QASALESOE_H2_2011">#REF!</definedName>
    <definedName name="QASALESOE_H2_2012">#REF!</definedName>
    <definedName name="QASALESOE_H2_2013">#REF!</definedName>
    <definedName name="QASALESOE_H2_2014">#REF!</definedName>
    <definedName name="QASALESOE_H2_2015">#REF!</definedName>
    <definedName name="QASALESOE_Q1_2005">#REF!</definedName>
    <definedName name="QASALESOE_Q1_2006">#REF!</definedName>
    <definedName name="QASALESOE_Q1_2007">#REF!</definedName>
    <definedName name="QASALESOE_Q1_2008">#REF!</definedName>
    <definedName name="QASALESOE_Q1_2009">#REF!</definedName>
    <definedName name="QASALESOE_Q1_2010">#REF!</definedName>
    <definedName name="QASALESOE_Q1_2011">#REF!</definedName>
    <definedName name="QASALESOE_Q1_2012">#REF!</definedName>
    <definedName name="QASALESOE_Q1_2013">#REF!</definedName>
    <definedName name="QASALESOE_Q1_2014">#REF!</definedName>
    <definedName name="QASALESOE_Q1_2015">#REF!</definedName>
    <definedName name="QASALESOE_Q2_2005">#REF!</definedName>
    <definedName name="QASALESOE_Q2_2006">#REF!</definedName>
    <definedName name="QASALESOE_Q2_2007">#REF!</definedName>
    <definedName name="QASALESOE_Q2_2008">#REF!</definedName>
    <definedName name="QASALESOE_Q2_2009">#REF!</definedName>
    <definedName name="QASALESOE_Q2_2010">#REF!</definedName>
    <definedName name="QASALESOE_Q2_2011">#REF!</definedName>
    <definedName name="QASALESOE_Q2_2012">#REF!</definedName>
    <definedName name="QASALESOE_Q2_2013">#REF!</definedName>
    <definedName name="QASALESOE_Q2_2014">#REF!</definedName>
    <definedName name="QASALESOE_Q2_2015">#REF!</definedName>
    <definedName name="QASALESOE_Q3_2005">#REF!</definedName>
    <definedName name="QASALESOE_Q3_2006">#REF!</definedName>
    <definedName name="QASALESOE_Q3_2007">#REF!</definedName>
    <definedName name="QASALESOE_Q3_2008">#REF!</definedName>
    <definedName name="QASALESOE_Q3_2009">#REF!</definedName>
    <definedName name="QASALESOE_Q3_2010">#REF!</definedName>
    <definedName name="QASALESOE_Q3_2011">#REF!</definedName>
    <definedName name="QASALESOE_Q3_2012">#REF!</definedName>
    <definedName name="QASALESOE_Q3_2013">#REF!</definedName>
    <definedName name="QASALESOE_Q3_2014">#REF!</definedName>
    <definedName name="QASALESOE_Q3_2015">#REF!</definedName>
    <definedName name="QASALESOE_Q4_2005">#REF!</definedName>
    <definedName name="QASALESOE_Q4_2006">#REF!</definedName>
    <definedName name="QASALESOE_Q4_2007">#REF!</definedName>
    <definedName name="QASALESOE_Q4_2008">#REF!</definedName>
    <definedName name="QASALESOE_Q4_2009">#REF!</definedName>
    <definedName name="QASALESOE_Q4_2010">#REF!</definedName>
    <definedName name="QASALESOE_Q4_2011">#REF!</definedName>
    <definedName name="QASALESOE_Q4_2012">#REF!</definedName>
    <definedName name="QASALESOE_Q4_2013">#REF!</definedName>
    <definedName name="QASALESOE_Q4_2014">#REF!</definedName>
    <definedName name="QASALESOE_Q4_2015">#REF!</definedName>
    <definedName name="QASALESOE_Y1_2005">#REF!</definedName>
    <definedName name="QASALESOE_Y1_2006">#REF!</definedName>
    <definedName name="QASALESOE_Y1_2007">#REF!</definedName>
    <definedName name="QASALESOE_Y1_2008">#REF!</definedName>
    <definedName name="QASALESOE_Y1_2009">#REF!</definedName>
    <definedName name="QASALESOE_Y1_2010">#REF!</definedName>
    <definedName name="QASALESOE_Y1_2011">#REF!</definedName>
    <definedName name="QASALESOE_Y1_2012">#REF!</definedName>
    <definedName name="QASALESOE_Y1_2013">#REF!</definedName>
    <definedName name="QASALESOE_Y1_2014">#REF!</definedName>
    <definedName name="QASALESOE_Y1_2015">#REF!</definedName>
    <definedName name="QASALESREP">#REF!</definedName>
    <definedName name="QASALESREP_9M_2005">#REF!</definedName>
    <definedName name="QASALESREP_9M_2006">#REF!</definedName>
    <definedName name="QASALESREP_9M_2007">#REF!</definedName>
    <definedName name="QASALESREP_9M_2008">#REF!</definedName>
    <definedName name="QASALESREP_9M_2009">#REF!</definedName>
    <definedName name="QASALESREP_9M_2010">#REF!</definedName>
    <definedName name="QASALESREP_9M_2011">#REF!</definedName>
    <definedName name="QASALESREP_9M_2012">#REF!</definedName>
    <definedName name="QASALESREP_9M_2013">#REF!</definedName>
    <definedName name="QASALESREP_9M_2014">#REF!</definedName>
    <definedName name="QASALESREP_9M_2015">#REF!</definedName>
    <definedName name="QASALESREP_H1_2005">#REF!</definedName>
    <definedName name="QASALESREP_H1_2006">#REF!</definedName>
    <definedName name="QASALESREP_H1_2007">#REF!</definedName>
    <definedName name="QASALESREP_H1_2008">#REF!</definedName>
    <definedName name="QASALESREP_H1_2009">#REF!</definedName>
    <definedName name="QASALESREP_H1_2010">#REF!</definedName>
    <definedName name="QASALESREP_H1_2011">#REF!</definedName>
    <definedName name="QASALESREP_H1_2012">#REF!</definedName>
    <definedName name="QASALESREP_H1_2013">#REF!</definedName>
    <definedName name="QASALESREP_H1_2014">#REF!</definedName>
    <definedName name="QASALESREP_H1_2015">#REF!</definedName>
    <definedName name="QASALESREP_H2_2005">#REF!</definedName>
    <definedName name="QASALESREP_H2_2006">#REF!</definedName>
    <definedName name="QASALESREP_H2_2007">#REF!</definedName>
    <definedName name="QASALESREP_H2_2008">#REF!</definedName>
    <definedName name="QASALESREP_H2_2009">#REF!</definedName>
    <definedName name="QASALESREP_H2_2010">#REF!</definedName>
    <definedName name="QASALESREP_H2_2011">#REF!</definedName>
    <definedName name="QASALESREP_H2_2012">#REF!</definedName>
    <definedName name="QASALESREP_H2_2013">#REF!</definedName>
    <definedName name="QASALESREP_H2_2014">#REF!</definedName>
    <definedName name="QASALESREP_H2_2015">#REF!</definedName>
    <definedName name="QASALESREP_Q1_2005">#REF!</definedName>
    <definedName name="QASALESREP_Q1_2006">#REF!</definedName>
    <definedName name="QASALESREP_Q1_2007">#REF!</definedName>
    <definedName name="QASALESREP_Q1_2008">#REF!</definedName>
    <definedName name="QASALESREP_Q1_2009">#REF!</definedName>
    <definedName name="QASALESREP_Q1_2010">#REF!</definedName>
    <definedName name="QASALESREP_Q1_2011">#REF!</definedName>
    <definedName name="QASALESREP_Q1_2012">#REF!</definedName>
    <definedName name="QASALESREP_Q1_2013">#REF!</definedName>
    <definedName name="QASALESREP_Q1_2014">#REF!</definedName>
    <definedName name="QASALESREP_Q1_2015">#REF!</definedName>
    <definedName name="QASALESREP_Q2_2005">#REF!</definedName>
    <definedName name="QASALESREP_Q2_2006">#REF!</definedName>
    <definedName name="QASALESREP_Q2_2007">#REF!</definedName>
    <definedName name="QASALESREP_Q2_2008">#REF!</definedName>
    <definedName name="QASALESREP_Q2_2009">#REF!</definedName>
    <definedName name="QASALESREP_Q2_2010">#REF!</definedName>
    <definedName name="QASALESREP_Q2_2011">#REF!</definedName>
    <definedName name="QASALESREP_Q2_2012">#REF!</definedName>
    <definedName name="QASALESREP_Q2_2013">#REF!</definedName>
    <definedName name="QASALESREP_Q2_2014">#REF!</definedName>
    <definedName name="QASALESREP_Q2_2015">#REF!</definedName>
    <definedName name="QASALESREP_Q3_2005">#REF!</definedName>
    <definedName name="QASALESREP_Q3_2006">#REF!</definedName>
    <definedName name="QASALESREP_Q3_2007">#REF!</definedName>
    <definedName name="QASALESREP_Q3_2008">#REF!</definedName>
    <definedName name="QASALESREP_Q3_2009">#REF!</definedName>
    <definedName name="QASALESREP_Q3_2010">#REF!</definedName>
    <definedName name="QASALESREP_Q3_2011">#REF!</definedName>
    <definedName name="QASALESREP_Q3_2012">#REF!</definedName>
    <definedName name="QASALESREP_Q3_2013">#REF!</definedName>
    <definedName name="QASALESREP_Q3_2014">#REF!</definedName>
    <definedName name="QASALESREP_Q3_2015">#REF!</definedName>
    <definedName name="QASALESREP_Q4_2005">#REF!</definedName>
    <definedName name="QASALESREP_Q4_2006">#REF!</definedName>
    <definedName name="QASALESREP_Q4_2007">#REF!</definedName>
    <definedName name="QASALESREP_Q4_2008">#REF!</definedName>
    <definedName name="QASALESREP_Q4_2009">#REF!</definedName>
    <definedName name="QASALESREP_Q4_2010">#REF!</definedName>
    <definedName name="QASALESREP_Q4_2011">#REF!</definedName>
    <definedName name="QASALESREP_Q4_2012">#REF!</definedName>
    <definedName name="QASALESREP_Q4_2013">#REF!</definedName>
    <definedName name="QASALESREP_Q4_2014">#REF!</definedName>
    <definedName name="QASALESREP_Q4_2015">#REF!</definedName>
    <definedName name="QASALESREP_Y1_2005">#REF!</definedName>
    <definedName name="QASALESREP_Y1_2006">#REF!</definedName>
    <definedName name="QASALESREP_Y1_2007">#REF!</definedName>
    <definedName name="QASALESREP_Y1_2008">#REF!</definedName>
    <definedName name="QASALESREP_Y1_2009">#REF!</definedName>
    <definedName name="QASALESREP_Y1_2010">#REF!</definedName>
    <definedName name="QASALESREP_Y1_2011">#REF!</definedName>
    <definedName name="QASALESREP_Y1_2012">#REF!</definedName>
    <definedName name="QASALESREP_Y1_2013">#REF!</definedName>
    <definedName name="QASALESREP_Y1_2014">#REF!</definedName>
    <definedName name="QASALESREP_Y1_2015">#REF!</definedName>
    <definedName name="QASALESREPPY">#REF!</definedName>
    <definedName name="QASampling">#REF!</definedName>
    <definedName name="QATech">#REF!</definedName>
    <definedName name="QATechLA">#REF!</definedName>
    <definedName name="qb">#N/A</definedName>
    <definedName name="qc">#N/A</definedName>
    <definedName name="QCStaff">#REF!</definedName>
    <definedName name="QCTime">#REF!</definedName>
    <definedName name="qd">#N/A</definedName>
    <definedName name="QDATE">#REF!</definedName>
    <definedName name="QDATE_9M_2005">#REF!</definedName>
    <definedName name="QDATE_9M_2006">#REF!</definedName>
    <definedName name="QDATE_9M_2007">#REF!</definedName>
    <definedName name="QDATE_9M_2008">#REF!</definedName>
    <definedName name="QDATE_9M_2009">#REF!</definedName>
    <definedName name="QDATE_9M_2010">#REF!</definedName>
    <definedName name="QDATE_9M_2011">#REF!</definedName>
    <definedName name="QDATE_9M_2012">#REF!</definedName>
    <definedName name="QDATE_9M_2013">#REF!</definedName>
    <definedName name="QDATE_9M_2014">#REF!</definedName>
    <definedName name="QDATE_9M_2015">#REF!</definedName>
    <definedName name="QDATE_H1_2005">#REF!</definedName>
    <definedName name="QDATE_H1_2006">#REF!</definedName>
    <definedName name="QDATE_H1_2007">#REF!</definedName>
    <definedName name="QDATE_H1_2008">#REF!</definedName>
    <definedName name="QDATE_H1_2009">#REF!</definedName>
    <definedName name="QDATE_H1_2010">#REF!</definedName>
    <definedName name="QDATE_H1_2011">#REF!</definedName>
    <definedName name="QDATE_H1_2012">#REF!</definedName>
    <definedName name="QDATE_H1_2013">#REF!</definedName>
    <definedName name="QDATE_H1_2014">#REF!</definedName>
    <definedName name="QDATE_H1_2015">#REF!</definedName>
    <definedName name="QDATE_H2_2005">#REF!</definedName>
    <definedName name="QDATE_H2_2006">#REF!</definedName>
    <definedName name="QDATE_H2_2007">#REF!</definedName>
    <definedName name="QDATE_H2_2008">#REF!</definedName>
    <definedName name="QDATE_H2_2009">#REF!</definedName>
    <definedName name="QDATE_H2_2010">#REF!</definedName>
    <definedName name="QDATE_H2_2011">#REF!</definedName>
    <definedName name="QDATE_H2_2012">#REF!</definedName>
    <definedName name="QDATE_H2_2013">#REF!</definedName>
    <definedName name="QDATE_H2_2014">#REF!</definedName>
    <definedName name="QDATE_H2_2015">#REF!</definedName>
    <definedName name="QDATE_Q1_2005">#REF!</definedName>
    <definedName name="QDATE_Q1_2006">#REF!</definedName>
    <definedName name="QDATE_Q1_2007">#REF!</definedName>
    <definedName name="QDATE_Q1_2008">#REF!</definedName>
    <definedName name="QDATE_Q1_2009">#REF!</definedName>
    <definedName name="QDATE_Q1_2010">#REF!</definedName>
    <definedName name="QDATE_Q1_2011">#REF!</definedName>
    <definedName name="QDATE_Q1_2012">#REF!</definedName>
    <definedName name="QDATE_Q1_2013">#REF!</definedName>
    <definedName name="QDATE_Q1_2014">#REF!</definedName>
    <definedName name="QDATE_Q1_2015">#REF!</definedName>
    <definedName name="QDATE_Q2_2005">#REF!</definedName>
    <definedName name="QDATE_Q2_2006">#REF!</definedName>
    <definedName name="QDATE_Q2_2007">#REF!</definedName>
    <definedName name="QDATE_Q2_2008">#REF!</definedName>
    <definedName name="QDATE_Q2_2009">#REF!</definedName>
    <definedName name="QDATE_Q2_2010">#REF!</definedName>
    <definedName name="QDATE_Q2_2011">#REF!</definedName>
    <definedName name="QDATE_Q2_2012">#REF!</definedName>
    <definedName name="QDATE_Q2_2013">#REF!</definedName>
    <definedName name="QDATE_Q2_2014">#REF!</definedName>
    <definedName name="QDATE_Q2_2015">#REF!</definedName>
    <definedName name="QDATE_Q3_2005">#REF!</definedName>
    <definedName name="QDATE_Q3_2006">#REF!</definedName>
    <definedName name="QDATE_Q3_2007">#REF!</definedName>
    <definedName name="QDATE_Q3_2008">#REF!</definedName>
    <definedName name="QDATE_Q3_2009">#REF!</definedName>
    <definedName name="QDATE_Q3_2010">#REF!</definedName>
    <definedName name="QDATE_Q3_2011">#REF!</definedName>
    <definedName name="QDATE_Q3_2012">#REF!</definedName>
    <definedName name="QDATE_Q3_2013">#REF!</definedName>
    <definedName name="QDATE_Q3_2014">#REF!</definedName>
    <definedName name="QDATE_Q3_2015">#REF!</definedName>
    <definedName name="QDATE_Q4_2005">#REF!</definedName>
    <definedName name="QDATE_Q4_2006">#REF!</definedName>
    <definedName name="QDATE_Q4_2007">#REF!</definedName>
    <definedName name="QDATE_Q4_2008">#REF!</definedName>
    <definedName name="QDATE_Q4_2009">#REF!</definedName>
    <definedName name="QDATE_Q4_2010">#REF!</definedName>
    <definedName name="QDATE_Q4_2011">#REF!</definedName>
    <definedName name="QDATE_Q4_2012">#REF!</definedName>
    <definedName name="QDATE_Q4_2013">#REF!</definedName>
    <definedName name="QDATE_Q4_2014">#REF!</definedName>
    <definedName name="QDATE_Q4_2015">#REF!</definedName>
    <definedName name="QDATE_Y1_2005">#REF!</definedName>
    <definedName name="QDATE_Y1_2006">#REF!</definedName>
    <definedName name="QDATE_Y1_2007">#REF!</definedName>
    <definedName name="QDATE_Y1_2008">#REF!</definedName>
    <definedName name="QDATE_Y1_2009">#REF!</definedName>
    <definedName name="QDATE_Y1_2010">#REF!</definedName>
    <definedName name="QDATE_Y1_2011">#REF!</definedName>
    <definedName name="QDATE_Y1_2012">#REF!</definedName>
    <definedName name="QDATE_Y1_2013">#REF!</definedName>
    <definedName name="QDATE_Y1_2014">#REF!</definedName>
    <definedName name="QDATE_Y1_2015">#REF!</definedName>
    <definedName name="QDATEPRE">#REF!</definedName>
    <definedName name="QDATEPRE_9M_2005">#REF!</definedName>
    <definedName name="QDATEPRE_9M_2006">#REF!</definedName>
    <definedName name="QDATEPRE_9M_2007">#REF!</definedName>
    <definedName name="QDATEPRE_9M_2008">#REF!</definedName>
    <definedName name="QDATEPRE_9M_2009">#REF!</definedName>
    <definedName name="QDATEPRE_9M_2010">#REF!</definedName>
    <definedName name="QDATEPRE_9M_2011">#REF!</definedName>
    <definedName name="QDATEPRE_9M_2012">#REF!</definedName>
    <definedName name="QDATEPRE_9M_2013">#REF!</definedName>
    <definedName name="QDATEPRE_9M_2014">#REF!</definedName>
    <definedName name="QDATEPRE_9M_2015">#REF!</definedName>
    <definedName name="QDATEPRE_H1_2005">#REF!</definedName>
    <definedName name="QDATEPRE_H1_2006">#REF!</definedName>
    <definedName name="QDATEPRE_H1_2007">#REF!</definedName>
    <definedName name="QDATEPRE_H1_2008">#REF!</definedName>
    <definedName name="QDATEPRE_H1_2009">#REF!</definedName>
    <definedName name="QDATEPRE_H1_2010">#REF!</definedName>
    <definedName name="QDATEPRE_H1_2011">#REF!</definedName>
    <definedName name="QDATEPRE_H1_2012">#REF!</definedName>
    <definedName name="QDATEPRE_H1_2013">#REF!</definedName>
    <definedName name="QDATEPRE_H1_2014">#REF!</definedName>
    <definedName name="QDATEPRE_H1_2015">#REF!</definedName>
    <definedName name="QDATEPRE_H2_2005">#REF!</definedName>
    <definedName name="QDATEPRE_H2_2006">#REF!</definedName>
    <definedName name="QDATEPRE_H2_2007">#REF!</definedName>
    <definedName name="QDATEPRE_H2_2008">#REF!</definedName>
    <definedName name="QDATEPRE_H2_2009">#REF!</definedName>
    <definedName name="QDATEPRE_H2_2010">#REF!</definedName>
    <definedName name="QDATEPRE_H2_2011">#REF!</definedName>
    <definedName name="QDATEPRE_H2_2012">#REF!</definedName>
    <definedName name="QDATEPRE_H2_2013">#REF!</definedName>
    <definedName name="QDATEPRE_H2_2014">#REF!</definedName>
    <definedName name="QDATEPRE_H2_2015">#REF!</definedName>
    <definedName name="QDATEPRE_Q1_2005">#REF!</definedName>
    <definedName name="QDATEPRE_Q1_2006">#REF!</definedName>
    <definedName name="QDATEPRE_Q1_2007">#REF!</definedName>
    <definedName name="QDATEPRE_Q1_2008">#REF!</definedName>
    <definedName name="QDATEPRE_Q1_2009">#REF!</definedName>
    <definedName name="QDATEPRE_Q1_2010">#REF!</definedName>
    <definedName name="QDATEPRE_Q1_2011">#REF!</definedName>
    <definedName name="QDATEPRE_Q1_2012">#REF!</definedName>
    <definedName name="QDATEPRE_Q1_2013">#REF!</definedName>
    <definedName name="QDATEPRE_Q1_2014">#REF!</definedName>
    <definedName name="QDATEPRE_Q1_2015">#REF!</definedName>
    <definedName name="QDATEPRE_Q2_2005">#REF!</definedName>
    <definedName name="QDATEPRE_Q2_2006">#REF!</definedName>
    <definedName name="QDATEPRE_Q2_2007">#REF!</definedName>
    <definedName name="QDATEPRE_Q2_2008">#REF!</definedName>
    <definedName name="QDATEPRE_Q2_2009">#REF!</definedName>
    <definedName name="QDATEPRE_Q2_2010">#REF!</definedName>
    <definedName name="QDATEPRE_Q2_2011">#REF!</definedName>
    <definedName name="QDATEPRE_Q2_2012">#REF!</definedName>
    <definedName name="QDATEPRE_Q2_2013">#REF!</definedName>
    <definedName name="QDATEPRE_Q2_2014">#REF!</definedName>
    <definedName name="QDATEPRE_Q2_2015">#REF!</definedName>
    <definedName name="QDATEPRE_Q3_2005">#REF!</definedName>
    <definedName name="QDATEPRE_Q3_2006">#REF!</definedName>
    <definedName name="QDATEPRE_Q3_2007">#REF!</definedName>
    <definedName name="QDATEPRE_Q3_2008">#REF!</definedName>
    <definedName name="QDATEPRE_Q3_2009">#REF!</definedName>
    <definedName name="QDATEPRE_Q3_2010">#REF!</definedName>
    <definedName name="QDATEPRE_Q3_2011">#REF!</definedName>
    <definedName name="QDATEPRE_Q3_2012">#REF!</definedName>
    <definedName name="QDATEPRE_Q3_2013">#REF!</definedName>
    <definedName name="QDATEPRE_Q3_2014">#REF!</definedName>
    <definedName name="QDATEPRE_Q3_2015">#REF!</definedName>
    <definedName name="QDATEPRE_Q4_2005">#REF!</definedName>
    <definedName name="QDATEPRE_Q4_2006">#REF!</definedName>
    <definedName name="QDATEPRE_Q4_2007">#REF!</definedName>
    <definedName name="QDATEPRE_Q4_2008">#REF!</definedName>
    <definedName name="QDATEPRE_Q4_2009">#REF!</definedName>
    <definedName name="QDATEPRE_Q4_2010">#REF!</definedName>
    <definedName name="QDATEPRE_Q4_2011">#REF!</definedName>
    <definedName name="QDATEPRE_Q4_2012">#REF!</definedName>
    <definedName name="QDATEPRE_Q4_2013">#REF!</definedName>
    <definedName name="QDATEPRE_Q4_2014">#REF!</definedName>
    <definedName name="QDATEPRE_Q4_2015">#REF!</definedName>
    <definedName name="QDATEPRE_Y1_2005">#REF!</definedName>
    <definedName name="QDATEPRE_Y1_2006">#REF!</definedName>
    <definedName name="QDATEPRE_Y1_2007">#REF!</definedName>
    <definedName name="QDATEPRE_Y1_2008">#REF!</definedName>
    <definedName name="QDATEPRE_Y1_2009">#REF!</definedName>
    <definedName name="QDATEPRE_Y1_2010">#REF!</definedName>
    <definedName name="QDATEPRE_Y1_2011">#REF!</definedName>
    <definedName name="QDATEPRE_Y1_2012">#REF!</definedName>
    <definedName name="QDATEPRE_Y1_2013">#REF!</definedName>
    <definedName name="QDATEPRE_Y1_2014">#REF!</definedName>
    <definedName name="QDATEPRE_Y1_2015">#REF!</definedName>
    <definedName name="qe">#N/A</definedName>
    <definedName name="QEATCE">#REF!</definedName>
    <definedName name="QEATCE_9M_2005">#REF!</definedName>
    <definedName name="QEATCE_9M_2006">#REF!</definedName>
    <definedName name="QEATCE_9M_2007">#REF!</definedName>
    <definedName name="QEATCE_9M_2008">#REF!</definedName>
    <definedName name="QEATCE_9M_2009">#REF!</definedName>
    <definedName name="QEATCE_9M_2010">#REF!</definedName>
    <definedName name="QEATCE_9M_2011">#REF!</definedName>
    <definedName name="QEATCE_9M_2012">#REF!</definedName>
    <definedName name="QEATCE_9M_2013">#REF!</definedName>
    <definedName name="QEATCE_9M_2014">#REF!</definedName>
    <definedName name="QEATCE_9M_2015">#REF!</definedName>
    <definedName name="QEATCE_H1_2005">#REF!</definedName>
    <definedName name="QEATCE_H1_2006">#REF!</definedName>
    <definedName name="QEATCE_H1_2007">#REF!</definedName>
    <definedName name="QEATCE_H1_2008">#REF!</definedName>
    <definedName name="QEATCE_H1_2009">#REF!</definedName>
    <definedName name="QEATCE_H1_2010">#REF!</definedName>
    <definedName name="QEATCE_H1_2011">#REF!</definedName>
    <definedName name="QEATCE_H1_2012">#REF!</definedName>
    <definedName name="QEATCE_H1_2013">#REF!</definedName>
    <definedName name="QEATCE_H1_2014">#REF!</definedName>
    <definedName name="QEATCE_H1_2015">#REF!</definedName>
    <definedName name="QEATCE_H2_2005">#REF!</definedName>
    <definedName name="QEATCE_H2_2006">#REF!</definedName>
    <definedName name="QEATCE_H2_2007">#REF!</definedName>
    <definedName name="QEATCE_H2_2008">#REF!</definedName>
    <definedName name="QEATCE_H2_2009">#REF!</definedName>
    <definedName name="QEATCE_H2_2010">#REF!</definedName>
    <definedName name="QEATCE_H2_2011">#REF!</definedName>
    <definedName name="QEATCE_H2_2012">#REF!</definedName>
    <definedName name="QEATCE_H2_2013">#REF!</definedName>
    <definedName name="QEATCE_H2_2014">#REF!</definedName>
    <definedName name="QEATCE_H2_2015">#REF!</definedName>
    <definedName name="QEATCE_Q1_2005">#REF!</definedName>
    <definedName name="QEATCE_Q1_2006">#REF!</definedName>
    <definedName name="QEATCE_Q1_2007">#REF!</definedName>
    <definedName name="QEATCE_Q1_2008">#REF!</definedName>
    <definedName name="QEATCE_Q1_2009">#REF!</definedName>
    <definedName name="QEATCE_Q1_2010">#REF!</definedName>
    <definedName name="QEATCE_Q1_2011">#REF!</definedName>
    <definedName name="QEATCE_Q1_2012">#REF!</definedName>
    <definedName name="QEATCE_Q1_2013">#REF!</definedName>
    <definedName name="QEATCE_Q1_2014">#REF!</definedName>
    <definedName name="QEATCE_Q1_2015">#REF!</definedName>
    <definedName name="QEATCE_Q2_2005">#REF!</definedName>
    <definedName name="QEATCE_Q2_2006">#REF!</definedName>
    <definedName name="QEATCE_Q2_2007">#REF!</definedName>
    <definedName name="QEATCE_Q2_2008">#REF!</definedName>
    <definedName name="QEATCE_Q2_2009">#REF!</definedName>
    <definedName name="QEATCE_Q2_2010">#REF!</definedName>
    <definedName name="QEATCE_Q2_2011">#REF!</definedName>
    <definedName name="QEATCE_Q2_2012">#REF!</definedName>
    <definedName name="QEATCE_Q2_2013">#REF!</definedName>
    <definedName name="QEATCE_Q2_2014">#REF!</definedName>
    <definedName name="QEATCE_Q2_2015">#REF!</definedName>
    <definedName name="QEATCE_Q3_2005">#REF!</definedName>
    <definedName name="QEATCE_Q3_2006">#REF!</definedName>
    <definedName name="QEATCE_Q3_2007">#REF!</definedName>
    <definedName name="QEATCE_Q3_2008">#REF!</definedName>
    <definedName name="QEATCE_Q3_2009">#REF!</definedName>
    <definedName name="QEATCE_Q3_2010">#REF!</definedName>
    <definedName name="QEATCE_Q3_2011">#REF!</definedName>
    <definedName name="QEATCE_Q3_2012">#REF!</definedName>
    <definedName name="QEATCE_Q3_2013">#REF!</definedName>
    <definedName name="QEATCE_Q3_2014">#REF!</definedName>
    <definedName name="QEATCE_Q3_2015">#REF!</definedName>
    <definedName name="QEATCE_Q4_2005">#REF!</definedName>
    <definedName name="QEATCE_Q4_2006">#REF!</definedName>
    <definedName name="QEATCE_Q4_2007">#REF!</definedName>
    <definedName name="QEATCE_Q4_2008">#REF!</definedName>
    <definedName name="QEATCE_Q4_2009">#REF!</definedName>
    <definedName name="QEATCE_Q4_2010">#REF!</definedName>
    <definedName name="QEATCE_Q4_2011">#REF!</definedName>
    <definedName name="QEATCE_Q4_2012">#REF!</definedName>
    <definedName name="QEATCE_Q4_2013">#REF!</definedName>
    <definedName name="QEATCE_Q4_2014">#REF!</definedName>
    <definedName name="QEATCE_Q4_2015">#REF!</definedName>
    <definedName name="QEATCE_Y1_2005">#REF!</definedName>
    <definedName name="QEATCE_Y1_2006">#REF!</definedName>
    <definedName name="QEATCE_Y1_2007">#REF!</definedName>
    <definedName name="QEATCE_Y1_2008">#REF!</definedName>
    <definedName name="QEATCE_Y1_2009">#REF!</definedName>
    <definedName name="QEATCE_Y1_2010">#REF!</definedName>
    <definedName name="QEATCE_Y1_2011">#REF!</definedName>
    <definedName name="QEATCE_Y1_2012">#REF!</definedName>
    <definedName name="QEATCE_Y1_2013">#REF!</definedName>
    <definedName name="QEATCE_Y1_2014">#REF!</definedName>
    <definedName name="QEATCE_Y1_2015">#REF!</definedName>
    <definedName name="QEATCID">#REF!</definedName>
    <definedName name="QEATCID_9M_2005">#REF!</definedName>
    <definedName name="QEATCID_9M_2006">#REF!</definedName>
    <definedName name="QEATCID_9M_2007">#REF!</definedName>
    <definedName name="QEATCID_9M_2008">#REF!</definedName>
    <definedName name="QEATCID_9M_2009">#REF!</definedName>
    <definedName name="QEATCID_9M_2010">#REF!</definedName>
    <definedName name="QEATCID_9M_2011">#REF!</definedName>
    <definedName name="QEATCID_9M_2012">#REF!</definedName>
    <definedName name="QEATCID_9M_2013">#REF!</definedName>
    <definedName name="QEATCID_9M_2014">#REF!</definedName>
    <definedName name="QEATCID_9M_2015">#REF!</definedName>
    <definedName name="QEATCID_H1_2005">#REF!</definedName>
    <definedName name="QEATCID_H1_2006">#REF!</definedName>
    <definedName name="QEATCID_H1_2007">#REF!</definedName>
    <definedName name="QEATCID_H1_2008">#REF!</definedName>
    <definedName name="QEATCID_H1_2009">#REF!</definedName>
    <definedName name="QEATCID_H1_2010">#REF!</definedName>
    <definedName name="QEATCID_H1_2011">#REF!</definedName>
    <definedName name="QEATCID_H1_2012">#REF!</definedName>
    <definedName name="QEATCID_H1_2013">#REF!</definedName>
    <definedName name="QEATCID_H1_2014">#REF!</definedName>
    <definedName name="QEATCID_H1_2015">#REF!</definedName>
    <definedName name="QEATCID_H2_2005">#REF!</definedName>
    <definedName name="QEATCID_H2_2006">#REF!</definedName>
    <definedName name="QEATCID_H2_2007">#REF!</definedName>
    <definedName name="QEATCID_H2_2008">#REF!</definedName>
    <definedName name="QEATCID_H2_2009">#REF!</definedName>
    <definedName name="QEATCID_H2_2010">#REF!</definedName>
    <definedName name="QEATCID_H2_2011">#REF!</definedName>
    <definedName name="QEATCID_H2_2012">#REF!</definedName>
    <definedName name="QEATCID_H2_2013">#REF!</definedName>
    <definedName name="QEATCID_H2_2014">#REF!</definedName>
    <definedName name="QEATCID_H2_2015">#REF!</definedName>
    <definedName name="QEATCID_Q1_2005">#REF!</definedName>
    <definedName name="QEATCID_Q1_2006">#REF!</definedName>
    <definedName name="QEATCID_Q1_2007">#REF!</definedName>
    <definedName name="QEATCID_Q1_2008">#REF!</definedName>
    <definedName name="QEATCID_Q1_2009">#REF!</definedName>
    <definedName name="QEATCID_Q1_2010">#REF!</definedName>
    <definedName name="QEATCID_Q1_2011">#REF!</definedName>
    <definedName name="QEATCID_Q1_2012">#REF!</definedName>
    <definedName name="QEATCID_Q1_2013">#REF!</definedName>
    <definedName name="QEATCID_Q1_2014">#REF!</definedName>
    <definedName name="QEATCID_Q1_2015">#REF!</definedName>
    <definedName name="QEATCID_Q2_2005">#REF!</definedName>
    <definedName name="QEATCID_Q2_2006">#REF!</definedName>
    <definedName name="QEATCID_Q2_2007">#REF!</definedName>
    <definedName name="QEATCID_Q2_2008">#REF!</definedName>
    <definedName name="QEATCID_Q2_2009">#REF!</definedName>
    <definedName name="QEATCID_Q2_2010">#REF!</definedName>
    <definedName name="QEATCID_Q2_2011">#REF!</definedName>
    <definedName name="QEATCID_Q2_2012">#REF!</definedName>
    <definedName name="QEATCID_Q2_2013">#REF!</definedName>
    <definedName name="QEATCID_Q2_2014">#REF!</definedName>
    <definedName name="QEATCID_Q2_2015">#REF!</definedName>
    <definedName name="QEATCID_Q3_2005">#REF!</definedName>
    <definedName name="QEATCID_Q3_2006">#REF!</definedName>
    <definedName name="QEATCID_Q3_2007">#REF!</definedName>
    <definedName name="QEATCID_Q3_2008">#REF!</definedName>
    <definedName name="QEATCID_Q3_2009">#REF!</definedName>
    <definedName name="QEATCID_Q3_2010">#REF!</definedName>
    <definedName name="QEATCID_Q3_2011">#REF!</definedName>
    <definedName name="QEATCID_Q3_2012">#REF!</definedName>
    <definedName name="QEATCID_Q3_2013">#REF!</definedName>
    <definedName name="QEATCID_Q3_2014">#REF!</definedName>
    <definedName name="QEATCID_Q3_2015">#REF!</definedName>
    <definedName name="QEATCID_Q4_2005">#REF!</definedName>
    <definedName name="QEATCID_Q4_2006">#REF!</definedName>
    <definedName name="QEATCID_Q4_2007">#REF!</definedName>
    <definedName name="QEATCID_Q4_2008">#REF!</definedName>
    <definedName name="QEATCID_Q4_2009">#REF!</definedName>
    <definedName name="QEATCID_Q4_2010">#REF!</definedName>
    <definedName name="QEATCID_Q4_2011">#REF!</definedName>
    <definedName name="QEATCID_Q4_2012">#REF!</definedName>
    <definedName name="QEATCID_Q4_2013">#REF!</definedName>
    <definedName name="QEATCID_Q4_2014">#REF!</definedName>
    <definedName name="QEATCID_Q4_2015">#REF!</definedName>
    <definedName name="QEATCID_Y1_2005">#REF!</definedName>
    <definedName name="QEATCID_Y1_2006">#REF!</definedName>
    <definedName name="QEATCID_Y1_2007">#REF!</definedName>
    <definedName name="QEATCID_Y1_2008">#REF!</definedName>
    <definedName name="QEATCID_Y1_2009">#REF!</definedName>
    <definedName name="QEATCID_Y1_2010">#REF!</definedName>
    <definedName name="QEATCID_Y1_2011">#REF!</definedName>
    <definedName name="QEATCID_Y1_2012">#REF!</definedName>
    <definedName name="QEATCID_Y1_2013">#REF!</definedName>
    <definedName name="QEATCID_Y1_2014">#REF!</definedName>
    <definedName name="QEATCID_Y1_2015">#REF!</definedName>
    <definedName name="QEATNAMED">#REF!</definedName>
    <definedName name="QEATNAMED_9M_2005">#REF!</definedName>
    <definedName name="QEATNAMED_9M_2006">#REF!</definedName>
    <definedName name="QEATNAMED_9M_2007">#REF!</definedName>
    <definedName name="QEATNAMED_9M_2008">#REF!</definedName>
    <definedName name="QEATNAMED_9M_2009">#REF!</definedName>
    <definedName name="QEATNAMED_9M_2010">#REF!</definedName>
    <definedName name="QEATNAMED_9M_2011">#REF!</definedName>
    <definedName name="QEATNAMED_9M_2012">#REF!</definedName>
    <definedName name="QEATNAMED_9M_2013">#REF!</definedName>
    <definedName name="QEATNAMED_9M_2014">#REF!</definedName>
    <definedName name="QEATNAMED_9M_2015">#REF!</definedName>
    <definedName name="QEATNAMED_H1_2005">#REF!</definedName>
    <definedName name="QEATNAMED_H1_2006">#REF!</definedName>
    <definedName name="QEATNAMED_H1_2007">#REF!</definedName>
    <definedName name="QEATNAMED_H1_2008">#REF!</definedName>
    <definedName name="QEATNAMED_H1_2009">#REF!</definedName>
    <definedName name="QEATNAMED_H1_2010">#REF!</definedName>
    <definedName name="QEATNAMED_H1_2011">#REF!</definedName>
    <definedName name="QEATNAMED_H1_2012">#REF!</definedName>
    <definedName name="QEATNAMED_H1_2013">#REF!</definedName>
    <definedName name="QEATNAMED_H1_2014">#REF!</definedName>
    <definedName name="QEATNAMED_H1_2015">#REF!</definedName>
    <definedName name="QEATNAMED_H2_2005">#REF!</definedName>
    <definedName name="QEATNAMED_H2_2006">#REF!</definedName>
    <definedName name="QEATNAMED_H2_2007">#REF!</definedName>
    <definedName name="QEATNAMED_H2_2008">#REF!</definedName>
    <definedName name="QEATNAMED_H2_2009">#REF!</definedName>
    <definedName name="QEATNAMED_H2_2010">#REF!</definedName>
    <definedName name="QEATNAMED_H2_2011">#REF!</definedName>
    <definedName name="QEATNAMED_H2_2012">#REF!</definedName>
    <definedName name="QEATNAMED_H2_2013">#REF!</definedName>
    <definedName name="QEATNAMED_H2_2014">#REF!</definedName>
    <definedName name="QEATNAMED_H2_2015">#REF!</definedName>
    <definedName name="QEATNAMED_Q1_2005">#REF!</definedName>
    <definedName name="QEATNAMED_Q1_2006">#REF!</definedName>
    <definedName name="QEATNAMED_Q1_2007">#REF!</definedName>
    <definedName name="QEATNAMED_Q1_2008">#REF!</definedName>
    <definedName name="QEATNAMED_Q1_2009">#REF!</definedName>
    <definedName name="QEATNAMED_Q1_2010">#REF!</definedName>
    <definedName name="QEATNAMED_Q1_2011">#REF!</definedName>
    <definedName name="QEATNAMED_Q1_2012">#REF!</definedName>
    <definedName name="QEATNAMED_Q1_2013">#REF!</definedName>
    <definedName name="QEATNAMED_Q1_2014">#REF!</definedName>
    <definedName name="QEATNAMED_Q1_2015">#REF!</definedName>
    <definedName name="QEATNAMED_Q2_2005">#REF!</definedName>
    <definedName name="QEATNAMED_Q2_2006">#REF!</definedName>
    <definedName name="QEATNAMED_Q2_2007">#REF!</definedName>
    <definedName name="QEATNAMED_Q2_2008">#REF!</definedName>
    <definedName name="QEATNAMED_Q2_2009">#REF!</definedName>
    <definedName name="QEATNAMED_Q2_2010">#REF!</definedName>
    <definedName name="QEATNAMED_Q2_2011">#REF!</definedName>
    <definedName name="QEATNAMED_Q2_2012">#REF!</definedName>
    <definedName name="QEATNAMED_Q2_2013">#REF!</definedName>
    <definedName name="QEATNAMED_Q2_2014">#REF!</definedName>
    <definedName name="QEATNAMED_Q2_2015">#REF!</definedName>
    <definedName name="QEATNAMED_Q3_2005">#REF!</definedName>
    <definedName name="QEATNAMED_Q3_2006">#REF!</definedName>
    <definedName name="QEATNAMED_Q3_2007">#REF!</definedName>
    <definedName name="QEATNAMED_Q3_2008">#REF!</definedName>
    <definedName name="QEATNAMED_Q3_2009">#REF!</definedName>
    <definedName name="QEATNAMED_Q3_2010">#REF!</definedName>
    <definedName name="QEATNAMED_Q3_2011">#REF!</definedName>
    <definedName name="QEATNAMED_Q3_2012">#REF!</definedName>
    <definedName name="QEATNAMED_Q3_2013">#REF!</definedName>
    <definedName name="QEATNAMED_Q3_2014">#REF!</definedName>
    <definedName name="QEATNAMED_Q3_2015">#REF!</definedName>
    <definedName name="QEATNAMED_Q4_2005">#REF!</definedName>
    <definedName name="QEATNAMED_Q4_2006">#REF!</definedName>
    <definedName name="QEATNAMED_Q4_2007">#REF!</definedName>
    <definedName name="QEATNAMED_Q4_2008">#REF!</definedName>
    <definedName name="QEATNAMED_Q4_2009">#REF!</definedName>
    <definedName name="QEATNAMED_Q4_2010">#REF!</definedName>
    <definedName name="QEATNAMED_Q4_2011">#REF!</definedName>
    <definedName name="QEATNAMED_Q4_2012">#REF!</definedName>
    <definedName name="QEATNAMED_Q4_2013">#REF!</definedName>
    <definedName name="QEATNAMED_Q4_2014">#REF!</definedName>
    <definedName name="QEATNAMED_Q4_2015">#REF!</definedName>
    <definedName name="QEATNAMED_Y1_2005">#REF!</definedName>
    <definedName name="QEATNAMED_Y1_2006">#REF!</definedName>
    <definedName name="QEATNAMED_Y1_2007">#REF!</definedName>
    <definedName name="QEATNAMED_Y1_2008">#REF!</definedName>
    <definedName name="QEATNAMED_Y1_2009">#REF!</definedName>
    <definedName name="QEATNAMED_Y1_2010">#REF!</definedName>
    <definedName name="QEATNAMED_Y1_2011">#REF!</definedName>
    <definedName name="QEATNAMED_Y1_2012">#REF!</definedName>
    <definedName name="QEATNAMED_Y1_2013">#REF!</definedName>
    <definedName name="QEATNAMED_Y1_2014">#REF!</definedName>
    <definedName name="QEATNAMED_Y1_2015">#REF!</definedName>
    <definedName name="QEATNAMEE">#REF!</definedName>
    <definedName name="QEATNAMEE_9M_2005">#REF!</definedName>
    <definedName name="QEATNAMEE_9M_2006">#REF!</definedName>
    <definedName name="QEATNAMEE_9M_2007">#REF!</definedName>
    <definedName name="QEATNAMEE_9M_2008">#REF!</definedName>
    <definedName name="QEATNAMEE_9M_2009">#REF!</definedName>
    <definedName name="QEATNAMEE_9M_2010">#REF!</definedName>
    <definedName name="QEATNAMEE_9M_2011">#REF!</definedName>
    <definedName name="QEATNAMEE_9M_2012">#REF!</definedName>
    <definedName name="QEATNAMEE_9M_2013">#REF!</definedName>
    <definedName name="QEATNAMEE_9M_2014">#REF!</definedName>
    <definedName name="QEATNAMEE_9M_2015">#REF!</definedName>
    <definedName name="QEATNAMEE_H1_2005">#REF!</definedName>
    <definedName name="QEATNAMEE_H1_2006">#REF!</definedName>
    <definedName name="QEATNAMEE_H1_2007">#REF!</definedName>
    <definedName name="QEATNAMEE_H1_2008">#REF!</definedName>
    <definedName name="QEATNAMEE_H1_2009">#REF!</definedName>
    <definedName name="QEATNAMEE_H1_2010">#REF!</definedName>
    <definedName name="QEATNAMEE_H1_2011">#REF!</definedName>
    <definedName name="QEATNAMEE_H1_2012">#REF!</definedName>
    <definedName name="QEATNAMEE_H1_2013">#REF!</definedName>
    <definedName name="QEATNAMEE_H1_2014">#REF!</definedName>
    <definedName name="QEATNAMEE_H1_2015">#REF!</definedName>
    <definedName name="QEATNAMEE_H2_2005">#REF!</definedName>
    <definedName name="QEATNAMEE_H2_2006">#REF!</definedName>
    <definedName name="QEATNAMEE_H2_2007">#REF!</definedName>
    <definedName name="QEATNAMEE_H2_2008">#REF!</definedName>
    <definedName name="QEATNAMEE_H2_2009">#REF!</definedName>
    <definedName name="QEATNAMEE_H2_2010">#REF!</definedName>
    <definedName name="QEATNAMEE_H2_2011">#REF!</definedName>
    <definedName name="QEATNAMEE_H2_2012">#REF!</definedName>
    <definedName name="QEATNAMEE_H2_2013">#REF!</definedName>
    <definedName name="QEATNAMEE_H2_2014">#REF!</definedName>
    <definedName name="QEATNAMEE_H2_2015">#REF!</definedName>
    <definedName name="QEATNAMEE_Q1_2005">#REF!</definedName>
    <definedName name="QEATNAMEE_Q1_2006">#REF!</definedName>
    <definedName name="QEATNAMEE_Q1_2007">#REF!</definedName>
    <definedName name="QEATNAMEE_Q1_2008">#REF!</definedName>
    <definedName name="QEATNAMEE_Q1_2009">#REF!</definedName>
    <definedName name="QEATNAMEE_Q1_2010">#REF!</definedName>
    <definedName name="QEATNAMEE_Q1_2011">#REF!</definedName>
    <definedName name="QEATNAMEE_Q1_2012">#REF!</definedName>
    <definedName name="QEATNAMEE_Q1_2013">#REF!</definedName>
    <definedName name="QEATNAMEE_Q1_2014">#REF!</definedName>
    <definedName name="QEATNAMEE_Q1_2015">#REF!</definedName>
    <definedName name="QEATNAMEE_Q2_2005">#REF!</definedName>
    <definedName name="QEATNAMEE_Q2_2006">#REF!</definedName>
    <definedName name="QEATNAMEE_Q2_2007">#REF!</definedName>
    <definedName name="QEATNAMEE_Q2_2008">#REF!</definedName>
    <definedName name="QEATNAMEE_Q2_2009">#REF!</definedName>
    <definedName name="QEATNAMEE_Q2_2010">#REF!</definedName>
    <definedName name="QEATNAMEE_Q2_2011">#REF!</definedName>
    <definedName name="QEATNAMEE_Q2_2012">#REF!</definedName>
    <definedName name="QEATNAMEE_Q2_2013">#REF!</definedName>
    <definedName name="QEATNAMEE_Q2_2014">#REF!</definedName>
    <definedName name="QEATNAMEE_Q2_2015">#REF!</definedName>
    <definedName name="QEATNAMEE_Q3_2005">#REF!</definedName>
    <definedName name="QEATNAMEE_Q3_2006">#REF!</definedName>
    <definedName name="QEATNAMEE_Q3_2007">#REF!</definedName>
    <definedName name="QEATNAMEE_Q3_2008">#REF!</definedName>
    <definedName name="QEATNAMEE_Q3_2009">#REF!</definedName>
    <definedName name="QEATNAMEE_Q3_2010">#REF!</definedName>
    <definedName name="QEATNAMEE_Q3_2011">#REF!</definedName>
    <definedName name="QEATNAMEE_Q3_2012">#REF!</definedName>
    <definedName name="QEATNAMEE_Q3_2013">#REF!</definedName>
    <definedName name="QEATNAMEE_Q3_2014">#REF!</definedName>
    <definedName name="QEATNAMEE_Q3_2015">#REF!</definedName>
    <definedName name="QEATNAMEE_Q4_2005">#REF!</definedName>
    <definedName name="QEATNAMEE_Q4_2006">#REF!</definedName>
    <definedName name="QEATNAMEE_Q4_2007">#REF!</definedName>
    <definedName name="QEATNAMEE_Q4_2008">#REF!</definedName>
    <definedName name="QEATNAMEE_Q4_2009">#REF!</definedName>
    <definedName name="QEATNAMEE_Q4_2010">#REF!</definedName>
    <definedName name="QEATNAMEE_Q4_2011">#REF!</definedName>
    <definedName name="QEATNAMEE_Q4_2012">#REF!</definedName>
    <definedName name="QEATNAMEE_Q4_2013">#REF!</definedName>
    <definedName name="QEATNAMEE_Q4_2014">#REF!</definedName>
    <definedName name="QEATNAMEE_Q4_2015">#REF!</definedName>
    <definedName name="QEATNAMEE_Y1_2005">#REF!</definedName>
    <definedName name="QEATNAMEE_Y1_2006">#REF!</definedName>
    <definedName name="QEATNAMEE_Y1_2007">#REF!</definedName>
    <definedName name="QEATNAMEE_Y1_2008">#REF!</definedName>
    <definedName name="QEATNAMEE_Y1_2009">#REF!</definedName>
    <definedName name="QEATNAMEE_Y1_2010">#REF!</definedName>
    <definedName name="QEATNAMEE_Y1_2011">#REF!</definedName>
    <definedName name="QEATNAMEE_Y1_2012">#REF!</definedName>
    <definedName name="QEATNAMEE_Y1_2013">#REF!</definedName>
    <definedName name="QEATNAMEE_Y1_2014">#REF!</definedName>
    <definedName name="QEATNAMEE_Y1_2015">#REF!</definedName>
    <definedName name="QEATOE">#REF!</definedName>
    <definedName name="QEATOE_9M_2005">#REF!</definedName>
    <definedName name="QEATOE_9M_2006">#REF!</definedName>
    <definedName name="QEATOE_9M_2007">#REF!</definedName>
    <definedName name="QEATOE_9M_2008">#REF!</definedName>
    <definedName name="QEATOE_9M_2009">#REF!</definedName>
    <definedName name="QEATOE_9M_2010">#REF!</definedName>
    <definedName name="QEATOE_9M_2011">#REF!</definedName>
    <definedName name="QEATOE_9M_2012">#REF!</definedName>
    <definedName name="QEATOE_9M_2013">#REF!</definedName>
    <definedName name="QEATOE_9M_2014">#REF!</definedName>
    <definedName name="QEATOE_9M_2015">#REF!</definedName>
    <definedName name="QEATOE_H1_2005">#REF!</definedName>
    <definedName name="QEATOE_H1_2006">#REF!</definedName>
    <definedName name="QEATOE_H1_2007">#REF!</definedName>
    <definedName name="QEATOE_H1_2008">#REF!</definedName>
    <definedName name="QEATOE_H1_2009">#REF!</definedName>
    <definedName name="QEATOE_H1_2010">#REF!</definedName>
    <definedName name="QEATOE_H1_2011">#REF!</definedName>
    <definedName name="QEATOE_H1_2012">#REF!</definedName>
    <definedName name="QEATOE_H1_2013">#REF!</definedName>
    <definedName name="QEATOE_H1_2014">#REF!</definedName>
    <definedName name="QEATOE_H1_2015">#REF!</definedName>
    <definedName name="QEATOE_H2_2005">#REF!</definedName>
    <definedName name="QEATOE_H2_2006">#REF!</definedName>
    <definedName name="QEATOE_H2_2007">#REF!</definedName>
    <definedName name="QEATOE_H2_2008">#REF!</definedName>
    <definedName name="QEATOE_H2_2009">#REF!</definedName>
    <definedName name="QEATOE_H2_2010">#REF!</definedName>
    <definedName name="QEATOE_H2_2011">#REF!</definedName>
    <definedName name="QEATOE_H2_2012">#REF!</definedName>
    <definedName name="QEATOE_H2_2013">#REF!</definedName>
    <definedName name="QEATOE_H2_2014">#REF!</definedName>
    <definedName name="QEATOE_H2_2015">#REF!</definedName>
    <definedName name="QEATOE_Q1_2005">#REF!</definedName>
    <definedName name="QEATOE_Q1_2006">#REF!</definedName>
    <definedName name="QEATOE_Q1_2007">#REF!</definedName>
    <definedName name="QEATOE_Q1_2008">#REF!</definedName>
    <definedName name="QEATOE_Q1_2009">#REF!</definedName>
    <definedName name="QEATOE_Q1_2010">#REF!</definedName>
    <definedName name="QEATOE_Q1_2011">#REF!</definedName>
    <definedName name="QEATOE_Q1_2012">#REF!</definedName>
    <definedName name="QEATOE_Q1_2013">#REF!</definedName>
    <definedName name="QEATOE_Q1_2014">#REF!</definedName>
    <definedName name="QEATOE_Q1_2015">#REF!</definedName>
    <definedName name="QEATOE_Q2_2005">#REF!</definedName>
    <definedName name="QEATOE_Q2_2006">#REF!</definedName>
    <definedName name="QEATOE_Q2_2007">#REF!</definedName>
    <definedName name="QEATOE_Q2_2008">#REF!</definedName>
    <definedName name="QEATOE_Q2_2009">#REF!</definedName>
    <definedName name="QEATOE_Q2_2010">#REF!</definedName>
    <definedName name="QEATOE_Q2_2011">#REF!</definedName>
    <definedName name="QEATOE_Q2_2012">#REF!</definedName>
    <definedName name="QEATOE_Q2_2013">#REF!</definedName>
    <definedName name="QEATOE_Q2_2014">#REF!</definedName>
    <definedName name="QEATOE_Q2_2015">#REF!</definedName>
    <definedName name="QEATOE_Q3_2005">#REF!</definedName>
    <definedName name="QEATOE_Q3_2006">#REF!</definedName>
    <definedName name="QEATOE_Q3_2007">#REF!</definedName>
    <definedName name="QEATOE_Q3_2008">#REF!</definedName>
    <definedName name="QEATOE_Q3_2009">#REF!</definedName>
    <definedName name="QEATOE_Q3_2010">#REF!</definedName>
    <definedName name="QEATOE_Q3_2011">#REF!</definedName>
    <definedName name="QEATOE_Q3_2012">#REF!</definedName>
    <definedName name="QEATOE_Q3_2013">#REF!</definedName>
    <definedName name="QEATOE_Q3_2014">#REF!</definedName>
    <definedName name="QEATOE_Q3_2015">#REF!</definedName>
    <definedName name="QEATOE_Q4_2005">#REF!</definedName>
    <definedName name="QEATOE_Q4_2006">#REF!</definedName>
    <definedName name="QEATOE_Q4_2007">#REF!</definedName>
    <definedName name="QEATOE_Q4_2008">#REF!</definedName>
    <definedName name="QEATOE_Q4_2009">#REF!</definedName>
    <definedName name="QEATOE_Q4_2010">#REF!</definedName>
    <definedName name="QEATOE_Q4_2011">#REF!</definedName>
    <definedName name="QEATOE_Q4_2012">#REF!</definedName>
    <definedName name="QEATOE_Q4_2013">#REF!</definedName>
    <definedName name="QEATOE_Q4_2014">#REF!</definedName>
    <definedName name="QEATOE_Q4_2015">#REF!</definedName>
    <definedName name="QEATOE_Y1_2005">#REF!</definedName>
    <definedName name="QEATOE_Y1_2006">#REF!</definedName>
    <definedName name="QEATOE_Y1_2007">#REF!</definedName>
    <definedName name="QEATOE_Y1_2008">#REF!</definedName>
    <definedName name="QEATOE_Y1_2009">#REF!</definedName>
    <definedName name="QEATOE_Y1_2010">#REF!</definedName>
    <definedName name="QEATOE_Y1_2011">#REF!</definedName>
    <definedName name="QEATOE_Y1_2012">#REF!</definedName>
    <definedName name="QEATOE_Y1_2013">#REF!</definedName>
    <definedName name="QEATOE_Y1_2014">#REF!</definedName>
    <definedName name="QEATOE_Y1_2015">#REF!</definedName>
    <definedName name="QEATOID">#REF!</definedName>
    <definedName name="QEATOID_9M_2005">#REF!</definedName>
    <definedName name="QEATOID_9M_2006">#REF!</definedName>
    <definedName name="QEATOID_9M_2007">#REF!</definedName>
    <definedName name="QEATOID_9M_2008">#REF!</definedName>
    <definedName name="QEATOID_9M_2009">#REF!</definedName>
    <definedName name="QEATOID_9M_2010">#REF!</definedName>
    <definedName name="QEATOID_9M_2011">#REF!</definedName>
    <definedName name="QEATOID_9M_2012">#REF!</definedName>
    <definedName name="QEATOID_9M_2013">#REF!</definedName>
    <definedName name="QEATOID_9M_2014">#REF!</definedName>
    <definedName name="QEATOID_9M_2015">#REF!</definedName>
    <definedName name="QEATOID_H1_2005">#REF!</definedName>
    <definedName name="QEATOID_H1_2006">#REF!</definedName>
    <definedName name="QEATOID_H1_2007">#REF!</definedName>
    <definedName name="QEATOID_H1_2008">#REF!</definedName>
    <definedName name="QEATOID_H1_2009">#REF!</definedName>
    <definedName name="QEATOID_H1_2010">#REF!</definedName>
    <definedName name="QEATOID_H1_2011">#REF!</definedName>
    <definedName name="QEATOID_H1_2012">#REF!</definedName>
    <definedName name="QEATOID_H1_2013">#REF!</definedName>
    <definedName name="QEATOID_H1_2014">#REF!</definedName>
    <definedName name="QEATOID_H1_2015">#REF!</definedName>
    <definedName name="QEATOID_H2_2005">#REF!</definedName>
    <definedName name="QEATOID_H2_2006">#REF!</definedName>
    <definedName name="QEATOID_H2_2007">#REF!</definedName>
    <definedName name="QEATOID_H2_2008">#REF!</definedName>
    <definedName name="QEATOID_H2_2009">#REF!</definedName>
    <definedName name="QEATOID_H2_2010">#REF!</definedName>
    <definedName name="QEATOID_H2_2011">#REF!</definedName>
    <definedName name="QEATOID_H2_2012">#REF!</definedName>
    <definedName name="QEATOID_H2_2013">#REF!</definedName>
    <definedName name="QEATOID_H2_2014">#REF!</definedName>
    <definedName name="QEATOID_H2_2015">#REF!</definedName>
    <definedName name="QEATOID_Q1_2005">#REF!</definedName>
    <definedName name="QEATOID_Q1_2006">#REF!</definedName>
    <definedName name="QEATOID_Q1_2007">#REF!</definedName>
    <definedName name="QEATOID_Q1_2008">#REF!</definedName>
    <definedName name="QEATOID_Q1_2009">#REF!</definedName>
    <definedName name="QEATOID_Q1_2010">#REF!</definedName>
    <definedName name="QEATOID_Q1_2011">#REF!</definedName>
    <definedName name="QEATOID_Q1_2012">#REF!</definedName>
    <definedName name="QEATOID_Q1_2013">#REF!</definedName>
    <definedName name="QEATOID_Q1_2014">#REF!</definedName>
    <definedName name="QEATOID_Q1_2015">#REF!</definedName>
    <definedName name="QEATOID_Q2_2005">#REF!</definedName>
    <definedName name="QEATOID_Q2_2006">#REF!</definedName>
    <definedName name="QEATOID_Q2_2007">#REF!</definedName>
    <definedName name="QEATOID_Q2_2008">#REF!</definedName>
    <definedName name="QEATOID_Q2_2009">#REF!</definedName>
    <definedName name="QEATOID_Q2_2010">#REF!</definedName>
    <definedName name="QEATOID_Q2_2011">#REF!</definedName>
    <definedName name="QEATOID_Q2_2012">#REF!</definedName>
    <definedName name="QEATOID_Q2_2013">#REF!</definedName>
    <definedName name="QEATOID_Q2_2014">#REF!</definedName>
    <definedName name="QEATOID_Q2_2015">#REF!</definedName>
    <definedName name="QEATOID_Q3_2005">#REF!</definedName>
    <definedName name="QEATOID_Q3_2006">#REF!</definedName>
    <definedName name="QEATOID_Q3_2007">#REF!</definedName>
    <definedName name="QEATOID_Q3_2008">#REF!</definedName>
    <definedName name="QEATOID_Q3_2009">#REF!</definedName>
    <definedName name="QEATOID_Q3_2010">#REF!</definedName>
    <definedName name="QEATOID_Q3_2011">#REF!</definedName>
    <definedName name="QEATOID_Q3_2012">#REF!</definedName>
    <definedName name="QEATOID_Q3_2013">#REF!</definedName>
    <definedName name="QEATOID_Q3_2014">#REF!</definedName>
    <definedName name="QEATOID_Q3_2015">#REF!</definedName>
    <definedName name="QEATOID_Q4_2005">#REF!</definedName>
    <definedName name="QEATOID_Q4_2006">#REF!</definedName>
    <definedName name="QEATOID_Q4_2007">#REF!</definedName>
    <definedName name="QEATOID_Q4_2008">#REF!</definedName>
    <definedName name="QEATOID_Q4_2009">#REF!</definedName>
    <definedName name="QEATOID_Q4_2010">#REF!</definedName>
    <definedName name="QEATOID_Q4_2011">#REF!</definedName>
    <definedName name="QEATOID_Q4_2012">#REF!</definedName>
    <definedName name="QEATOID_Q4_2013">#REF!</definedName>
    <definedName name="QEATOID_Q4_2014">#REF!</definedName>
    <definedName name="QEATOID_Q4_2015">#REF!</definedName>
    <definedName name="QEATOID_Y1_2005">#REF!</definedName>
    <definedName name="QEATOID_Y1_2006">#REF!</definedName>
    <definedName name="QEATOID_Y1_2007">#REF!</definedName>
    <definedName name="QEATOID_Y1_2008">#REF!</definedName>
    <definedName name="QEATOID_Y1_2009">#REF!</definedName>
    <definedName name="QEATOID_Y1_2010">#REF!</definedName>
    <definedName name="QEATOID_Y1_2011">#REF!</definedName>
    <definedName name="QEATOID_Y1_2012">#REF!</definedName>
    <definedName name="QEATOID_Y1_2013">#REF!</definedName>
    <definedName name="QEATOID_Y1_2014">#REF!</definedName>
    <definedName name="QEATOID_Y1_2015">#REF!</definedName>
    <definedName name="QEATREP">#REF!</definedName>
    <definedName name="QEATREP_9M_2005">#REF!</definedName>
    <definedName name="QEATREP_9M_2006">#REF!</definedName>
    <definedName name="QEATREP_9M_2007">#REF!</definedName>
    <definedName name="QEATREP_9M_2008">#REF!</definedName>
    <definedName name="QEATREP_9M_2009">#REF!</definedName>
    <definedName name="QEATREP_9M_2010">#REF!</definedName>
    <definedName name="QEATREP_9M_2011">#REF!</definedName>
    <definedName name="QEATREP_9M_2012">#REF!</definedName>
    <definedName name="QEATREP_9M_2013">#REF!</definedName>
    <definedName name="QEATREP_9M_2014">#REF!</definedName>
    <definedName name="QEATREP_9M_2015">#REF!</definedName>
    <definedName name="QEATREP_H1_2005">#REF!</definedName>
    <definedName name="QEATREP_H1_2006">#REF!</definedName>
    <definedName name="QEATREP_H1_2007">#REF!</definedName>
    <definedName name="QEATREP_H1_2008">#REF!</definedName>
    <definedName name="QEATREP_H1_2009">#REF!</definedName>
    <definedName name="QEATREP_H1_2010">#REF!</definedName>
    <definedName name="QEATREP_H1_2011">#REF!</definedName>
    <definedName name="QEATREP_H1_2012">#REF!</definedName>
    <definedName name="QEATREP_H1_2013">#REF!</definedName>
    <definedName name="QEATREP_H1_2014">#REF!</definedName>
    <definedName name="QEATREP_H1_2015">#REF!</definedName>
    <definedName name="QEATREP_H2_2005">#REF!</definedName>
    <definedName name="QEATREP_H2_2006">#REF!</definedName>
    <definedName name="QEATREP_H2_2007">#REF!</definedName>
    <definedName name="QEATREP_H2_2008">#REF!</definedName>
    <definedName name="QEATREP_H2_2009">#REF!</definedName>
    <definedName name="QEATREP_H2_2010">#REF!</definedName>
    <definedName name="QEATREP_H2_2011">#REF!</definedName>
    <definedName name="QEATREP_H2_2012">#REF!</definedName>
    <definedName name="QEATREP_H2_2013">#REF!</definedName>
    <definedName name="QEATREP_H2_2014">#REF!</definedName>
    <definedName name="QEATREP_H2_2015">#REF!</definedName>
    <definedName name="QEATREP_Q1_2005">#REF!</definedName>
    <definedName name="QEATREP_Q1_2006">#REF!</definedName>
    <definedName name="QEATREP_Q1_2007">#REF!</definedName>
    <definedName name="QEATREP_Q1_2008">#REF!</definedName>
    <definedName name="QEATREP_Q1_2009">#REF!</definedName>
    <definedName name="QEATREP_Q1_2010">#REF!</definedName>
    <definedName name="QEATREP_Q1_2011">#REF!</definedName>
    <definedName name="QEATREP_Q1_2012">#REF!</definedName>
    <definedName name="QEATREP_Q1_2013">#REF!</definedName>
    <definedName name="QEATREP_Q1_2014">#REF!</definedName>
    <definedName name="QEATREP_Q1_2015">#REF!</definedName>
    <definedName name="QEATREP_Q2_2005">#REF!</definedName>
    <definedName name="QEATREP_Q2_2006">#REF!</definedName>
    <definedName name="QEATREP_Q2_2007">#REF!</definedName>
    <definedName name="QEATREP_Q2_2008">#REF!</definedName>
    <definedName name="QEATREP_Q2_2009">#REF!</definedName>
    <definedName name="QEATREP_Q2_2010">#REF!</definedName>
    <definedName name="QEATREP_Q2_2011">#REF!</definedName>
    <definedName name="QEATREP_Q2_2012">#REF!</definedName>
    <definedName name="QEATREP_Q2_2013">#REF!</definedName>
    <definedName name="QEATREP_Q2_2014">#REF!</definedName>
    <definedName name="QEATREP_Q2_2015">#REF!</definedName>
    <definedName name="QEATREP_Q3_2005">#REF!</definedName>
    <definedName name="QEATREP_Q3_2006">#REF!</definedName>
    <definedName name="QEATREP_Q3_2007">#REF!</definedName>
    <definedName name="QEATREP_Q3_2008">#REF!</definedName>
    <definedName name="QEATREP_Q3_2009">#REF!</definedName>
    <definedName name="QEATREP_Q3_2010">#REF!</definedName>
    <definedName name="QEATREP_Q3_2011">#REF!</definedName>
    <definedName name="QEATREP_Q3_2012">#REF!</definedName>
    <definedName name="QEATREP_Q3_2013">#REF!</definedName>
    <definedName name="QEATREP_Q3_2014">#REF!</definedName>
    <definedName name="QEATREP_Q3_2015">#REF!</definedName>
    <definedName name="QEATREP_Q4_2005">#REF!</definedName>
    <definedName name="QEATREP_Q4_2006">#REF!</definedName>
    <definedName name="QEATREP_Q4_2007">#REF!</definedName>
    <definedName name="QEATREP_Q4_2008">#REF!</definedName>
    <definedName name="QEATREP_Q4_2009">#REF!</definedName>
    <definedName name="QEATREP_Q4_2010">#REF!</definedName>
    <definedName name="QEATREP_Q4_2011">#REF!</definedName>
    <definedName name="QEATREP_Q4_2012">#REF!</definedName>
    <definedName name="QEATREP_Q4_2013">#REF!</definedName>
    <definedName name="QEATREP_Q4_2014">#REF!</definedName>
    <definedName name="QEATREP_Q4_2015">#REF!</definedName>
    <definedName name="QEATREP_Y1_2005">#REF!</definedName>
    <definedName name="QEATREP_Y1_2006">#REF!</definedName>
    <definedName name="QEATREP_Y1_2007">#REF!</definedName>
    <definedName name="QEATREP_Y1_2008">#REF!</definedName>
    <definedName name="QEATREP_Y1_2009">#REF!</definedName>
    <definedName name="QEATREP_Y1_2010">#REF!</definedName>
    <definedName name="QEATREP_Y1_2011">#REF!</definedName>
    <definedName name="QEATREP_Y1_2012">#REF!</definedName>
    <definedName name="QEATREP_Y1_2013">#REF!</definedName>
    <definedName name="QEATREP_Y1_2014">#REF!</definedName>
    <definedName name="QEATREP_Y1_2015">#REF!</definedName>
    <definedName name="QEATREPPY">#REF!</definedName>
    <definedName name="QEAuth">#REF!</definedName>
    <definedName name="QEPSCE">#REF!</definedName>
    <definedName name="QEPSCE_9M_2005">#REF!</definedName>
    <definedName name="QEPSCE_9M_2006">#REF!</definedName>
    <definedName name="QEPSCE_9M_2007">#REF!</definedName>
    <definedName name="QEPSCE_9M_2008">#REF!</definedName>
    <definedName name="QEPSCE_9M_2009">#REF!</definedName>
    <definedName name="QEPSCE_9M_2010">#REF!</definedName>
    <definedName name="QEPSCE_9M_2011">#REF!</definedName>
    <definedName name="QEPSCE_9M_2012">#REF!</definedName>
    <definedName name="QEPSCE_9M_2013">#REF!</definedName>
    <definedName name="QEPSCE_9M_2014">#REF!</definedName>
    <definedName name="QEPSCE_9M_2015">#REF!</definedName>
    <definedName name="QEPSCE_H1_2005">#REF!</definedName>
    <definedName name="QEPSCE_H1_2006">#REF!</definedName>
    <definedName name="QEPSCE_H1_2007">#REF!</definedName>
    <definedName name="QEPSCE_H1_2008">#REF!</definedName>
    <definedName name="QEPSCE_H1_2009">#REF!</definedName>
    <definedName name="QEPSCE_H1_2010">#REF!</definedName>
    <definedName name="QEPSCE_H1_2011">#REF!</definedName>
    <definedName name="QEPSCE_H1_2012">#REF!</definedName>
    <definedName name="QEPSCE_H1_2013">#REF!</definedName>
    <definedName name="QEPSCE_H1_2014">#REF!</definedName>
    <definedName name="QEPSCE_H1_2015">#REF!</definedName>
    <definedName name="QEPSCE_H2_2005">#REF!</definedName>
    <definedName name="QEPSCE_H2_2006">#REF!</definedName>
    <definedName name="QEPSCE_H2_2007">#REF!</definedName>
    <definedName name="QEPSCE_H2_2008">#REF!</definedName>
    <definedName name="QEPSCE_H2_2009">#REF!</definedName>
    <definedName name="QEPSCE_H2_2010">#REF!</definedName>
    <definedName name="QEPSCE_H2_2011">#REF!</definedName>
    <definedName name="QEPSCE_H2_2012">#REF!</definedName>
    <definedName name="QEPSCE_H2_2013">#REF!</definedName>
    <definedName name="QEPSCE_H2_2014">#REF!</definedName>
    <definedName name="QEPSCE_H2_2015">#REF!</definedName>
    <definedName name="QEPSCE_Q1_2005">#REF!</definedName>
    <definedName name="QEPSCE_Q1_2006">#REF!</definedName>
    <definedName name="QEPSCE_Q1_2007">#REF!</definedName>
    <definedName name="QEPSCE_Q1_2008">#REF!</definedName>
    <definedName name="QEPSCE_Q1_2009">#REF!</definedName>
    <definedName name="QEPSCE_Q1_2010">#REF!</definedName>
    <definedName name="QEPSCE_Q1_2011">#REF!</definedName>
    <definedName name="QEPSCE_Q1_2012">#REF!</definedName>
    <definedName name="QEPSCE_Q1_2013">#REF!</definedName>
    <definedName name="QEPSCE_Q1_2014">#REF!</definedName>
    <definedName name="QEPSCE_Q1_2015">#REF!</definedName>
    <definedName name="QEPSCE_Q2_2005">#REF!</definedName>
    <definedName name="QEPSCE_Q2_2006">#REF!</definedName>
    <definedName name="QEPSCE_Q2_2007">#REF!</definedName>
    <definedName name="QEPSCE_Q2_2008">#REF!</definedName>
    <definedName name="QEPSCE_Q2_2009">#REF!</definedName>
    <definedName name="QEPSCE_Q2_2010">#REF!</definedName>
    <definedName name="QEPSCE_Q2_2011">#REF!</definedName>
    <definedName name="QEPSCE_Q2_2012">#REF!</definedName>
    <definedName name="QEPSCE_Q2_2013">#REF!</definedName>
    <definedName name="QEPSCE_Q2_2014">#REF!</definedName>
    <definedName name="QEPSCE_Q2_2015">#REF!</definedName>
    <definedName name="QEPSCE_Q3_2005">#REF!</definedName>
    <definedName name="QEPSCE_Q3_2006">#REF!</definedName>
    <definedName name="QEPSCE_Q3_2007">#REF!</definedName>
    <definedName name="QEPSCE_Q3_2008">#REF!</definedName>
    <definedName name="QEPSCE_Q3_2009">#REF!</definedName>
    <definedName name="QEPSCE_Q3_2010">#REF!</definedName>
    <definedName name="QEPSCE_Q3_2011">#REF!</definedName>
    <definedName name="QEPSCE_Q3_2012">#REF!</definedName>
    <definedName name="QEPSCE_Q3_2013">#REF!</definedName>
    <definedName name="QEPSCE_Q3_2014">#REF!</definedName>
    <definedName name="QEPSCE_Q3_2015">#REF!</definedName>
    <definedName name="QEPSCE_Q4_2005">#REF!</definedName>
    <definedName name="QEPSCE_Q4_2006">#REF!</definedName>
    <definedName name="QEPSCE_Q4_2007">#REF!</definedName>
    <definedName name="QEPSCE_Q4_2008">#REF!</definedName>
    <definedName name="QEPSCE_Q4_2009">#REF!</definedName>
    <definedName name="QEPSCE_Q4_2010">#REF!</definedName>
    <definedName name="QEPSCE_Q4_2011">#REF!</definedName>
    <definedName name="QEPSCE_Q4_2012">#REF!</definedName>
    <definedName name="QEPSCE_Q4_2013">#REF!</definedName>
    <definedName name="QEPSCE_Q4_2014">#REF!</definedName>
    <definedName name="QEPSCE_Q4_2015">#REF!</definedName>
    <definedName name="QEPSCE_Y1_2005">#REF!</definedName>
    <definedName name="QEPSCE_Y1_2006">#REF!</definedName>
    <definedName name="QEPSCE_Y1_2007">#REF!</definedName>
    <definedName name="QEPSCE_Y1_2008">#REF!</definedName>
    <definedName name="QEPSCE_Y1_2009">#REF!</definedName>
    <definedName name="QEPSCE_Y1_2010">#REF!</definedName>
    <definedName name="QEPSCE_Y1_2011">#REF!</definedName>
    <definedName name="QEPSCE_Y1_2012">#REF!</definedName>
    <definedName name="QEPSCE_Y1_2013">#REF!</definedName>
    <definedName name="QEPSCE_Y1_2014">#REF!</definedName>
    <definedName name="QEPSCE_Y1_2015">#REF!</definedName>
    <definedName name="QEPSCID">#REF!</definedName>
    <definedName name="QEPSCID_9M_2005">#REF!</definedName>
    <definedName name="QEPSCID_9M_2006">#REF!</definedName>
    <definedName name="QEPSCID_9M_2007">#REF!</definedName>
    <definedName name="QEPSCID_9M_2008">#REF!</definedName>
    <definedName name="QEPSCID_9M_2009">#REF!</definedName>
    <definedName name="QEPSCID_9M_2010">#REF!</definedName>
    <definedName name="QEPSCID_9M_2011">#REF!</definedName>
    <definedName name="QEPSCID_9M_2012">#REF!</definedName>
    <definedName name="QEPSCID_9M_2013">#REF!</definedName>
    <definedName name="QEPSCID_9M_2014">#REF!</definedName>
    <definedName name="QEPSCID_9M_2015">#REF!</definedName>
    <definedName name="QEPSCID_H1_2005">#REF!</definedName>
    <definedName name="QEPSCID_H1_2006">#REF!</definedName>
    <definedName name="QEPSCID_H1_2007">#REF!</definedName>
    <definedName name="QEPSCID_H1_2008">#REF!</definedName>
    <definedName name="QEPSCID_H1_2009">#REF!</definedName>
    <definedName name="QEPSCID_H1_2010">#REF!</definedName>
    <definedName name="QEPSCID_H1_2011">#REF!</definedName>
    <definedName name="QEPSCID_H1_2012">#REF!</definedName>
    <definedName name="QEPSCID_H1_2013">#REF!</definedName>
    <definedName name="QEPSCID_H1_2014">#REF!</definedName>
    <definedName name="QEPSCID_H1_2015">#REF!</definedName>
    <definedName name="QEPSCID_H2_2005">#REF!</definedName>
    <definedName name="QEPSCID_H2_2006">#REF!</definedName>
    <definedName name="QEPSCID_H2_2007">#REF!</definedName>
    <definedName name="QEPSCID_H2_2008">#REF!</definedName>
    <definedName name="QEPSCID_H2_2009">#REF!</definedName>
    <definedName name="QEPSCID_H2_2010">#REF!</definedName>
    <definedName name="QEPSCID_H2_2011">#REF!</definedName>
    <definedName name="QEPSCID_H2_2012">#REF!</definedName>
    <definedName name="QEPSCID_H2_2013">#REF!</definedName>
    <definedName name="QEPSCID_H2_2014">#REF!</definedName>
    <definedName name="QEPSCID_H2_2015">#REF!</definedName>
    <definedName name="QEPSCID_Q1_2005">#REF!</definedName>
    <definedName name="QEPSCID_Q1_2006">#REF!</definedName>
    <definedName name="QEPSCID_Q1_2007">#REF!</definedName>
    <definedName name="QEPSCID_Q1_2008">#REF!</definedName>
    <definedName name="QEPSCID_Q1_2009">#REF!</definedName>
    <definedName name="QEPSCID_Q1_2010">#REF!</definedName>
    <definedName name="QEPSCID_Q1_2011">#REF!</definedName>
    <definedName name="QEPSCID_Q1_2012">#REF!</definedName>
    <definedName name="QEPSCID_Q1_2013">#REF!</definedName>
    <definedName name="QEPSCID_Q1_2014">#REF!</definedName>
    <definedName name="QEPSCID_Q1_2015">#REF!</definedName>
    <definedName name="QEPSCID_Q2_2005">#REF!</definedName>
    <definedName name="QEPSCID_Q2_2006">#REF!</definedName>
    <definedName name="QEPSCID_Q2_2007">#REF!</definedName>
    <definedName name="QEPSCID_Q2_2008">#REF!</definedName>
    <definedName name="QEPSCID_Q2_2009">#REF!</definedName>
    <definedName name="QEPSCID_Q2_2010">#REF!</definedName>
    <definedName name="QEPSCID_Q2_2011">#REF!</definedName>
    <definedName name="QEPSCID_Q2_2012">#REF!</definedName>
    <definedName name="QEPSCID_Q2_2013">#REF!</definedName>
    <definedName name="QEPSCID_Q2_2014">#REF!</definedName>
    <definedName name="QEPSCID_Q2_2015">#REF!</definedName>
    <definedName name="QEPSCID_Q3_2005">#REF!</definedName>
    <definedName name="QEPSCID_Q3_2006">#REF!</definedName>
    <definedName name="QEPSCID_Q3_2007">#REF!</definedName>
    <definedName name="QEPSCID_Q3_2008">#REF!</definedName>
    <definedName name="QEPSCID_Q3_2009">#REF!</definedName>
    <definedName name="QEPSCID_Q3_2010">#REF!</definedName>
    <definedName name="QEPSCID_Q3_2011">#REF!</definedName>
    <definedName name="QEPSCID_Q3_2012">#REF!</definedName>
    <definedName name="QEPSCID_Q3_2013">#REF!</definedName>
    <definedName name="QEPSCID_Q3_2014">#REF!</definedName>
    <definedName name="QEPSCID_Q3_2015">#REF!</definedName>
    <definedName name="QEPSCID_Q4_2005">#REF!</definedName>
    <definedName name="QEPSCID_Q4_2006">#REF!</definedName>
    <definedName name="QEPSCID_Q4_2007">#REF!</definedName>
    <definedName name="QEPSCID_Q4_2008">#REF!</definedName>
    <definedName name="QEPSCID_Q4_2009">#REF!</definedName>
    <definedName name="QEPSCID_Q4_2010">#REF!</definedName>
    <definedName name="QEPSCID_Q4_2011">#REF!</definedName>
    <definedName name="QEPSCID_Q4_2012">#REF!</definedName>
    <definedName name="QEPSCID_Q4_2013">#REF!</definedName>
    <definedName name="QEPSCID_Q4_2014">#REF!</definedName>
    <definedName name="QEPSCID_Q4_2015">#REF!</definedName>
    <definedName name="QEPSCID_Y1_2005">#REF!</definedName>
    <definedName name="QEPSCID_Y1_2006">#REF!</definedName>
    <definedName name="QEPSCID_Y1_2007">#REF!</definedName>
    <definedName name="QEPSCID_Y1_2008">#REF!</definedName>
    <definedName name="QEPSCID_Y1_2009">#REF!</definedName>
    <definedName name="QEPSCID_Y1_2010">#REF!</definedName>
    <definedName name="QEPSCID_Y1_2011">#REF!</definedName>
    <definedName name="QEPSCID_Y1_2012">#REF!</definedName>
    <definedName name="QEPSCID_Y1_2013">#REF!</definedName>
    <definedName name="QEPSCID_Y1_2014">#REF!</definedName>
    <definedName name="QEPSCID_Y1_2015">#REF!</definedName>
    <definedName name="QEPSNAMED1">#REF!</definedName>
    <definedName name="QEPSNAMED1_9M_2005">#REF!</definedName>
    <definedName name="QEPSNAMED1_9M_2006">#REF!</definedName>
    <definedName name="QEPSNAMED1_9M_2007">#REF!</definedName>
    <definedName name="QEPSNAMED1_9M_2008">#REF!</definedName>
    <definedName name="QEPSNAMED1_9M_2009">#REF!</definedName>
    <definedName name="QEPSNAMED1_9M_2010">#REF!</definedName>
    <definedName name="QEPSNAMED1_9M_2011">#REF!</definedName>
    <definedName name="QEPSNAMED1_9M_2012">#REF!</definedName>
    <definedName name="QEPSNAMED1_9M_2013">#REF!</definedName>
    <definedName name="QEPSNAMED1_9M_2014">#REF!</definedName>
    <definedName name="QEPSNAMED1_9M_2015">#REF!</definedName>
    <definedName name="QEPSNAMED1_H1_2005">#REF!</definedName>
    <definedName name="QEPSNAMED1_H1_2006">#REF!</definedName>
    <definedName name="QEPSNAMED1_H1_2007">#REF!</definedName>
    <definedName name="QEPSNAMED1_H1_2008">#REF!</definedName>
    <definedName name="QEPSNAMED1_H1_2009">#REF!</definedName>
    <definedName name="QEPSNAMED1_H1_2010">#REF!</definedName>
    <definedName name="QEPSNAMED1_H1_2011">#REF!</definedName>
    <definedName name="QEPSNAMED1_H1_2012">#REF!</definedName>
    <definedName name="QEPSNAMED1_H1_2013">#REF!</definedName>
    <definedName name="QEPSNAMED1_H1_2014">#REF!</definedName>
    <definedName name="QEPSNAMED1_H1_2015">#REF!</definedName>
    <definedName name="QEPSNAMED1_H2_2005">#REF!</definedName>
    <definedName name="QEPSNAMED1_H2_2006">#REF!</definedName>
    <definedName name="QEPSNAMED1_H2_2007">#REF!</definedName>
    <definedName name="QEPSNAMED1_H2_2008">#REF!</definedName>
    <definedName name="QEPSNAMED1_H2_2009">#REF!</definedName>
    <definedName name="QEPSNAMED1_H2_2010">#REF!</definedName>
    <definedName name="QEPSNAMED1_H2_2011">#REF!</definedName>
    <definedName name="QEPSNAMED1_H2_2012">#REF!</definedName>
    <definedName name="QEPSNAMED1_H2_2013">#REF!</definedName>
    <definedName name="QEPSNAMED1_H2_2014">#REF!</definedName>
    <definedName name="QEPSNAMED1_H2_2015">#REF!</definedName>
    <definedName name="QEPSNAMED1_Q1_2005">#REF!</definedName>
    <definedName name="QEPSNAMED1_Q1_2006">#REF!</definedName>
    <definedName name="QEPSNAMED1_Q1_2007">#REF!</definedName>
    <definedName name="QEPSNAMED1_Q1_2008">#REF!</definedName>
    <definedName name="QEPSNAMED1_Q1_2009">#REF!</definedName>
    <definedName name="QEPSNAMED1_Q1_2010">#REF!</definedName>
    <definedName name="QEPSNAMED1_Q1_2011">#REF!</definedName>
    <definedName name="QEPSNAMED1_Q1_2012">#REF!</definedName>
    <definedName name="QEPSNAMED1_Q1_2013">#REF!</definedName>
    <definedName name="QEPSNAMED1_Q1_2014">#REF!</definedName>
    <definedName name="QEPSNAMED1_Q1_2015">#REF!</definedName>
    <definedName name="QEPSNAMED1_Q2_2005">#REF!</definedName>
    <definedName name="QEPSNAMED1_Q2_2006">#REF!</definedName>
    <definedName name="QEPSNAMED1_Q2_2007">#REF!</definedName>
    <definedName name="QEPSNAMED1_Q2_2008">#REF!</definedName>
    <definedName name="QEPSNAMED1_Q2_2009">#REF!</definedName>
    <definedName name="QEPSNAMED1_Q2_2010">#REF!</definedName>
    <definedName name="QEPSNAMED1_Q2_2011">#REF!</definedName>
    <definedName name="QEPSNAMED1_Q2_2012">#REF!</definedName>
    <definedName name="QEPSNAMED1_Q2_2013">#REF!</definedName>
    <definedName name="QEPSNAMED1_Q2_2014">#REF!</definedName>
    <definedName name="QEPSNAMED1_Q2_2015">#REF!</definedName>
    <definedName name="QEPSNAMED1_Q3_2005">#REF!</definedName>
    <definedName name="QEPSNAMED1_Q3_2006">#REF!</definedName>
    <definedName name="QEPSNAMED1_Q3_2007">#REF!</definedName>
    <definedName name="QEPSNAMED1_Q3_2008">#REF!</definedName>
    <definedName name="QEPSNAMED1_Q3_2009">#REF!</definedName>
    <definedName name="QEPSNAMED1_Q3_2010">#REF!</definedName>
    <definedName name="QEPSNAMED1_Q3_2011">#REF!</definedName>
    <definedName name="QEPSNAMED1_Q3_2012">#REF!</definedName>
    <definedName name="QEPSNAMED1_Q3_2013">#REF!</definedName>
    <definedName name="QEPSNAMED1_Q3_2014">#REF!</definedName>
    <definedName name="QEPSNAMED1_Q3_2015">#REF!</definedName>
    <definedName name="QEPSNAMED1_Q4_2005">#REF!</definedName>
    <definedName name="QEPSNAMED1_Q4_2006">#REF!</definedName>
    <definedName name="QEPSNAMED1_Q4_2007">#REF!</definedName>
    <definedName name="QEPSNAMED1_Q4_2008">#REF!</definedName>
    <definedName name="QEPSNAMED1_Q4_2009">#REF!</definedName>
    <definedName name="QEPSNAMED1_Q4_2010">#REF!</definedName>
    <definedName name="QEPSNAMED1_Q4_2011">#REF!</definedName>
    <definedName name="QEPSNAMED1_Q4_2012">#REF!</definedName>
    <definedName name="QEPSNAMED1_Q4_2013">#REF!</definedName>
    <definedName name="QEPSNAMED1_Q4_2014">#REF!</definedName>
    <definedName name="QEPSNAMED1_Q4_2015">#REF!</definedName>
    <definedName name="QEPSNAMED1_Y1_2005">#REF!</definedName>
    <definedName name="QEPSNAMED1_Y1_2006">#REF!</definedName>
    <definedName name="QEPSNAMED1_Y1_2007">#REF!</definedName>
    <definedName name="QEPSNAMED1_Y1_2008">#REF!</definedName>
    <definedName name="QEPSNAMED1_Y1_2009">#REF!</definedName>
    <definedName name="QEPSNAMED1_Y1_2010">#REF!</definedName>
    <definedName name="QEPSNAMED1_Y1_2011">#REF!</definedName>
    <definedName name="QEPSNAMED1_Y1_2012">#REF!</definedName>
    <definedName name="QEPSNAMED1_Y1_2013">#REF!</definedName>
    <definedName name="QEPSNAMED1_Y1_2014">#REF!</definedName>
    <definedName name="QEPSNAMED1_Y1_2015">#REF!</definedName>
    <definedName name="QEPSNAMEE">#REF!</definedName>
    <definedName name="QEPSNAMEE_9M_2005">#REF!</definedName>
    <definedName name="QEPSNAMEE_9M_2006">#REF!</definedName>
    <definedName name="QEPSNAMEE_9M_2007">#REF!</definedName>
    <definedName name="QEPSNAMEE_9M_2008">#REF!</definedName>
    <definedName name="QEPSNAMEE_9M_2009">#REF!</definedName>
    <definedName name="QEPSNAMEE_9M_2010">#REF!</definedName>
    <definedName name="QEPSNAMEE_9M_2011">#REF!</definedName>
    <definedName name="QEPSNAMEE_9M_2012">#REF!</definedName>
    <definedName name="QEPSNAMEE_9M_2013">#REF!</definedName>
    <definedName name="QEPSNAMEE_9M_2014">#REF!</definedName>
    <definedName name="QEPSNAMEE_9M_2015">#REF!</definedName>
    <definedName name="QEPSNAMEE_H1_2005">#REF!</definedName>
    <definedName name="QEPSNAMEE_H1_2006">#REF!</definedName>
    <definedName name="QEPSNAMEE_H1_2007">#REF!</definedName>
    <definedName name="QEPSNAMEE_H1_2008">#REF!</definedName>
    <definedName name="QEPSNAMEE_H1_2009">#REF!</definedName>
    <definedName name="QEPSNAMEE_H1_2010">#REF!</definedName>
    <definedName name="QEPSNAMEE_H1_2011">#REF!</definedName>
    <definedName name="QEPSNAMEE_H1_2012">#REF!</definedName>
    <definedName name="QEPSNAMEE_H1_2013">#REF!</definedName>
    <definedName name="QEPSNAMEE_H1_2014">#REF!</definedName>
    <definedName name="QEPSNAMEE_H1_2015">#REF!</definedName>
    <definedName name="QEPSNAMEE_H2_2005">#REF!</definedName>
    <definedName name="QEPSNAMEE_H2_2006">#REF!</definedName>
    <definedName name="QEPSNAMEE_H2_2007">#REF!</definedName>
    <definedName name="QEPSNAMEE_H2_2008">#REF!</definedName>
    <definedName name="QEPSNAMEE_H2_2009">#REF!</definedName>
    <definedName name="QEPSNAMEE_H2_2010">#REF!</definedName>
    <definedName name="QEPSNAMEE_H2_2011">#REF!</definedName>
    <definedName name="QEPSNAMEE_H2_2012">#REF!</definedName>
    <definedName name="QEPSNAMEE_H2_2013">#REF!</definedName>
    <definedName name="QEPSNAMEE_H2_2014">#REF!</definedName>
    <definedName name="QEPSNAMEE_H2_2015">#REF!</definedName>
    <definedName name="QEPSNAMEE_Q1_2005">#REF!</definedName>
    <definedName name="QEPSNAMEE_Q1_2006">#REF!</definedName>
    <definedName name="QEPSNAMEE_Q1_2007">#REF!</definedName>
    <definedName name="QEPSNAMEE_Q1_2008">#REF!</definedName>
    <definedName name="QEPSNAMEE_Q1_2009">#REF!</definedName>
    <definedName name="QEPSNAMEE_Q1_2010">#REF!</definedName>
    <definedName name="QEPSNAMEE_Q1_2011">#REF!</definedName>
    <definedName name="QEPSNAMEE_Q1_2012">#REF!</definedName>
    <definedName name="QEPSNAMEE_Q1_2013">#REF!</definedName>
    <definedName name="QEPSNAMEE_Q1_2014">#REF!</definedName>
    <definedName name="QEPSNAMEE_Q1_2015">#REF!</definedName>
    <definedName name="QEPSNAMEE_Q2_2005">#REF!</definedName>
    <definedName name="QEPSNAMEE_Q2_2006">#REF!</definedName>
    <definedName name="QEPSNAMEE_Q2_2007">#REF!</definedName>
    <definedName name="QEPSNAMEE_Q2_2008">#REF!</definedName>
    <definedName name="QEPSNAMEE_Q2_2009">#REF!</definedName>
    <definedName name="QEPSNAMEE_Q2_2010">#REF!</definedName>
    <definedName name="QEPSNAMEE_Q2_2011">#REF!</definedName>
    <definedName name="QEPSNAMEE_Q2_2012">#REF!</definedName>
    <definedName name="QEPSNAMEE_Q2_2013">#REF!</definedName>
    <definedName name="QEPSNAMEE_Q2_2014">#REF!</definedName>
    <definedName name="QEPSNAMEE_Q2_2015">#REF!</definedName>
    <definedName name="QEPSNAMEE_Q3_2005">#REF!</definedName>
    <definedName name="QEPSNAMEE_Q3_2006">#REF!</definedName>
    <definedName name="QEPSNAMEE_Q3_2007">#REF!</definedName>
    <definedName name="QEPSNAMEE_Q3_2008">#REF!</definedName>
    <definedName name="QEPSNAMEE_Q3_2009">#REF!</definedName>
    <definedName name="QEPSNAMEE_Q3_2010">#REF!</definedName>
    <definedName name="QEPSNAMEE_Q3_2011">#REF!</definedName>
    <definedName name="QEPSNAMEE_Q3_2012">#REF!</definedName>
    <definedName name="QEPSNAMEE_Q3_2013">#REF!</definedName>
    <definedName name="QEPSNAMEE_Q3_2014">#REF!</definedName>
    <definedName name="QEPSNAMEE_Q3_2015">#REF!</definedName>
    <definedName name="QEPSNAMEE_Q4_2005">#REF!</definedName>
    <definedName name="QEPSNAMEE_Q4_2006">#REF!</definedName>
    <definedName name="QEPSNAMEE_Q4_2007">#REF!</definedName>
    <definedName name="QEPSNAMEE_Q4_2008">#REF!</definedName>
    <definedName name="QEPSNAMEE_Q4_2009">#REF!</definedName>
    <definedName name="QEPSNAMEE_Q4_2010">#REF!</definedName>
    <definedName name="QEPSNAMEE_Q4_2011">#REF!</definedName>
    <definedName name="QEPSNAMEE_Q4_2012">#REF!</definedName>
    <definedName name="QEPSNAMEE_Q4_2013">#REF!</definedName>
    <definedName name="QEPSNAMEE_Q4_2014">#REF!</definedName>
    <definedName name="QEPSNAMEE_Q4_2015">#REF!</definedName>
    <definedName name="QEPSNAMEE_Y1_2005">#REF!</definedName>
    <definedName name="QEPSNAMEE_Y1_2006">#REF!</definedName>
    <definedName name="QEPSNAMEE_Y1_2007">#REF!</definedName>
    <definedName name="QEPSNAMEE_Y1_2008">#REF!</definedName>
    <definedName name="QEPSNAMEE_Y1_2009">#REF!</definedName>
    <definedName name="QEPSNAMEE_Y1_2010">#REF!</definedName>
    <definedName name="QEPSNAMEE_Y1_2011">#REF!</definedName>
    <definedName name="QEPSNAMEE_Y1_2012">#REF!</definedName>
    <definedName name="QEPSNAMEE_Y1_2013">#REF!</definedName>
    <definedName name="QEPSNAMEE_Y1_2014">#REF!</definedName>
    <definedName name="QEPSNAMEE_Y1_2015">#REF!</definedName>
    <definedName name="QEPSOE">#REF!</definedName>
    <definedName name="QEPSOE_0">#REF!</definedName>
    <definedName name="QEPSOE_9M_2005">#REF!</definedName>
    <definedName name="QEPSOE_9M_2006">#REF!</definedName>
    <definedName name="QEPSOE_9M_2007">#REF!</definedName>
    <definedName name="QEPSOE_9M_2008">#REF!</definedName>
    <definedName name="QEPSOE_9M_2009">#REF!</definedName>
    <definedName name="QEPSOE_9M_2010">#REF!</definedName>
    <definedName name="QEPSOE_9M_2011">#REF!</definedName>
    <definedName name="QEPSOE_9M_2012">#REF!</definedName>
    <definedName name="QEPSOE_9M_2013">#REF!</definedName>
    <definedName name="QEPSOE_9M_2014">#REF!</definedName>
    <definedName name="QEPSOE_9M_2015">#REF!</definedName>
    <definedName name="QEPSOE_H1_2005">#REF!</definedName>
    <definedName name="QEPSOE_H1_2006">#REF!</definedName>
    <definedName name="QEPSOE_H1_2007">#REF!</definedName>
    <definedName name="QEPSOE_H1_2008">#REF!</definedName>
    <definedName name="QEPSOE_H1_2009">#REF!</definedName>
    <definedName name="QEPSOE_H1_2010">#REF!</definedName>
    <definedName name="QEPSOE_H1_2011">#REF!</definedName>
    <definedName name="QEPSOE_H1_2012">#REF!</definedName>
    <definedName name="QEPSOE_H1_2013">#REF!</definedName>
    <definedName name="QEPSOE_H1_2014">#REF!</definedName>
    <definedName name="QEPSOE_H1_2015">#REF!</definedName>
    <definedName name="QEPSOE_H2_2005">#REF!</definedName>
    <definedName name="QEPSOE_H2_2006">#REF!</definedName>
    <definedName name="QEPSOE_H2_2007">#REF!</definedName>
    <definedName name="QEPSOE_H2_2008">#REF!</definedName>
    <definedName name="QEPSOE_H2_2009">#REF!</definedName>
    <definedName name="QEPSOE_H2_2010">#REF!</definedName>
    <definedName name="QEPSOE_H2_2011">#REF!</definedName>
    <definedName name="QEPSOE_H2_2012">#REF!</definedName>
    <definedName name="QEPSOE_H2_2013">#REF!</definedName>
    <definedName name="QEPSOE_H2_2014">#REF!</definedName>
    <definedName name="QEPSOE_H2_2015">#REF!</definedName>
    <definedName name="QEPSOE_Q1_2005">#REF!</definedName>
    <definedName name="QEPSOE_Q1_2006">#REF!</definedName>
    <definedName name="QEPSOE_Q1_2007">#REF!</definedName>
    <definedName name="QEPSOE_Q1_2008">#REF!</definedName>
    <definedName name="QEPSOE_Q1_2009">#REF!</definedName>
    <definedName name="QEPSOE_Q1_2010">#REF!</definedName>
    <definedName name="QEPSOE_Q1_2011">#REF!</definedName>
    <definedName name="QEPSOE_Q1_2012">#REF!</definedName>
    <definedName name="QEPSOE_Q1_2013">#REF!</definedName>
    <definedName name="QEPSOE_Q1_2014">#REF!</definedName>
    <definedName name="QEPSOE_Q1_2015">#REF!</definedName>
    <definedName name="QEPSOE_Q2_2005">#REF!</definedName>
    <definedName name="QEPSOE_Q2_2006">#REF!</definedName>
    <definedName name="QEPSOE_Q2_2007">#REF!</definedName>
    <definedName name="QEPSOE_Q2_2008">#REF!</definedName>
    <definedName name="QEPSOE_Q2_2009">#REF!</definedName>
    <definedName name="QEPSOE_Q2_2010">#REF!</definedName>
    <definedName name="QEPSOE_Q2_2011">#REF!</definedName>
    <definedName name="QEPSOE_Q2_2012">#REF!</definedName>
    <definedName name="QEPSOE_Q2_2013">#REF!</definedName>
    <definedName name="QEPSOE_Q2_2014">#REF!</definedName>
    <definedName name="QEPSOE_Q2_2015">#REF!</definedName>
    <definedName name="QEPSOE_Q3_2005">#REF!</definedName>
    <definedName name="QEPSOE_Q3_2006">#REF!</definedName>
    <definedName name="QEPSOE_Q3_2007">#REF!</definedName>
    <definedName name="QEPSOE_Q3_2008">#REF!</definedName>
    <definedName name="QEPSOE_Q3_2009">#REF!</definedName>
    <definedName name="QEPSOE_Q3_2010">#REF!</definedName>
    <definedName name="QEPSOE_Q3_2011">#REF!</definedName>
    <definedName name="QEPSOE_Q3_2012">#REF!</definedName>
    <definedName name="QEPSOE_Q3_2013">#REF!</definedName>
    <definedName name="QEPSOE_Q3_2014">#REF!</definedName>
    <definedName name="QEPSOE_Q3_2015">#REF!</definedName>
    <definedName name="QEPSOE_Q4_2005">#REF!</definedName>
    <definedName name="QEPSOE_Q4_2006">#REF!</definedName>
    <definedName name="QEPSOE_Q4_2007">#REF!</definedName>
    <definedName name="QEPSOE_Q4_2008">#REF!</definedName>
    <definedName name="QEPSOE_Q4_2009">#REF!</definedName>
    <definedName name="QEPSOE_Q4_2010">#REF!</definedName>
    <definedName name="QEPSOE_Q4_2011">#REF!</definedName>
    <definedName name="QEPSOE_Q4_2012">#REF!</definedName>
    <definedName name="QEPSOE_Q4_2013">#REF!</definedName>
    <definedName name="QEPSOE_Q4_2014">#REF!</definedName>
    <definedName name="QEPSOE_Q4_2015">#REF!</definedName>
    <definedName name="QEPSOE_Y1_2005">#REF!</definedName>
    <definedName name="QEPSOE_Y1_2006">#REF!</definedName>
    <definedName name="QEPSOE_Y1_2007">#REF!</definedName>
    <definedName name="QEPSOE_Y1_2008">#REF!</definedName>
    <definedName name="QEPSOE_Y1_2009">#REF!</definedName>
    <definedName name="QEPSOE_Y1_2010">#REF!</definedName>
    <definedName name="QEPSOE_Y1_2011">#REF!</definedName>
    <definedName name="QEPSOE_Y1_2012">#REF!</definedName>
    <definedName name="QEPSOE_Y1_2013">#REF!</definedName>
    <definedName name="QEPSOE_Y1_2014">#REF!</definedName>
    <definedName name="QEPSOE_Y1_2015">#REF!</definedName>
    <definedName name="QEPSOID">#REF!</definedName>
    <definedName name="QEPSOID_9M_2005">#REF!</definedName>
    <definedName name="QEPSOID_9M_2006">#REF!</definedName>
    <definedName name="QEPSOID_9M_2007">#REF!</definedName>
    <definedName name="QEPSOID_9M_2008">#REF!</definedName>
    <definedName name="QEPSOID_9M_2009">#REF!</definedName>
    <definedName name="QEPSOID_9M_2010">#REF!</definedName>
    <definedName name="QEPSOID_9M_2011">#REF!</definedName>
    <definedName name="QEPSOID_9M_2012">#REF!</definedName>
    <definedName name="QEPSOID_9M_2013">#REF!</definedName>
    <definedName name="QEPSOID_9M_2014">#REF!</definedName>
    <definedName name="QEPSOID_9M_2015">#REF!</definedName>
    <definedName name="QEPSOID_H1_2005">#REF!</definedName>
    <definedName name="QEPSOID_H1_2006">#REF!</definedName>
    <definedName name="QEPSOID_H1_2007">#REF!</definedName>
    <definedName name="QEPSOID_H1_2008">#REF!</definedName>
    <definedName name="QEPSOID_H1_2009">#REF!</definedName>
    <definedName name="QEPSOID_H1_2010">#REF!</definedName>
    <definedName name="QEPSOID_H1_2011">#REF!</definedName>
    <definedName name="QEPSOID_H1_2012">#REF!</definedName>
    <definedName name="QEPSOID_H1_2013">#REF!</definedName>
    <definedName name="QEPSOID_H1_2014">#REF!</definedName>
    <definedName name="QEPSOID_H1_2015">#REF!</definedName>
    <definedName name="QEPSOID_H2_2005">#REF!</definedName>
    <definedName name="QEPSOID_H2_2006">#REF!</definedName>
    <definedName name="QEPSOID_H2_2007">#REF!</definedName>
    <definedName name="QEPSOID_H2_2008">#REF!</definedName>
    <definedName name="QEPSOID_H2_2009">#REF!</definedName>
    <definedName name="QEPSOID_H2_2010">#REF!</definedName>
    <definedName name="QEPSOID_H2_2011">#REF!</definedName>
    <definedName name="QEPSOID_H2_2012">#REF!</definedName>
    <definedName name="QEPSOID_H2_2013">#REF!</definedName>
    <definedName name="QEPSOID_H2_2014">#REF!</definedName>
    <definedName name="QEPSOID_H2_2015">#REF!</definedName>
    <definedName name="QEPSOID_Q1_2005">#REF!</definedName>
    <definedName name="QEPSOID_Q1_2006">#REF!</definedName>
    <definedName name="QEPSOID_Q1_2007">#REF!</definedName>
    <definedName name="QEPSOID_Q1_2008">#REF!</definedName>
    <definedName name="QEPSOID_Q1_2009">#REF!</definedName>
    <definedName name="QEPSOID_Q1_2010">#REF!</definedName>
    <definedName name="QEPSOID_Q1_2011">#REF!</definedName>
    <definedName name="QEPSOID_Q1_2012">#REF!</definedName>
    <definedName name="QEPSOID_Q1_2013">#REF!</definedName>
    <definedName name="QEPSOID_Q1_2014">#REF!</definedName>
    <definedName name="QEPSOID_Q1_2015">#REF!</definedName>
    <definedName name="QEPSOID_Q2_2005">#REF!</definedName>
    <definedName name="QEPSOID_Q2_2006">#REF!</definedName>
    <definedName name="QEPSOID_Q2_2007">#REF!</definedName>
    <definedName name="QEPSOID_Q2_2008">#REF!</definedName>
    <definedName name="QEPSOID_Q2_2009">#REF!</definedName>
    <definedName name="QEPSOID_Q2_2010">#REF!</definedName>
    <definedName name="QEPSOID_Q2_2011">#REF!</definedName>
    <definedName name="QEPSOID_Q2_2012">#REF!</definedName>
    <definedName name="QEPSOID_Q2_2013">#REF!</definedName>
    <definedName name="QEPSOID_Q2_2014">#REF!</definedName>
    <definedName name="QEPSOID_Q2_2015">#REF!</definedName>
    <definedName name="QEPSOID_Q3_2005">#REF!</definedName>
    <definedName name="QEPSOID_Q3_2006">#REF!</definedName>
    <definedName name="QEPSOID_Q3_2007">#REF!</definedName>
    <definedName name="QEPSOID_Q3_2008">#REF!</definedName>
    <definedName name="QEPSOID_Q3_2009">#REF!</definedName>
    <definedName name="QEPSOID_Q3_2010">#REF!</definedName>
    <definedName name="QEPSOID_Q3_2011">#REF!</definedName>
    <definedName name="QEPSOID_Q3_2012">#REF!</definedName>
    <definedName name="QEPSOID_Q3_2013">#REF!</definedName>
    <definedName name="QEPSOID_Q3_2014">#REF!</definedName>
    <definedName name="QEPSOID_Q3_2015">#REF!</definedName>
    <definedName name="QEPSOID_Q4_2005">#REF!</definedName>
    <definedName name="QEPSOID_Q4_2006">#REF!</definedName>
    <definedName name="QEPSOID_Q4_2007">#REF!</definedName>
    <definedName name="QEPSOID_Q4_2008">#REF!</definedName>
    <definedName name="QEPSOID_Q4_2009">#REF!</definedName>
    <definedName name="QEPSOID_Q4_2010">#REF!</definedName>
    <definedName name="QEPSOID_Q4_2011">#REF!</definedName>
    <definedName name="QEPSOID_Q4_2012">#REF!</definedName>
    <definedName name="QEPSOID_Q4_2013">#REF!</definedName>
    <definedName name="QEPSOID_Q4_2014">#REF!</definedName>
    <definedName name="QEPSOID_Q4_2015">#REF!</definedName>
    <definedName name="QEPSOID_Y1_2005">#REF!</definedName>
    <definedName name="QEPSOID_Y1_2006">#REF!</definedName>
    <definedName name="QEPSOID_Y1_2007">#REF!</definedName>
    <definedName name="QEPSOID_Y1_2008">#REF!</definedName>
    <definedName name="QEPSOID_Y1_2009">#REF!</definedName>
    <definedName name="QEPSOID_Y1_2010">#REF!</definedName>
    <definedName name="QEPSOID_Y1_2011">#REF!</definedName>
    <definedName name="QEPSOID_Y1_2012">#REF!</definedName>
    <definedName name="QEPSOID_Y1_2013">#REF!</definedName>
    <definedName name="QEPSOID_Y1_2014">#REF!</definedName>
    <definedName name="QEPSOID_Y1_2015">#REF!</definedName>
    <definedName name="QEPSREP">#REF!</definedName>
    <definedName name="QEPSREP_9M_2005">#REF!</definedName>
    <definedName name="QEPSREP_9M_2006">#REF!</definedName>
    <definedName name="QEPSREP_9M_2007">#REF!</definedName>
    <definedName name="QEPSREP_9M_2008">#REF!</definedName>
    <definedName name="QEPSREP_9M_2009">#REF!</definedName>
    <definedName name="QEPSREP_9M_2010">#REF!</definedName>
    <definedName name="QEPSREP_9M_2011">#REF!</definedName>
    <definedName name="QEPSREP_9M_2012">#REF!</definedName>
    <definedName name="QEPSREP_9M_2013">#REF!</definedName>
    <definedName name="QEPSREP_9M_2014">#REF!</definedName>
    <definedName name="QEPSREP_9M_2015">#REF!</definedName>
    <definedName name="QEPSREP_H1_2005">#REF!</definedName>
    <definedName name="QEPSREP_H1_2006">#REF!</definedName>
    <definedName name="QEPSREP_H1_2007">#REF!</definedName>
    <definedName name="QEPSREP_H1_2008">#REF!</definedName>
    <definedName name="QEPSREP_H1_2009">#REF!</definedName>
    <definedName name="QEPSREP_H1_2010">#REF!</definedName>
    <definedName name="QEPSREP_H1_2011">#REF!</definedName>
    <definedName name="QEPSREP_H1_2012">#REF!</definedName>
    <definedName name="QEPSREP_H1_2013">#REF!</definedName>
    <definedName name="QEPSREP_H1_2014">#REF!</definedName>
    <definedName name="QEPSREP_H1_2015">#REF!</definedName>
    <definedName name="QEPSREP_H2_2005">#REF!</definedName>
    <definedName name="QEPSREP_H2_2006">#REF!</definedName>
    <definedName name="QEPSREP_H2_2007">#REF!</definedName>
    <definedName name="QEPSREP_H2_2008">#REF!</definedName>
    <definedName name="QEPSREP_H2_2009">#REF!</definedName>
    <definedName name="QEPSREP_H2_2010">#REF!</definedName>
    <definedName name="QEPSREP_H2_2011">#REF!</definedName>
    <definedName name="QEPSREP_H2_2012">#REF!</definedName>
    <definedName name="QEPSREP_H2_2013">#REF!</definedName>
    <definedName name="QEPSREP_H2_2014">#REF!</definedName>
    <definedName name="QEPSREP_H2_2015">#REF!</definedName>
    <definedName name="QEPSREP_Q1_2005">#REF!</definedName>
    <definedName name="QEPSREP_Q1_2006">#REF!</definedName>
    <definedName name="QEPSREP_Q1_2007">#REF!</definedName>
    <definedName name="QEPSREP_Q1_2008">#REF!</definedName>
    <definedName name="QEPSREP_Q1_2009">#REF!</definedName>
    <definedName name="QEPSREP_Q1_2010">#REF!</definedName>
    <definedName name="QEPSREP_Q1_2011">#REF!</definedName>
    <definedName name="QEPSREP_Q1_2012">#REF!</definedName>
    <definedName name="QEPSREP_Q1_2013">#REF!</definedName>
    <definedName name="QEPSREP_Q1_2014">#REF!</definedName>
    <definedName name="QEPSREP_Q1_2015">#REF!</definedName>
    <definedName name="QEPSREP_Q2_2005">#REF!</definedName>
    <definedName name="QEPSREP_Q2_2006">#REF!</definedName>
    <definedName name="QEPSREP_Q2_2007">#REF!</definedName>
    <definedName name="QEPSREP_Q2_2008">#REF!</definedName>
    <definedName name="QEPSREP_Q2_2009">#REF!</definedName>
    <definedName name="QEPSREP_Q2_2010">#REF!</definedName>
    <definedName name="QEPSREP_Q2_2011">#REF!</definedName>
    <definedName name="QEPSREP_Q2_2012">#REF!</definedName>
    <definedName name="QEPSREP_Q2_2013">#REF!</definedName>
    <definedName name="QEPSREP_Q2_2014">#REF!</definedName>
    <definedName name="QEPSREP_Q2_2015">#REF!</definedName>
    <definedName name="QEPSREP_Q3_2005">#REF!</definedName>
    <definedName name="QEPSREP_Q3_2006">#REF!</definedName>
    <definedName name="QEPSREP_Q3_2007">#REF!</definedName>
    <definedName name="QEPSREP_Q3_2008">#REF!</definedName>
    <definedName name="QEPSREP_Q3_2009">#REF!</definedName>
    <definedName name="QEPSREP_Q3_2010">#REF!</definedName>
    <definedName name="QEPSREP_Q3_2011">#REF!</definedName>
    <definedName name="QEPSREP_Q3_2012">#REF!</definedName>
    <definedName name="QEPSREP_Q3_2013">#REF!</definedName>
    <definedName name="QEPSREP_Q3_2014">#REF!</definedName>
    <definedName name="QEPSREP_Q3_2015">#REF!</definedName>
    <definedName name="QEPSREP_Q4_2005">#REF!</definedName>
    <definedName name="QEPSREP_Q4_2006">#REF!</definedName>
    <definedName name="QEPSREP_Q4_2007">#REF!</definedName>
    <definedName name="QEPSREP_Q4_2008">#REF!</definedName>
    <definedName name="QEPSREP_Q4_2009">#REF!</definedName>
    <definedName name="QEPSREP_Q4_2010">#REF!</definedName>
    <definedName name="QEPSREP_Q4_2011">#REF!</definedName>
    <definedName name="QEPSREP_Q4_2012">#REF!</definedName>
    <definedName name="QEPSREP_Q4_2013">#REF!</definedName>
    <definedName name="QEPSREP_Q4_2014">#REF!</definedName>
    <definedName name="QEPSREP_Q4_2015">#REF!</definedName>
    <definedName name="QEPSREP_Y1_2005">#REF!</definedName>
    <definedName name="QEPSREP_Y1_2006">#REF!</definedName>
    <definedName name="QEPSREP_Y1_2007">#REF!</definedName>
    <definedName name="QEPSREP_Y1_2008">#REF!</definedName>
    <definedName name="QEPSREP_Y1_2009">#REF!</definedName>
    <definedName name="QEPSREP_Y1_2010">#REF!</definedName>
    <definedName name="QEPSREP_Y1_2011">#REF!</definedName>
    <definedName name="QEPSREP_Y1_2012">#REF!</definedName>
    <definedName name="QEPSREP_Y1_2013">#REF!</definedName>
    <definedName name="QEPSREP_Y1_2014">#REF!</definedName>
    <definedName name="QEPSREP_Y1_2015">#REF!</definedName>
    <definedName name="QEPSREPPY">#REF!</definedName>
    <definedName name="qewfd" hidden="1">{#N/A,#N/A,FALSE,"Sales"}</definedName>
    <definedName name="qf">#N/A</definedName>
    <definedName name="qgqgrgrqgqrgqreg" hidden="1">{"'Broadway ML#4'!$J$7:$N$490"}</definedName>
    <definedName name="qlkpProduction_LocationRadisys" localSheetId="1">#REF!</definedName>
    <definedName name="qlkpProduction_LocationRadisys">#REF!</definedName>
    <definedName name="qlkpProduction_LocationRadisys_3">#REF!</definedName>
    <definedName name="QltyEngrLA">#REF!</definedName>
    <definedName name="QNOTESD">#REF!</definedName>
    <definedName name="QNOTESD_9M_2005">#REF!</definedName>
    <definedName name="QNOTESD_9M_2006">#REF!</definedName>
    <definedName name="QNOTESD_9M_2007">#REF!</definedName>
    <definedName name="QNOTESD_9M_2008">#REF!</definedName>
    <definedName name="QNOTESD_9M_2009">#REF!</definedName>
    <definedName name="QNOTESD_9M_2010">#REF!</definedName>
    <definedName name="QNOTESD_9M_2011">#REF!</definedName>
    <definedName name="QNOTESD_9M_2012">#REF!</definedName>
    <definedName name="QNOTESD_9M_2013">#REF!</definedName>
    <definedName name="QNOTESD_9M_2014">#REF!</definedName>
    <definedName name="QNOTESD_9M_2015">#REF!</definedName>
    <definedName name="QNOTESD_H1_2005">#REF!</definedName>
    <definedName name="QNOTESD_H1_2006">#REF!</definedName>
    <definedName name="QNOTESD_H1_2007">#REF!</definedName>
    <definedName name="QNOTESD_H1_2008">#REF!</definedName>
    <definedName name="QNOTESD_H1_2009">#REF!</definedName>
    <definedName name="QNOTESD_H1_2010">#REF!</definedName>
    <definedName name="QNOTESD_H1_2011">#REF!</definedName>
    <definedName name="QNOTESD_H1_2012">#REF!</definedName>
    <definedName name="QNOTESD_H1_2013">#REF!</definedName>
    <definedName name="QNOTESD_H1_2014">#REF!</definedName>
    <definedName name="QNOTESD_H1_2015">#REF!</definedName>
    <definedName name="QNOTESD_H2_2005">#REF!</definedName>
    <definedName name="QNOTESD_H2_2006">#REF!</definedName>
    <definedName name="QNOTESD_H2_2007">#REF!</definedName>
    <definedName name="QNOTESD_H2_2008">#REF!</definedName>
    <definedName name="QNOTESD_H2_2009">#REF!</definedName>
    <definedName name="QNOTESD_H2_2010">#REF!</definedName>
    <definedName name="QNOTESD_H2_2011">#REF!</definedName>
    <definedName name="QNOTESD_H2_2012">#REF!</definedName>
    <definedName name="QNOTESD_H2_2013">#REF!</definedName>
    <definedName name="QNOTESD_H2_2014">#REF!</definedName>
    <definedName name="QNOTESD_H2_2015">#REF!</definedName>
    <definedName name="QNOTESD_Q1_2005">#REF!</definedName>
    <definedName name="QNOTESD_Q1_2006">#REF!</definedName>
    <definedName name="QNOTESD_Q1_2007">#REF!</definedName>
    <definedName name="QNOTESD_Q1_2008">#REF!</definedName>
    <definedName name="QNOTESD_Q1_2009">#REF!</definedName>
    <definedName name="QNOTESD_Q1_2010">#REF!</definedName>
    <definedName name="QNOTESD_Q1_2011">#REF!</definedName>
    <definedName name="QNOTESD_Q1_2012">#REF!</definedName>
    <definedName name="QNOTESD_Q1_2013">#REF!</definedName>
    <definedName name="QNOTESD_Q1_2014">#REF!</definedName>
    <definedName name="QNOTESD_Q1_2015">#REF!</definedName>
    <definedName name="QNOTESD_Q2_2005">#REF!</definedName>
    <definedName name="QNOTESD_Q2_2006">#REF!</definedName>
    <definedName name="QNOTESD_Q2_2007">#REF!</definedName>
    <definedName name="QNOTESD_Q2_2008">#REF!</definedName>
    <definedName name="QNOTESD_Q2_2009">#REF!</definedName>
    <definedName name="QNOTESD_Q2_2010">#REF!</definedName>
    <definedName name="QNOTESD_Q2_2011">#REF!</definedName>
    <definedName name="QNOTESD_Q2_2012">#REF!</definedName>
    <definedName name="QNOTESD_Q2_2013">#REF!</definedName>
    <definedName name="QNOTESD_Q2_2014">#REF!</definedName>
    <definedName name="QNOTESD_Q2_2015">#REF!</definedName>
    <definedName name="QNOTESD_Q3_2005">#REF!</definedName>
    <definedName name="QNOTESD_Q3_2006">#REF!</definedName>
    <definedName name="QNOTESD_Q3_2007">#REF!</definedName>
    <definedName name="QNOTESD_Q3_2008">#REF!</definedName>
    <definedName name="QNOTESD_Q3_2009">#REF!</definedName>
    <definedName name="QNOTESD_Q3_2010">#REF!</definedName>
    <definedName name="QNOTESD_Q3_2011">#REF!</definedName>
    <definedName name="QNOTESD_Q3_2012">#REF!</definedName>
    <definedName name="QNOTESD_Q3_2013">#REF!</definedName>
    <definedName name="QNOTESD_Q3_2014">#REF!</definedName>
    <definedName name="QNOTESD_Q3_2015">#REF!</definedName>
    <definedName name="QNOTESD_Q4_2005">#REF!</definedName>
    <definedName name="QNOTESD_Q4_2006">#REF!</definedName>
    <definedName name="QNOTESD_Q4_2007">#REF!</definedName>
    <definedName name="QNOTESD_Q4_2008">#REF!</definedName>
    <definedName name="QNOTESD_Q4_2009">#REF!</definedName>
    <definedName name="QNOTESD_Q4_2010">#REF!</definedName>
    <definedName name="QNOTESD_Q4_2011">#REF!</definedName>
    <definedName name="QNOTESD_Q4_2012">#REF!</definedName>
    <definedName name="QNOTESD_Q4_2013">#REF!</definedName>
    <definedName name="QNOTESD_Q4_2014">#REF!</definedName>
    <definedName name="QNOTESD_Q4_2015">#REF!</definedName>
    <definedName name="QNOTESD_Y1_2005">#REF!</definedName>
    <definedName name="QNOTESD_Y1_2006">#REF!</definedName>
    <definedName name="QNOTESD_Y1_2007">#REF!</definedName>
    <definedName name="QNOTESD_Y1_2008">#REF!</definedName>
    <definedName name="QNOTESD_Y1_2009">#REF!</definedName>
    <definedName name="QNOTESD_Y1_2010">#REF!</definedName>
    <definedName name="QNOTESD_Y1_2011">#REF!</definedName>
    <definedName name="QNOTESD_Y1_2012">#REF!</definedName>
    <definedName name="QNOTESD_Y1_2013">#REF!</definedName>
    <definedName name="QNOTESD_Y1_2014">#REF!</definedName>
    <definedName name="QNOTESD_Y1_2015">#REF!</definedName>
    <definedName name="QNOTESE">#REF!</definedName>
    <definedName name="QNOTESE_9M_2005">#REF!</definedName>
    <definedName name="QNOTESE_9M_2006">#REF!</definedName>
    <definedName name="QNOTESE_9M_2007">#REF!</definedName>
    <definedName name="QNOTESE_9M_2008">#REF!</definedName>
    <definedName name="QNOTESE_9M_2009">#REF!</definedName>
    <definedName name="QNOTESE_9M_2010">#REF!</definedName>
    <definedName name="QNOTESE_9M_2011">#REF!</definedName>
    <definedName name="QNOTESE_9M_2012">#REF!</definedName>
    <definedName name="QNOTESE_9M_2013">#REF!</definedName>
    <definedName name="QNOTESE_9M_2014">#REF!</definedName>
    <definedName name="QNOTESE_9M_2015">#REF!</definedName>
    <definedName name="QNOTESE_H1_2005">#REF!</definedName>
    <definedName name="QNOTESE_H1_2006">#REF!</definedName>
    <definedName name="QNOTESE_H1_2007">#REF!</definedName>
    <definedName name="QNOTESE_H1_2008">#REF!</definedName>
    <definedName name="QNOTESE_H1_2009">#REF!</definedName>
    <definedName name="QNOTESE_H1_2010">#REF!</definedName>
    <definedName name="QNOTESE_H1_2011">#REF!</definedName>
    <definedName name="QNOTESE_H1_2012">#REF!</definedName>
    <definedName name="QNOTESE_H1_2013">#REF!</definedName>
    <definedName name="QNOTESE_H1_2014">#REF!</definedName>
    <definedName name="QNOTESE_H1_2015">#REF!</definedName>
    <definedName name="QNOTESE_H2_2005">#REF!</definedName>
    <definedName name="QNOTESE_H2_2006">#REF!</definedName>
    <definedName name="QNOTESE_H2_2007">#REF!</definedName>
    <definedName name="QNOTESE_H2_2008">#REF!</definedName>
    <definedName name="QNOTESE_H2_2009">#REF!</definedName>
    <definedName name="QNOTESE_H2_2010">#REF!</definedName>
    <definedName name="QNOTESE_H2_2011">#REF!</definedName>
    <definedName name="QNOTESE_H2_2012">#REF!</definedName>
    <definedName name="QNOTESE_H2_2013">#REF!</definedName>
    <definedName name="QNOTESE_H2_2014">#REF!</definedName>
    <definedName name="QNOTESE_H2_2015">#REF!</definedName>
    <definedName name="QNOTESE_Q1_2005">#REF!</definedName>
    <definedName name="QNOTESE_Q1_2006">#REF!</definedName>
    <definedName name="QNOTESE_Q1_2007">#REF!</definedName>
    <definedName name="QNOTESE_Q1_2008">#REF!</definedName>
    <definedName name="QNOTESE_Q1_2009">#REF!</definedName>
    <definedName name="QNOTESE_Q1_2010">#REF!</definedName>
    <definedName name="QNOTESE_Q1_2011">#REF!</definedName>
    <definedName name="QNOTESE_Q1_2012">#REF!</definedName>
    <definedName name="QNOTESE_Q1_2013">#REF!</definedName>
    <definedName name="QNOTESE_Q1_2014">#REF!</definedName>
    <definedName name="QNOTESE_Q1_2015">#REF!</definedName>
    <definedName name="QNOTESE_Q2_2005">#REF!</definedName>
    <definedName name="QNOTESE_Q2_2006">#REF!</definedName>
    <definedName name="QNOTESE_Q2_2007">#REF!</definedName>
    <definedName name="QNOTESE_Q2_2008">#REF!</definedName>
    <definedName name="QNOTESE_Q2_2009">#REF!</definedName>
    <definedName name="QNOTESE_Q2_2010">#REF!</definedName>
    <definedName name="QNOTESE_Q2_2011">#REF!</definedName>
    <definedName name="QNOTESE_Q2_2012">#REF!</definedName>
    <definedName name="QNOTESE_Q2_2013">#REF!</definedName>
    <definedName name="QNOTESE_Q2_2014">#REF!</definedName>
    <definedName name="QNOTESE_Q2_2015">#REF!</definedName>
    <definedName name="QNOTESE_Q3_2005">#REF!</definedName>
    <definedName name="QNOTESE_Q3_2006">#REF!</definedName>
    <definedName name="QNOTESE_Q3_2007">#REF!</definedName>
    <definedName name="QNOTESE_Q3_2008">#REF!</definedName>
    <definedName name="QNOTESE_Q3_2009">#REF!</definedName>
    <definedName name="QNOTESE_Q3_2010">#REF!</definedName>
    <definedName name="QNOTESE_Q3_2011">#REF!</definedName>
    <definedName name="QNOTESE_Q3_2012">#REF!</definedName>
    <definedName name="QNOTESE_Q3_2013">#REF!</definedName>
    <definedName name="QNOTESE_Q3_2014">#REF!</definedName>
    <definedName name="QNOTESE_Q3_2015">#REF!</definedName>
    <definedName name="QNOTESE_Q4_2005">#REF!</definedName>
    <definedName name="QNOTESE_Q4_2006">#REF!</definedName>
    <definedName name="QNOTESE_Q4_2007">#REF!</definedName>
    <definedName name="QNOTESE_Q4_2008">#REF!</definedName>
    <definedName name="QNOTESE_Q4_2009">#REF!</definedName>
    <definedName name="QNOTESE_Q4_2010">#REF!</definedName>
    <definedName name="QNOTESE_Q4_2011">#REF!</definedName>
    <definedName name="QNOTESE_Q4_2012">#REF!</definedName>
    <definedName name="QNOTESE_Q4_2013">#REF!</definedName>
    <definedName name="QNOTESE_Q4_2014">#REF!</definedName>
    <definedName name="QNOTESE_Q4_2015">#REF!</definedName>
    <definedName name="QNOTESE_Y1_2005">#REF!</definedName>
    <definedName name="QNOTESE_Y1_2006">#REF!</definedName>
    <definedName name="QNOTESE_Y1_2007">#REF!</definedName>
    <definedName name="QNOTESE_Y1_2008">#REF!</definedName>
    <definedName name="QNOTESE_Y1_2009">#REF!</definedName>
    <definedName name="QNOTESE_Y1_2010">#REF!</definedName>
    <definedName name="QNOTESE_Y1_2011">#REF!</definedName>
    <definedName name="QNOTESE_Y1_2012">#REF!</definedName>
    <definedName name="QNOTESE_Y1_2013">#REF!</definedName>
    <definedName name="QNOTESE_Y1_2014">#REF!</definedName>
    <definedName name="QNOTESE_Y1_2015">#REF!</definedName>
    <definedName name="QOPPCE">#REF!</definedName>
    <definedName name="QOPPCE_9M_2005">#REF!</definedName>
    <definedName name="QOPPCE_9M_2006">#REF!</definedName>
    <definedName name="QOPPCE_9M_2007">#REF!</definedName>
    <definedName name="QOPPCE_9M_2008">#REF!</definedName>
    <definedName name="QOPPCE_9M_2009">#REF!</definedName>
    <definedName name="QOPPCE_9M_2010">#REF!</definedName>
    <definedName name="QOPPCE_9M_2011">#REF!</definedName>
    <definedName name="QOPPCE_9M_2012">#REF!</definedName>
    <definedName name="QOPPCE_9M_2013">#REF!</definedName>
    <definedName name="QOPPCE_9M_2014">#REF!</definedName>
    <definedName name="QOPPCE_9M_2015">#REF!</definedName>
    <definedName name="QOPPCE_H1_2005">#REF!</definedName>
    <definedName name="QOPPCE_H1_2006">#REF!</definedName>
    <definedName name="QOPPCE_H1_2007">#REF!</definedName>
    <definedName name="QOPPCE_H1_2008">#REF!</definedName>
    <definedName name="QOPPCE_H1_2009">#REF!</definedName>
    <definedName name="QOPPCE_H1_2010">#REF!</definedName>
    <definedName name="QOPPCE_H1_2011">#REF!</definedName>
    <definedName name="QOPPCE_H1_2012">#REF!</definedName>
    <definedName name="QOPPCE_H1_2013">#REF!</definedName>
    <definedName name="QOPPCE_H1_2014">#REF!</definedName>
    <definedName name="QOPPCE_H1_2015">#REF!</definedName>
    <definedName name="QOPPCE_H2_2005">#REF!</definedName>
    <definedName name="QOPPCE_H2_2006">#REF!</definedName>
    <definedName name="QOPPCE_H2_2007">#REF!</definedName>
    <definedName name="QOPPCE_H2_2008">#REF!</definedName>
    <definedName name="QOPPCE_H2_2009">#REF!</definedName>
    <definedName name="QOPPCE_H2_2010">#REF!</definedName>
    <definedName name="QOPPCE_H2_2011">#REF!</definedName>
    <definedName name="QOPPCE_H2_2012">#REF!</definedName>
    <definedName name="QOPPCE_H2_2013">#REF!</definedName>
    <definedName name="QOPPCE_H2_2014">#REF!</definedName>
    <definedName name="QOPPCE_H2_2015">#REF!</definedName>
    <definedName name="QOPPCE_Q1_2005">#REF!</definedName>
    <definedName name="QOPPCE_Q1_2006">#REF!</definedName>
    <definedName name="QOPPCE_Q1_2007">#REF!</definedName>
    <definedName name="QOPPCE_Q1_2008">#REF!</definedName>
    <definedName name="QOPPCE_Q1_2009">#REF!</definedName>
    <definedName name="QOPPCE_Q1_2010">#REF!</definedName>
    <definedName name="QOPPCE_Q1_2011">#REF!</definedName>
    <definedName name="QOPPCE_Q1_2012">#REF!</definedName>
    <definedName name="QOPPCE_Q1_2013">#REF!</definedName>
    <definedName name="QOPPCE_Q1_2014">#REF!</definedName>
    <definedName name="QOPPCE_Q1_2015">#REF!</definedName>
    <definedName name="QOPPCE_Q2_2005">#REF!</definedName>
    <definedName name="QOPPCE_Q2_2006">#REF!</definedName>
    <definedName name="QOPPCE_Q2_2007">#REF!</definedName>
    <definedName name="QOPPCE_Q2_2008">#REF!</definedName>
    <definedName name="QOPPCE_Q2_2009">#REF!</definedName>
    <definedName name="QOPPCE_Q2_2010">#REF!</definedName>
    <definedName name="QOPPCE_Q2_2011">#REF!</definedName>
    <definedName name="QOPPCE_Q2_2012">#REF!</definedName>
    <definedName name="QOPPCE_Q2_2013">#REF!</definedName>
    <definedName name="QOPPCE_Q2_2014">#REF!</definedName>
    <definedName name="QOPPCE_Q2_2015">#REF!</definedName>
    <definedName name="QOPPCE_Q3_2005">#REF!</definedName>
    <definedName name="QOPPCE_Q3_2006">#REF!</definedName>
    <definedName name="QOPPCE_Q3_2007">#REF!</definedName>
    <definedName name="QOPPCE_Q3_2008">#REF!</definedName>
    <definedName name="QOPPCE_Q3_2009">#REF!</definedName>
    <definedName name="QOPPCE_Q3_2010">#REF!</definedName>
    <definedName name="QOPPCE_Q3_2011">#REF!</definedName>
    <definedName name="QOPPCE_Q3_2012">#REF!</definedName>
    <definedName name="QOPPCE_Q3_2013">#REF!</definedName>
    <definedName name="QOPPCE_Q3_2014">#REF!</definedName>
    <definedName name="QOPPCE_Q3_2015">#REF!</definedName>
    <definedName name="QOPPCE_Q4_2005">#REF!</definedName>
    <definedName name="QOPPCE_Q4_2006">#REF!</definedName>
    <definedName name="QOPPCE_Q4_2007">#REF!</definedName>
    <definedName name="QOPPCE_Q4_2008">#REF!</definedName>
    <definedName name="QOPPCE_Q4_2009">#REF!</definedName>
    <definedName name="QOPPCE_Q4_2010">#REF!</definedName>
    <definedName name="QOPPCE_Q4_2011">#REF!</definedName>
    <definedName name="QOPPCE_Q4_2012">#REF!</definedName>
    <definedName name="QOPPCE_Q4_2013">#REF!</definedName>
    <definedName name="QOPPCE_Q4_2014">#REF!</definedName>
    <definedName name="QOPPCE_Q4_2015">#REF!</definedName>
    <definedName name="QOPPCE_Y1_2005">#REF!</definedName>
    <definedName name="QOPPCE_Y1_2006">#REF!</definedName>
    <definedName name="QOPPCE_Y1_2007">#REF!</definedName>
    <definedName name="QOPPCE_Y1_2008">#REF!</definedName>
    <definedName name="QOPPCE_Y1_2009">#REF!</definedName>
    <definedName name="QOPPCE_Y1_2010">#REF!</definedName>
    <definedName name="QOPPCE_Y1_2011">#REF!</definedName>
    <definedName name="QOPPCE_Y1_2012">#REF!</definedName>
    <definedName name="QOPPCE_Y1_2013">#REF!</definedName>
    <definedName name="QOPPCE_Y1_2014">#REF!</definedName>
    <definedName name="QOPPCE_Y1_2015">#REF!</definedName>
    <definedName name="QOPPCID">#REF!</definedName>
    <definedName name="QOPPCID_9M_2005">#REF!</definedName>
    <definedName name="QOPPCID_9M_2006">#REF!</definedName>
    <definedName name="QOPPCID_9M_2007">#REF!</definedName>
    <definedName name="QOPPCID_9M_2008">#REF!</definedName>
    <definedName name="QOPPCID_9M_2009">#REF!</definedName>
    <definedName name="QOPPCID_9M_2010">#REF!</definedName>
    <definedName name="QOPPCID_9M_2011">#REF!</definedName>
    <definedName name="QOPPCID_9M_2012">#REF!</definedName>
    <definedName name="QOPPCID_9M_2013">#REF!</definedName>
    <definedName name="QOPPCID_9M_2014">#REF!</definedName>
    <definedName name="QOPPCID_9M_2015">#REF!</definedName>
    <definedName name="QOPPCID_H1_2005">#REF!</definedName>
    <definedName name="QOPPCID_H1_2006">#REF!</definedName>
    <definedName name="QOPPCID_H1_2007">#REF!</definedName>
    <definedName name="QOPPCID_H1_2008">#REF!</definedName>
    <definedName name="QOPPCID_H1_2009">#REF!</definedName>
    <definedName name="QOPPCID_H1_2010">#REF!</definedName>
    <definedName name="QOPPCID_H1_2011">#REF!</definedName>
    <definedName name="QOPPCID_H1_2012">#REF!</definedName>
    <definedName name="QOPPCID_H1_2013">#REF!</definedName>
    <definedName name="QOPPCID_H1_2014">#REF!</definedName>
    <definedName name="QOPPCID_H1_2015">#REF!</definedName>
    <definedName name="QOPPCID_H2_2005">#REF!</definedName>
    <definedName name="QOPPCID_H2_2006">#REF!</definedName>
    <definedName name="QOPPCID_H2_2007">#REF!</definedName>
    <definedName name="QOPPCID_H2_2008">#REF!</definedName>
    <definedName name="QOPPCID_H2_2009">#REF!</definedName>
    <definedName name="QOPPCID_H2_2010">#REF!</definedName>
    <definedName name="QOPPCID_H2_2011">#REF!</definedName>
    <definedName name="QOPPCID_H2_2012">#REF!</definedName>
    <definedName name="QOPPCID_H2_2013">#REF!</definedName>
    <definedName name="QOPPCID_H2_2014">#REF!</definedName>
    <definedName name="QOPPCID_H2_2015">#REF!</definedName>
    <definedName name="QOPPCID_Q1_2005">#REF!</definedName>
    <definedName name="QOPPCID_Q1_2006">#REF!</definedName>
    <definedName name="QOPPCID_Q1_2007">#REF!</definedName>
    <definedName name="QOPPCID_Q1_2008">#REF!</definedName>
    <definedName name="QOPPCID_Q1_2009">#REF!</definedName>
    <definedName name="QOPPCID_Q1_2010">#REF!</definedName>
    <definedName name="QOPPCID_Q1_2011">#REF!</definedName>
    <definedName name="QOPPCID_Q1_2012">#REF!</definedName>
    <definedName name="QOPPCID_Q1_2013">#REF!</definedName>
    <definedName name="QOPPCID_Q1_2014">#REF!</definedName>
    <definedName name="QOPPCID_Q1_2015">#REF!</definedName>
    <definedName name="QOPPCID_Q2_2005">#REF!</definedName>
    <definedName name="QOPPCID_Q2_2006">#REF!</definedName>
    <definedName name="QOPPCID_Q2_2007">#REF!</definedName>
    <definedName name="QOPPCID_Q2_2008">#REF!</definedName>
    <definedName name="QOPPCID_Q2_2009">#REF!</definedName>
    <definedName name="QOPPCID_Q2_2010">#REF!</definedName>
    <definedName name="QOPPCID_Q2_2011">#REF!</definedName>
    <definedName name="QOPPCID_Q2_2012">#REF!</definedName>
    <definedName name="QOPPCID_Q2_2013">#REF!</definedName>
    <definedName name="QOPPCID_Q2_2014">#REF!</definedName>
    <definedName name="QOPPCID_Q2_2015">#REF!</definedName>
    <definedName name="QOPPCID_Q3_2005">#REF!</definedName>
    <definedName name="QOPPCID_Q3_2006">#REF!</definedName>
    <definedName name="QOPPCID_Q3_2007">#REF!</definedName>
    <definedName name="QOPPCID_Q3_2008">#REF!</definedName>
    <definedName name="QOPPCID_Q3_2009">#REF!</definedName>
    <definedName name="QOPPCID_Q3_2010">#REF!</definedName>
    <definedName name="QOPPCID_Q3_2011">#REF!</definedName>
    <definedName name="QOPPCID_Q3_2012">#REF!</definedName>
    <definedName name="QOPPCID_Q3_2013">#REF!</definedName>
    <definedName name="QOPPCID_Q3_2014">#REF!</definedName>
    <definedName name="QOPPCID_Q3_2015">#REF!</definedName>
    <definedName name="QOPPCID_Q4_2005">#REF!</definedName>
    <definedName name="QOPPCID_Q4_2006">#REF!</definedName>
    <definedName name="QOPPCID_Q4_2007">#REF!</definedName>
    <definedName name="QOPPCID_Q4_2008">#REF!</definedName>
    <definedName name="QOPPCID_Q4_2009">#REF!</definedName>
    <definedName name="QOPPCID_Q4_2010">#REF!</definedName>
    <definedName name="QOPPCID_Q4_2011">#REF!</definedName>
    <definedName name="QOPPCID_Q4_2012">#REF!</definedName>
    <definedName name="QOPPCID_Q4_2013">#REF!</definedName>
    <definedName name="QOPPCID_Q4_2014">#REF!</definedName>
    <definedName name="QOPPCID_Q4_2015">#REF!</definedName>
    <definedName name="QOPPCID_Y1_2005">#REF!</definedName>
    <definedName name="QOPPCID_Y1_2006">#REF!</definedName>
    <definedName name="QOPPCID_Y1_2007">#REF!</definedName>
    <definedName name="QOPPCID_Y1_2008">#REF!</definedName>
    <definedName name="QOPPCID_Y1_2009">#REF!</definedName>
    <definedName name="QOPPCID_Y1_2010">#REF!</definedName>
    <definedName name="QOPPCID_Y1_2011">#REF!</definedName>
    <definedName name="QOPPCID_Y1_2012">#REF!</definedName>
    <definedName name="QOPPCID_Y1_2013">#REF!</definedName>
    <definedName name="QOPPCID_Y1_2014">#REF!</definedName>
    <definedName name="QOPPCID_Y1_2015">#REF!</definedName>
    <definedName name="QOPPNAMED">#REF!</definedName>
    <definedName name="QOPPNAMED_9M_2005">#REF!</definedName>
    <definedName name="QOPPNAMED_9M_2006">#REF!</definedName>
    <definedName name="QOPPNAMED_9M_2007">#REF!</definedName>
    <definedName name="QOPPNAMED_9M_2008">#REF!</definedName>
    <definedName name="QOPPNAMED_9M_2009">#REF!</definedName>
    <definedName name="QOPPNAMED_9M_2010">#REF!</definedName>
    <definedName name="QOPPNAMED_9M_2011">#REF!</definedName>
    <definedName name="QOPPNAMED_9M_2012">#REF!</definedName>
    <definedName name="QOPPNAMED_9M_2013">#REF!</definedName>
    <definedName name="QOPPNAMED_9M_2014">#REF!</definedName>
    <definedName name="QOPPNAMED_9M_2015">#REF!</definedName>
    <definedName name="QOPPNAMED_H1_2005">#REF!</definedName>
    <definedName name="QOPPNAMED_H1_2006">#REF!</definedName>
    <definedName name="QOPPNAMED_H1_2007">#REF!</definedName>
    <definedName name="QOPPNAMED_H1_2008">#REF!</definedName>
    <definedName name="QOPPNAMED_H1_2009">#REF!</definedName>
    <definedName name="QOPPNAMED_H1_2010">#REF!</definedName>
    <definedName name="QOPPNAMED_H1_2011">#REF!</definedName>
    <definedName name="QOPPNAMED_H1_2012">#REF!</definedName>
    <definedName name="QOPPNAMED_H1_2013">#REF!</definedName>
    <definedName name="QOPPNAMED_H1_2014">#REF!</definedName>
    <definedName name="QOPPNAMED_H1_2015">#REF!</definedName>
    <definedName name="QOPPNAMED_H2_2005">#REF!</definedName>
    <definedName name="QOPPNAMED_H2_2006">#REF!</definedName>
    <definedName name="QOPPNAMED_H2_2007">#REF!</definedName>
    <definedName name="QOPPNAMED_H2_2008">#REF!</definedName>
    <definedName name="QOPPNAMED_H2_2009">#REF!</definedName>
    <definedName name="QOPPNAMED_H2_2010">#REF!</definedName>
    <definedName name="QOPPNAMED_H2_2011">#REF!</definedName>
    <definedName name="QOPPNAMED_H2_2012">#REF!</definedName>
    <definedName name="QOPPNAMED_H2_2013">#REF!</definedName>
    <definedName name="QOPPNAMED_H2_2014">#REF!</definedName>
    <definedName name="QOPPNAMED_H2_2015">#REF!</definedName>
    <definedName name="QOPPNAMED_Q1_2005">#REF!</definedName>
    <definedName name="QOPPNAMED_Q1_2006">#REF!</definedName>
    <definedName name="QOPPNAMED_Q1_2007">#REF!</definedName>
    <definedName name="QOPPNAMED_Q1_2008">#REF!</definedName>
    <definedName name="QOPPNAMED_Q1_2009">#REF!</definedName>
    <definedName name="QOPPNAMED_Q1_2010">#REF!</definedName>
    <definedName name="QOPPNAMED_Q1_2011">#REF!</definedName>
    <definedName name="QOPPNAMED_Q1_2012">#REF!</definedName>
    <definedName name="QOPPNAMED_Q1_2013">#REF!</definedName>
    <definedName name="QOPPNAMED_Q1_2014">#REF!</definedName>
    <definedName name="QOPPNAMED_Q1_2015">#REF!</definedName>
    <definedName name="QOPPNAMED_Q2_2005">#REF!</definedName>
    <definedName name="QOPPNAMED_Q2_2006">#REF!</definedName>
    <definedName name="QOPPNAMED_Q2_2007">#REF!</definedName>
    <definedName name="QOPPNAMED_Q2_2008">#REF!</definedName>
    <definedName name="QOPPNAMED_Q2_2009">#REF!</definedName>
    <definedName name="QOPPNAMED_Q2_2010">#REF!</definedName>
    <definedName name="QOPPNAMED_Q2_2011">#REF!</definedName>
    <definedName name="QOPPNAMED_Q2_2012">#REF!</definedName>
    <definedName name="QOPPNAMED_Q2_2013">#REF!</definedName>
    <definedName name="QOPPNAMED_Q2_2014">#REF!</definedName>
    <definedName name="QOPPNAMED_Q2_2015">#REF!</definedName>
    <definedName name="QOPPNAMED_Q3_2005">#REF!</definedName>
    <definedName name="QOPPNAMED_Q3_2006">#REF!</definedName>
    <definedName name="QOPPNAMED_Q3_2007">#REF!</definedName>
    <definedName name="QOPPNAMED_Q3_2008">#REF!</definedName>
    <definedName name="QOPPNAMED_Q3_2009">#REF!</definedName>
    <definedName name="QOPPNAMED_Q3_2010">#REF!</definedName>
    <definedName name="QOPPNAMED_Q3_2011">#REF!</definedName>
    <definedName name="QOPPNAMED_Q3_2012">#REF!</definedName>
    <definedName name="QOPPNAMED_Q3_2013">#REF!</definedName>
    <definedName name="QOPPNAMED_Q3_2014">#REF!</definedName>
    <definedName name="QOPPNAMED_Q3_2015">#REF!</definedName>
    <definedName name="QOPPNAMED_Q4_2005">#REF!</definedName>
    <definedName name="QOPPNAMED_Q4_2006">#REF!</definedName>
    <definedName name="QOPPNAMED_Q4_2007">#REF!</definedName>
    <definedName name="QOPPNAMED_Q4_2008">#REF!</definedName>
    <definedName name="QOPPNAMED_Q4_2009">#REF!</definedName>
    <definedName name="QOPPNAMED_Q4_2010">#REF!</definedName>
    <definedName name="QOPPNAMED_Q4_2011">#REF!</definedName>
    <definedName name="QOPPNAMED_Q4_2012">#REF!</definedName>
    <definedName name="QOPPNAMED_Q4_2013">#REF!</definedName>
    <definedName name="QOPPNAMED_Q4_2014">#REF!</definedName>
    <definedName name="QOPPNAMED_Q4_2015">#REF!</definedName>
    <definedName name="QOPPNAMED_Y1_2005">#REF!</definedName>
    <definedName name="QOPPNAMED_Y1_2006">#REF!</definedName>
    <definedName name="QOPPNAMED_Y1_2007">#REF!</definedName>
    <definedName name="QOPPNAMED_Y1_2008">#REF!</definedName>
    <definedName name="QOPPNAMED_Y1_2009">#REF!</definedName>
    <definedName name="QOPPNAMED_Y1_2010">#REF!</definedName>
    <definedName name="QOPPNAMED_Y1_2011">#REF!</definedName>
    <definedName name="QOPPNAMED_Y1_2012">#REF!</definedName>
    <definedName name="QOPPNAMED_Y1_2013">#REF!</definedName>
    <definedName name="QOPPNAMED_Y1_2014">#REF!</definedName>
    <definedName name="QOPPNAMED_Y1_2015">#REF!</definedName>
    <definedName name="QOPPNAMEE">#REF!</definedName>
    <definedName name="QOPPNAMEE_9M_2005">#REF!</definedName>
    <definedName name="QOPPNAMEE_9M_2006">#REF!</definedName>
    <definedName name="QOPPNAMEE_9M_2007">#REF!</definedName>
    <definedName name="QOPPNAMEE_9M_2008">#REF!</definedName>
    <definedName name="QOPPNAMEE_9M_2009">#REF!</definedName>
    <definedName name="QOPPNAMEE_9M_2010">#REF!</definedName>
    <definedName name="QOPPNAMEE_9M_2011">#REF!</definedName>
    <definedName name="QOPPNAMEE_9M_2012">#REF!</definedName>
    <definedName name="QOPPNAMEE_9M_2013">#REF!</definedName>
    <definedName name="QOPPNAMEE_9M_2014">#REF!</definedName>
    <definedName name="QOPPNAMEE_9M_2015">#REF!</definedName>
    <definedName name="QOPPNAMEE_H1_2005">#REF!</definedName>
    <definedName name="QOPPNAMEE_H1_2006">#REF!</definedName>
    <definedName name="QOPPNAMEE_H1_2007">#REF!</definedName>
    <definedName name="QOPPNAMEE_H1_2008">#REF!</definedName>
    <definedName name="QOPPNAMEE_H1_2009">#REF!</definedName>
    <definedName name="QOPPNAMEE_H1_2010">#REF!</definedName>
    <definedName name="QOPPNAMEE_H1_2011">#REF!</definedName>
    <definedName name="QOPPNAMEE_H1_2012">#REF!</definedName>
    <definedName name="QOPPNAMEE_H1_2013">#REF!</definedName>
    <definedName name="QOPPNAMEE_H1_2014">#REF!</definedName>
    <definedName name="QOPPNAMEE_H1_2015">#REF!</definedName>
    <definedName name="QOPPNAMEE_H2_2005">#REF!</definedName>
    <definedName name="QOPPNAMEE_H2_2006">#REF!</definedName>
    <definedName name="QOPPNAMEE_H2_2007">#REF!</definedName>
    <definedName name="QOPPNAMEE_H2_2008">#REF!</definedName>
    <definedName name="QOPPNAMEE_H2_2009">#REF!</definedName>
    <definedName name="QOPPNAMEE_H2_2010">#REF!</definedName>
    <definedName name="QOPPNAMEE_H2_2011">#REF!</definedName>
    <definedName name="QOPPNAMEE_H2_2012">#REF!</definedName>
    <definedName name="QOPPNAMEE_H2_2013">#REF!</definedName>
    <definedName name="QOPPNAMEE_H2_2014">#REF!</definedName>
    <definedName name="QOPPNAMEE_H2_2015">#REF!</definedName>
    <definedName name="QOPPNAMEE_Q1_2005">#REF!</definedName>
    <definedName name="QOPPNAMEE_Q1_2006">#REF!</definedName>
    <definedName name="QOPPNAMEE_Q1_2007">#REF!</definedName>
    <definedName name="QOPPNAMEE_Q1_2008">#REF!</definedName>
    <definedName name="QOPPNAMEE_Q1_2009">#REF!</definedName>
    <definedName name="QOPPNAMEE_Q1_2010">#REF!</definedName>
    <definedName name="QOPPNAMEE_Q1_2011">#REF!</definedName>
    <definedName name="QOPPNAMEE_Q1_2012">#REF!</definedName>
    <definedName name="QOPPNAMEE_Q1_2013">#REF!</definedName>
    <definedName name="QOPPNAMEE_Q1_2014">#REF!</definedName>
    <definedName name="QOPPNAMEE_Q1_2015">#REF!</definedName>
    <definedName name="QOPPNAMEE_Q2_2005">#REF!</definedName>
    <definedName name="QOPPNAMEE_Q2_2006">#REF!</definedName>
    <definedName name="QOPPNAMEE_Q2_2007">#REF!</definedName>
    <definedName name="QOPPNAMEE_Q2_2008">#REF!</definedName>
    <definedName name="QOPPNAMEE_Q2_2009">#REF!</definedName>
    <definedName name="QOPPNAMEE_Q2_2010">#REF!</definedName>
    <definedName name="QOPPNAMEE_Q2_2011">#REF!</definedName>
    <definedName name="QOPPNAMEE_Q2_2012">#REF!</definedName>
    <definedName name="QOPPNAMEE_Q2_2013">#REF!</definedName>
    <definedName name="QOPPNAMEE_Q2_2014">#REF!</definedName>
    <definedName name="QOPPNAMEE_Q2_2015">#REF!</definedName>
    <definedName name="QOPPNAMEE_Q3_2005">#REF!</definedName>
    <definedName name="QOPPNAMEE_Q3_2006">#REF!</definedName>
    <definedName name="QOPPNAMEE_Q3_2007">#REF!</definedName>
    <definedName name="QOPPNAMEE_Q3_2008">#REF!</definedName>
    <definedName name="QOPPNAMEE_Q3_2009">#REF!</definedName>
    <definedName name="QOPPNAMEE_Q3_2010">#REF!</definedName>
    <definedName name="QOPPNAMEE_Q3_2011">#REF!</definedName>
    <definedName name="QOPPNAMEE_Q3_2012">#REF!</definedName>
    <definedName name="QOPPNAMEE_Q3_2013">#REF!</definedName>
    <definedName name="QOPPNAMEE_Q3_2014">#REF!</definedName>
    <definedName name="QOPPNAMEE_Q3_2015">#REF!</definedName>
    <definedName name="QOPPNAMEE_Q4_2005">#REF!</definedName>
    <definedName name="QOPPNAMEE_Q4_2006">#REF!</definedName>
    <definedName name="QOPPNAMEE_Q4_2007">#REF!</definedName>
    <definedName name="QOPPNAMEE_Q4_2008">#REF!</definedName>
    <definedName name="QOPPNAMEE_Q4_2009">#REF!</definedName>
    <definedName name="QOPPNAMEE_Q4_2010">#REF!</definedName>
    <definedName name="QOPPNAMEE_Q4_2011">#REF!</definedName>
    <definedName name="QOPPNAMEE_Q4_2012">#REF!</definedName>
    <definedName name="QOPPNAMEE_Q4_2013">#REF!</definedName>
    <definedName name="QOPPNAMEE_Q4_2014">#REF!</definedName>
    <definedName name="QOPPNAMEE_Q4_2015">#REF!</definedName>
    <definedName name="QOPPNAMEE_Y1_2005">#REF!</definedName>
    <definedName name="QOPPNAMEE_Y1_2006">#REF!</definedName>
    <definedName name="QOPPNAMEE_Y1_2007">#REF!</definedName>
    <definedName name="QOPPNAMEE_Y1_2008">#REF!</definedName>
    <definedName name="QOPPNAMEE_Y1_2009">#REF!</definedName>
    <definedName name="QOPPNAMEE_Y1_2010">#REF!</definedName>
    <definedName name="QOPPNAMEE_Y1_2011">#REF!</definedName>
    <definedName name="QOPPNAMEE_Y1_2012">#REF!</definedName>
    <definedName name="QOPPNAMEE_Y1_2013">#REF!</definedName>
    <definedName name="QOPPNAMEE_Y1_2014">#REF!</definedName>
    <definedName name="QOPPNAMEE_Y1_2015">#REF!</definedName>
    <definedName name="QOPPOE">#REF!</definedName>
    <definedName name="QOPPOE_9M_2005">#REF!</definedName>
    <definedName name="QOPPOE_9M_2006">#REF!</definedName>
    <definedName name="QOPPOE_9M_2007">#REF!</definedName>
    <definedName name="QOPPOE_9M_2008">#REF!</definedName>
    <definedName name="QOPPOE_9M_2009">#REF!</definedName>
    <definedName name="QOPPOE_9M_2010">#REF!</definedName>
    <definedName name="QOPPOE_9M_2011">#REF!</definedName>
    <definedName name="QOPPOE_9M_2012">#REF!</definedName>
    <definedName name="QOPPOE_9M_2013">#REF!</definedName>
    <definedName name="QOPPOE_9M_2014">#REF!</definedName>
    <definedName name="QOPPOE_9M_2015">#REF!</definedName>
    <definedName name="QOPPOE_H1_2005">#REF!</definedName>
    <definedName name="QOPPOE_H1_2006">#REF!</definedName>
    <definedName name="QOPPOE_H1_2007">#REF!</definedName>
    <definedName name="QOPPOE_H1_2008">#REF!</definedName>
    <definedName name="QOPPOE_H1_2009">#REF!</definedName>
    <definedName name="QOPPOE_H1_2010">#REF!</definedName>
    <definedName name="QOPPOE_H1_2011">#REF!</definedName>
    <definedName name="QOPPOE_H1_2012">#REF!</definedName>
    <definedName name="QOPPOE_H1_2013">#REF!</definedName>
    <definedName name="QOPPOE_H1_2014">#REF!</definedName>
    <definedName name="QOPPOE_H1_2015">#REF!</definedName>
    <definedName name="QOPPOE_H2_2005">#REF!</definedName>
    <definedName name="QOPPOE_H2_2006">#REF!</definedName>
    <definedName name="QOPPOE_H2_2007">#REF!</definedName>
    <definedName name="QOPPOE_H2_2008">#REF!</definedName>
    <definedName name="QOPPOE_H2_2009">#REF!</definedName>
    <definedName name="QOPPOE_H2_2010">#REF!</definedName>
    <definedName name="QOPPOE_H2_2011">#REF!</definedName>
    <definedName name="QOPPOE_H2_2012">#REF!</definedName>
    <definedName name="QOPPOE_H2_2013">#REF!</definedName>
    <definedName name="QOPPOE_H2_2014">#REF!</definedName>
    <definedName name="QOPPOE_H2_2015">#REF!</definedName>
    <definedName name="QOPPOE_Q1_2005">#REF!</definedName>
    <definedName name="QOPPOE_Q1_2006">#REF!</definedName>
    <definedName name="QOPPOE_Q1_2007">#REF!</definedName>
    <definedName name="QOPPOE_Q1_2008">#REF!</definedName>
    <definedName name="QOPPOE_Q1_2009">#REF!</definedName>
    <definedName name="QOPPOE_Q1_2010">#REF!</definedName>
    <definedName name="QOPPOE_Q1_2011">#REF!</definedName>
    <definedName name="QOPPOE_Q1_2012">#REF!</definedName>
    <definedName name="QOPPOE_Q1_2013">#REF!</definedName>
    <definedName name="QOPPOE_Q1_2014">#REF!</definedName>
    <definedName name="QOPPOE_Q1_2015">#REF!</definedName>
    <definedName name="QOPPOE_Q2_2005">#REF!</definedName>
    <definedName name="QOPPOE_Q2_2006">#REF!</definedName>
    <definedName name="QOPPOE_Q2_2007">#REF!</definedName>
    <definedName name="QOPPOE_Q2_2008">#REF!</definedName>
    <definedName name="QOPPOE_Q2_2009">#REF!</definedName>
    <definedName name="QOPPOE_Q2_2010">#REF!</definedName>
    <definedName name="QOPPOE_Q2_2011">#REF!</definedName>
    <definedName name="QOPPOE_Q2_2012">#REF!</definedName>
    <definedName name="QOPPOE_Q2_2013">#REF!</definedName>
    <definedName name="QOPPOE_Q2_2014">#REF!</definedName>
    <definedName name="QOPPOE_Q2_2015">#REF!</definedName>
    <definedName name="QOPPOE_Q3_2005">#REF!</definedName>
    <definedName name="QOPPOE_Q3_2006">#REF!</definedName>
    <definedName name="QOPPOE_Q3_2007">#REF!</definedName>
    <definedName name="QOPPOE_Q3_2008">#REF!</definedName>
    <definedName name="QOPPOE_Q3_2009">#REF!</definedName>
    <definedName name="QOPPOE_Q3_2010">#REF!</definedName>
    <definedName name="QOPPOE_Q3_2011">#REF!</definedName>
    <definedName name="QOPPOE_Q3_2012">#REF!</definedName>
    <definedName name="QOPPOE_Q3_2013">#REF!</definedName>
    <definedName name="QOPPOE_Q3_2014">#REF!</definedName>
    <definedName name="QOPPOE_Q3_2015">#REF!</definedName>
    <definedName name="QOPPOE_Q4_2005">#REF!</definedName>
    <definedName name="QOPPOE_Q4_2006">#REF!</definedName>
    <definedName name="QOPPOE_Q4_2007">#REF!</definedName>
    <definedName name="QOPPOE_Q4_2008">#REF!</definedName>
    <definedName name="QOPPOE_Q4_2009">#REF!</definedName>
    <definedName name="QOPPOE_Q4_2010">#REF!</definedName>
    <definedName name="QOPPOE_Q4_2011">#REF!</definedName>
    <definedName name="QOPPOE_Q4_2012">#REF!</definedName>
    <definedName name="QOPPOE_Q4_2013">#REF!</definedName>
    <definedName name="QOPPOE_Q4_2014">#REF!</definedName>
    <definedName name="QOPPOE_Q4_2015">#REF!</definedName>
    <definedName name="QOPPOE_Y1_2005">#REF!</definedName>
    <definedName name="QOPPOE_Y1_2006">#REF!</definedName>
    <definedName name="QOPPOE_Y1_2007">#REF!</definedName>
    <definedName name="QOPPOE_Y1_2008">#REF!</definedName>
    <definedName name="QOPPOE_Y1_2009">#REF!</definedName>
    <definedName name="QOPPOE_Y1_2010">#REF!</definedName>
    <definedName name="QOPPOE_Y1_2011">#REF!</definedName>
    <definedName name="QOPPOE_Y1_2012">#REF!</definedName>
    <definedName name="QOPPOE_Y1_2013">#REF!</definedName>
    <definedName name="QOPPOE_Y1_2014">#REF!</definedName>
    <definedName name="QOPPOE_Y1_2015">#REF!</definedName>
    <definedName name="QOPPOID">#REF!</definedName>
    <definedName name="QOPPOID_9M_2005">#REF!</definedName>
    <definedName name="QOPPOID_9M_2006">#REF!</definedName>
    <definedName name="QOPPOID_9M_2007">#REF!</definedName>
    <definedName name="QOPPOID_9M_2008">#REF!</definedName>
    <definedName name="QOPPOID_9M_2009">#REF!</definedName>
    <definedName name="QOPPOID_9M_2010">#REF!</definedName>
    <definedName name="QOPPOID_9M_2011">#REF!</definedName>
    <definedName name="QOPPOID_9M_2012">#REF!</definedName>
    <definedName name="QOPPOID_9M_2013">#REF!</definedName>
    <definedName name="QOPPOID_9M_2014">#REF!</definedName>
    <definedName name="QOPPOID_9M_2015">#REF!</definedName>
    <definedName name="QOPPOID_H1_2005">#REF!</definedName>
    <definedName name="QOPPOID_H1_2006">#REF!</definedName>
    <definedName name="QOPPOID_H1_2007">#REF!</definedName>
    <definedName name="QOPPOID_H1_2008">#REF!</definedName>
    <definedName name="QOPPOID_H1_2009">#REF!</definedName>
    <definedName name="QOPPOID_H1_2010">#REF!</definedName>
    <definedName name="QOPPOID_H1_2011">#REF!</definedName>
    <definedName name="QOPPOID_H1_2012">#REF!</definedName>
    <definedName name="QOPPOID_H1_2013">#REF!</definedName>
    <definedName name="QOPPOID_H1_2014">#REF!</definedName>
    <definedName name="QOPPOID_H1_2015">#REF!</definedName>
    <definedName name="QOPPOID_H2_2005">#REF!</definedName>
    <definedName name="QOPPOID_H2_2006">#REF!</definedName>
    <definedName name="QOPPOID_H2_2007">#REF!</definedName>
    <definedName name="QOPPOID_H2_2008">#REF!</definedName>
    <definedName name="QOPPOID_H2_2009">#REF!</definedName>
    <definedName name="QOPPOID_H2_2010">#REF!</definedName>
    <definedName name="QOPPOID_H2_2011">#REF!</definedName>
    <definedName name="QOPPOID_H2_2012">#REF!</definedName>
    <definedName name="QOPPOID_H2_2013">#REF!</definedName>
    <definedName name="QOPPOID_H2_2014">#REF!</definedName>
    <definedName name="QOPPOID_H2_2015">#REF!</definedName>
    <definedName name="QOPPOID_Q1_2005">#REF!</definedName>
    <definedName name="QOPPOID_Q1_2006">#REF!</definedName>
    <definedName name="QOPPOID_Q1_2007">#REF!</definedName>
    <definedName name="QOPPOID_Q1_2008">#REF!</definedName>
    <definedName name="QOPPOID_Q1_2009">#REF!</definedName>
    <definedName name="QOPPOID_Q1_2010">#REF!</definedName>
    <definedName name="QOPPOID_Q1_2011">#REF!</definedName>
    <definedName name="QOPPOID_Q1_2012">#REF!</definedName>
    <definedName name="QOPPOID_Q1_2013">#REF!</definedName>
    <definedName name="QOPPOID_Q1_2014">#REF!</definedName>
    <definedName name="QOPPOID_Q1_2015">#REF!</definedName>
    <definedName name="QOPPOID_Q2_2005">#REF!</definedName>
    <definedName name="QOPPOID_Q2_2006">#REF!</definedName>
    <definedName name="QOPPOID_Q2_2007">#REF!</definedName>
    <definedName name="QOPPOID_Q2_2008">#REF!</definedName>
    <definedName name="QOPPOID_Q2_2009">#REF!</definedName>
    <definedName name="QOPPOID_Q2_2010">#REF!</definedName>
    <definedName name="QOPPOID_Q2_2011">#REF!</definedName>
    <definedName name="QOPPOID_Q2_2012">#REF!</definedName>
    <definedName name="QOPPOID_Q2_2013">#REF!</definedName>
    <definedName name="QOPPOID_Q2_2014">#REF!</definedName>
    <definedName name="QOPPOID_Q2_2015">#REF!</definedName>
    <definedName name="QOPPOID_Q3_2005">#REF!</definedName>
    <definedName name="QOPPOID_Q3_2006">#REF!</definedName>
    <definedName name="QOPPOID_Q3_2007">#REF!</definedName>
    <definedName name="QOPPOID_Q3_2008">#REF!</definedName>
    <definedName name="QOPPOID_Q3_2009">#REF!</definedName>
    <definedName name="QOPPOID_Q3_2010">#REF!</definedName>
    <definedName name="QOPPOID_Q3_2011">#REF!</definedName>
    <definedName name="QOPPOID_Q3_2012">#REF!</definedName>
    <definedName name="QOPPOID_Q3_2013">#REF!</definedName>
    <definedName name="QOPPOID_Q3_2014">#REF!</definedName>
    <definedName name="QOPPOID_Q3_2015">#REF!</definedName>
    <definedName name="QOPPOID_Q4_2005">#REF!</definedName>
    <definedName name="QOPPOID_Q4_2006">#REF!</definedName>
    <definedName name="QOPPOID_Q4_2007">#REF!</definedName>
    <definedName name="QOPPOID_Q4_2008">#REF!</definedName>
    <definedName name="QOPPOID_Q4_2009">#REF!</definedName>
    <definedName name="QOPPOID_Q4_2010">#REF!</definedName>
    <definedName name="QOPPOID_Q4_2011">#REF!</definedName>
    <definedName name="QOPPOID_Q4_2012">#REF!</definedName>
    <definedName name="QOPPOID_Q4_2013">#REF!</definedName>
    <definedName name="QOPPOID_Q4_2014">#REF!</definedName>
    <definedName name="QOPPOID_Q4_2015">#REF!</definedName>
    <definedName name="QOPPOID_Y1_2005">#REF!</definedName>
    <definedName name="QOPPOID_Y1_2006">#REF!</definedName>
    <definedName name="QOPPOID_Y1_2007">#REF!</definedName>
    <definedName name="QOPPOID_Y1_2008">#REF!</definedName>
    <definedName name="QOPPOID_Y1_2009">#REF!</definedName>
    <definedName name="QOPPOID_Y1_2010">#REF!</definedName>
    <definedName name="QOPPOID_Y1_2011">#REF!</definedName>
    <definedName name="QOPPOID_Y1_2012">#REF!</definedName>
    <definedName name="QOPPOID_Y1_2013">#REF!</definedName>
    <definedName name="QOPPOID_Y1_2014">#REF!</definedName>
    <definedName name="QOPPOID_Y1_2015">#REF!</definedName>
    <definedName name="QOPPREP">#REF!</definedName>
    <definedName name="QOPPREP_9M_2005">#REF!</definedName>
    <definedName name="QOPPREP_9M_2006">#REF!</definedName>
    <definedName name="QOPPREP_9M_2007">#REF!</definedName>
    <definedName name="QOPPREP_9M_2008">#REF!</definedName>
    <definedName name="QOPPREP_9M_2009">#REF!</definedName>
    <definedName name="QOPPREP_9M_2010">#REF!</definedName>
    <definedName name="QOPPREP_9M_2011">#REF!</definedName>
    <definedName name="QOPPREP_9M_2012">#REF!</definedName>
    <definedName name="QOPPREP_9M_2013">#REF!</definedName>
    <definedName name="QOPPREP_9M_2014">#REF!</definedName>
    <definedName name="QOPPREP_9M_2015">#REF!</definedName>
    <definedName name="QOPPREP_H1_2005">#REF!</definedName>
    <definedName name="QOPPREP_H1_2006">#REF!</definedName>
    <definedName name="QOPPREP_H1_2007">#REF!</definedName>
    <definedName name="QOPPREP_H1_2008">#REF!</definedName>
    <definedName name="QOPPREP_H1_2009">#REF!</definedName>
    <definedName name="QOPPREP_H1_2010">#REF!</definedName>
    <definedName name="QOPPREP_H1_2011">#REF!</definedName>
    <definedName name="QOPPREP_H1_2012">#REF!</definedName>
    <definedName name="QOPPREP_H1_2013">#REF!</definedName>
    <definedName name="QOPPREP_H1_2014">#REF!</definedName>
    <definedName name="QOPPREP_H1_2015">#REF!</definedName>
    <definedName name="QOPPREP_H2_2005">#REF!</definedName>
    <definedName name="QOPPREP_H2_2006">#REF!</definedName>
    <definedName name="QOPPREP_H2_2007">#REF!</definedName>
    <definedName name="QOPPREP_H2_2008">#REF!</definedName>
    <definedName name="QOPPREP_H2_2009">#REF!</definedName>
    <definedName name="QOPPREP_H2_2010">#REF!</definedName>
    <definedName name="QOPPREP_H2_2011">#REF!</definedName>
    <definedName name="QOPPREP_H2_2012">#REF!</definedName>
    <definedName name="QOPPREP_H2_2013">#REF!</definedName>
    <definedName name="QOPPREP_H2_2014">#REF!</definedName>
    <definedName name="QOPPREP_H2_2015">#REF!</definedName>
    <definedName name="QOPPREP_Q1_2005">#REF!</definedName>
    <definedName name="QOPPREP_Q1_2006">#REF!</definedName>
    <definedName name="QOPPREP_Q1_2007">#REF!</definedName>
    <definedName name="QOPPREP_Q1_2008">#REF!</definedName>
    <definedName name="QOPPREP_Q1_2009">#REF!</definedName>
    <definedName name="QOPPREP_Q1_2010">#REF!</definedName>
    <definedName name="QOPPREP_Q1_2011">#REF!</definedName>
    <definedName name="QOPPREP_Q1_2012">#REF!</definedName>
    <definedName name="QOPPREP_Q1_2013">#REF!</definedName>
    <definedName name="QOPPREP_Q1_2014">#REF!</definedName>
    <definedName name="QOPPREP_Q1_2015">#REF!</definedName>
    <definedName name="QOPPREP_Q2_2005">#REF!</definedName>
    <definedName name="QOPPREP_Q2_2006">#REF!</definedName>
    <definedName name="QOPPREP_Q2_2007">#REF!</definedName>
    <definedName name="QOPPREP_Q2_2008">#REF!</definedName>
    <definedName name="QOPPREP_Q2_2009">#REF!</definedName>
    <definedName name="QOPPREP_Q2_2010">#REF!</definedName>
    <definedName name="QOPPREP_Q2_2011">#REF!</definedName>
    <definedName name="QOPPREP_Q2_2012">#REF!</definedName>
    <definedName name="QOPPREP_Q2_2013">#REF!</definedName>
    <definedName name="QOPPREP_Q2_2014">#REF!</definedName>
    <definedName name="QOPPREP_Q2_2015">#REF!</definedName>
    <definedName name="QOPPREP_Q3_2005">#REF!</definedName>
    <definedName name="QOPPREP_Q3_2006">#REF!</definedName>
    <definedName name="QOPPREP_Q3_2007">#REF!</definedName>
    <definedName name="QOPPREP_Q3_2008">#REF!</definedName>
    <definedName name="QOPPREP_Q3_2009">#REF!</definedName>
    <definedName name="QOPPREP_Q3_2010">#REF!</definedName>
    <definedName name="QOPPREP_Q3_2011">#REF!</definedName>
    <definedName name="QOPPREP_Q3_2012">#REF!</definedName>
    <definedName name="QOPPREP_Q3_2013">#REF!</definedName>
    <definedName name="QOPPREP_Q3_2014">#REF!</definedName>
    <definedName name="QOPPREP_Q3_2015">#REF!</definedName>
    <definedName name="QOPPREP_Q4_2005">#REF!</definedName>
    <definedName name="QOPPREP_Q4_2006">#REF!</definedName>
    <definedName name="QOPPREP_Q4_2007">#REF!</definedName>
    <definedName name="QOPPREP_Q4_2008">#REF!</definedName>
    <definedName name="QOPPREP_Q4_2009">#REF!</definedName>
    <definedName name="QOPPREP_Q4_2010">#REF!</definedName>
    <definedName name="QOPPREP_Q4_2011">#REF!</definedName>
    <definedName name="QOPPREP_Q4_2012">#REF!</definedName>
    <definedName name="QOPPREP_Q4_2013">#REF!</definedName>
    <definedName name="QOPPREP_Q4_2014">#REF!</definedName>
    <definedName name="QOPPREP_Q4_2015">#REF!</definedName>
    <definedName name="QOPPREP_Y1_2005">#REF!</definedName>
    <definedName name="QOPPREP_Y1_2006">#REF!</definedName>
    <definedName name="QOPPREP_Y1_2007">#REF!</definedName>
    <definedName name="QOPPREP_Y1_2008">#REF!</definedName>
    <definedName name="QOPPREP_Y1_2009">#REF!</definedName>
    <definedName name="QOPPREP_Y1_2010">#REF!</definedName>
    <definedName name="QOPPREP_Y1_2011">#REF!</definedName>
    <definedName name="QOPPREP_Y1_2012">#REF!</definedName>
    <definedName name="QOPPREP_Y1_2013">#REF!</definedName>
    <definedName name="QOPPREP_Y1_2014">#REF!</definedName>
    <definedName name="QOPPREP_Y1_2015">#REF!</definedName>
    <definedName name="QOPPREPPY">#REF!</definedName>
    <definedName name="qq" hidden="1">{"'Broadway ML#4'!$J$7:$N$490"}</definedName>
    <definedName name="QQNQQNQNNQNQ" hidden="1">{"Annual",#N/A,FALSE,"Sales &amp; Market";"Quarterly",#N/A,FALSE,"Sales &amp; Market"}</definedName>
    <definedName name="qqq">#REF!</definedName>
    <definedName name="qqqq" hidden="1">{"one (KEY)",#N/A,FALSE,"P&amp;L"}</definedName>
    <definedName name="qqqq1" hidden="1">{"Annual",#N/A,FALSE,"Sales &amp; Market";"Quarterly",#N/A,FALSE,"Sales &amp; Market"}</definedName>
    <definedName name="qqqq1q" hidden="1">{"Annual",#N/A,FALSE,"Sales &amp; Market";"Quarterly",#N/A,FALSE,"Sales &amp; Market"}</definedName>
    <definedName name="QQQQQQQQQQQQQQQQQ">balance sheet send</definedName>
    <definedName name="qqqw1" hidden="1">{"Annual",#N/A,FALSE,"Sales &amp; Market";"Quarterly",#N/A,FALSE,"Sales &amp; Market"}</definedName>
    <definedName name="QQUARTER">#REF!</definedName>
    <definedName name="QQUARTER_9M_2005">#REF!</definedName>
    <definedName name="QQUARTER_9M_2006">#REF!</definedName>
    <definedName name="QQUARTER_9M_2007">#REF!</definedName>
    <definedName name="QQUARTER_9M_2008">#REF!</definedName>
    <definedName name="QQUARTER_9M_2009">#REF!</definedName>
    <definedName name="QQUARTER_9M_2010">#REF!</definedName>
    <definedName name="QQUARTER_9M_2011">#REF!</definedName>
    <definedName name="QQUARTER_9M_2012">#REF!</definedName>
    <definedName name="QQUARTER_9M_2013">#REF!</definedName>
    <definedName name="QQUARTER_9M_2014">#REF!</definedName>
    <definedName name="QQUARTER_9M_2015">#REF!</definedName>
    <definedName name="QQUARTER_H1_2005">#REF!</definedName>
    <definedName name="QQUARTER_H1_2006">#REF!</definedName>
    <definedName name="QQUARTER_H1_2007">#REF!</definedName>
    <definedName name="QQUARTER_H1_2008">#REF!</definedName>
    <definedName name="QQUARTER_H1_2009">#REF!</definedName>
    <definedName name="QQUARTER_H1_2010">#REF!</definedName>
    <definedName name="QQUARTER_H1_2011">#REF!</definedName>
    <definedName name="QQUARTER_H1_2012">#REF!</definedName>
    <definedName name="QQUARTER_H1_2013">#REF!</definedName>
    <definedName name="QQUARTER_H1_2014">#REF!</definedName>
    <definedName name="QQUARTER_H1_2015">#REF!</definedName>
    <definedName name="QQUARTER_H2_2005">#REF!</definedName>
    <definedName name="QQUARTER_H2_2006">#REF!</definedName>
    <definedName name="QQUARTER_H2_2007">#REF!</definedName>
    <definedName name="QQUARTER_H2_2008">#REF!</definedName>
    <definedName name="QQUARTER_H2_2009">#REF!</definedName>
    <definedName name="QQUARTER_H2_2010">#REF!</definedName>
    <definedName name="QQUARTER_H2_2011">#REF!</definedName>
    <definedName name="QQUARTER_H2_2012">#REF!</definedName>
    <definedName name="QQUARTER_H2_2013">#REF!</definedName>
    <definedName name="QQUARTER_H2_2014">#REF!</definedName>
    <definedName name="QQUARTER_H2_2015">#REF!</definedName>
    <definedName name="QQUARTER_Q1_2005">#REF!</definedName>
    <definedName name="QQUARTER_Q1_2006">#REF!</definedName>
    <definedName name="QQUARTER_Q1_2007">#REF!</definedName>
    <definedName name="QQUARTER_Q1_2008">#REF!</definedName>
    <definedName name="QQUARTER_Q1_2009">#REF!</definedName>
    <definedName name="QQUARTER_Q1_2010">#REF!</definedName>
    <definedName name="QQUARTER_Q1_2011">#REF!</definedName>
    <definedName name="QQUARTER_Q1_2012">#REF!</definedName>
    <definedName name="QQUARTER_Q1_2013">#REF!</definedName>
    <definedName name="QQUARTER_Q1_2014">#REF!</definedName>
    <definedName name="QQUARTER_Q1_2015">#REF!</definedName>
    <definedName name="QQUARTER_Q2_2005">#REF!</definedName>
    <definedName name="QQUARTER_Q2_2006">#REF!</definedName>
    <definedName name="QQUARTER_Q2_2007">#REF!</definedName>
    <definedName name="QQUARTER_Q2_2008">#REF!</definedName>
    <definedName name="QQUARTER_Q2_2009">#REF!</definedName>
    <definedName name="QQUARTER_Q2_2010">#REF!</definedName>
    <definedName name="QQUARTER_Q2_2011">#REF!</definedName>
    <definedName name="QQUARTER_Q2_2012">#REF!</definedName>
    <definedName name="QQUARTER_Q2_2013">#REF!</definedName>
    <definedName name="QQUARTER_Q2_2014">#REF!</definedName>
    <definedName name="QQUARTER_Q2_2015">#REF!</definedName>
    <definedName name="QQUARTER_Q3_2005">#REF!</definedName>
    <definedName name="QQUARTER_Q3_2006">#REF!</definedName>
    <definedName name="QQUARTER_Q3_2007">#REF!</definedName>
    <definedName name="QQUARTER_Q3_2008">#REF!</definedName>
    <definedName name="QQUARTER_Q3_2009">#REF!</definedName>
    <definedName name="QQUARTER_Q3_2010">#REF!</definedName>
    <definedName name="QQUARTER_Q3_2011">#REF!</definedName>
    <definedName name="QQUARTER_Q3_2012">#REF!</definedName>
    <definedName name="QQUARTER_Q3_2013">#REF!</definedName>
    <definedName name="QQUARTER_Q3_2014">#REF!</definedName>
    <definedName name="QQUARTER_Q3_2015">#REF!</definedName>
    <definedName name="QQUARTER_Q4_2005">#REF!</definedName>
    <definedName name="QQUARTER_Q4_2006">#REF!</definedName>
    <definedName name="QQUARTER_Q4_2007">#REF!</definedName>
    <definedName name="QQUARTER_Q4_2008">#REF!</definedName>
    <definedName name="QQUARTER_Q4_2009">#REF!</definedName>
    <definedName name="QQUARTER_Q4_2010">#REF!</definedName>
    <definedName name="QQUARTER_Q4_2011">#REF!</definedName>
    <definedName name="QQUARTER_Q4_2012">#REF!</definedName>
    <definedName name="QQUARTER_Q4_2013">#REF!</definedName>
    <definedName name="QQUARTER_Q4_2014">#REF!</definedName>
    <definedName name="QQUARTER_Q4_2015">#REF!</definedName>
    <definedName name="QQUARTER_Y1_2005">#REF!</definedName>
    <definedName name="QQUARTER_Y1_2006">#REF!</definedName>
    <definedName name="QQUARTER_Y1_2007">#REF!</definedName>
    <definedName name="QQUARTER_Y1_2008">#REF!</definedName>
    <definedName name="QQUARTER_Y1_2009">#REF!</definedName>
    <definedName name="QQUARTER_Y1_2010">#REF!</definedName>
    <definedName name="QQUARTER_Y1_2011">#REF!</definedName>
    <definedName name="QQUARTER_Y1_2012">#REF!</definedName>
    <definedName name="QQUARTER_Y1_2013">#REF!</definedName>
    <definedName name="QQUARTER_Y1_2014">#REF!</definedName>
    <definedName name="QQUARTER_Y1_2015">#REF!</definedName>
    <definedName name="QrtlySnapshot">#REF!</definedName>
    <definedName name="Qry_HPU">#N/A</definedName>
    <definedName name="qryDJBaanMrpEandO" localSheetId="1">#REF!</definedName>
    <definedName name="qryDJBaanMrpEandO">#REF!</definedName>
    <definedName name="qryDJBaanMrpEandO_3">#REF!</definedName>
    <definedName name="qryDJBOSSMpsEandO" localSheetId="1">#REF!</definedName>
    <definedName name="qryDJBOSSMpsEandO">#REF!</definedName>
    <definedName name="qryDJBOSSMpsEandO_3">#REF!</definedName>
    <definedName name="qryExcelPriceBook">#REF!</definedName>
    <definedName name="qryExcelPriceBook.">#REF!</definedName>
    <definedName name="qryExportCapsheet">#REF!</definedName>
    <definedName name="qryForecast" localSheetId="1">#REF!</definedName>
    <definedName name="qryForecast">#REF!</definedName>
    <definedName name="qryFRAME_FCST_DATA">#REF!</definedName>
    <definedName name="qryFRAME_FCST_DATA_3">#REF!</definedName>
    <definedName name="qryMODULE_FCST_DATA">#REF!</definedName>
    <definedName name="qryMODULE_FCST_DATA_3">#REF!</definedName>
    <definedName name="qryNDPsales" localSheetId="1">#REF!</definedName>
    <definedName name="qryNDPsales">#REF!</definedName>
    <definedName name="qryNDPsales_3">#REF!</definedName>
    <definedName name="qryOI_FCST_DATA">#REF!</definedName>
    <definedName name="qryOI_FCST_DATA_3">#REF!</definedName>
    <definedName name="qryPcpDemand_Crosstab" localSheetId="1">#REF!</definedName>
    <definedName name="qryPcpDemand_Crosstab">#REF!</definedName>
    <definedName name="qrytest____CAP_Sht_Crosstab_Query">#REF!</definedName>
    <definedName name="qryUNIT_FCST_DATA">#REF!</definedName>
    <definedName name="qryUNIT_FCST_DATA_3">#REF!</definedName>
    <definedName name="QSales">#REF!</definedName>
    <definedName name="QSALESCE">#REF!</definedName>
    <definedName name="QSALESCE_9M_2005">#REF!</definedName>
    <definedName name="QSALESCE_9M_2006">#REF!</definedName>
    <definedName name="QSALESCE_9M_2007">#REF!</definedName>
    <definedName name="QSALESCE_9M_2008">#REF!</definedName>
    <definedName name="QSALESCE_9M_2009">#REF!</definedName>
    <definedName name="QSALESCE_9M_2010">#REF!</definedName>
    <definedName name="QSALESCE_9M_2011">#REF!</definedName>
    <definedName name="QSALESCE_9M_2012">#REF!</definedName>
    <definedName name="QSALESCE_9M_2013">#REF!</definedName>
    <definedName name="QSALESCE_9M_2014">#REF!</definedName>
    <definedName name="QSALESCE_9M_2015">#REF!</definedName>
    <definedName name="QSALESCE_H1_2005">#REF!</definedName>
    <definedName name="QSALESCE_H1_2006">#REF!</definedName>
    <definedName name="QSALESCE_H1_2007">#REF!</definedName>
    <definedName name="QSALESCE_H1_2008">#REF!</definedName>
    <definedName name="QSALESCE_H1_2009">#REF!</definedName>
    <definedName name="QSALESCE_H1_2010">#REF!</definedName>
    <definedName name="QSALESCE_H1_2011">#REF!</definedName>
    <definedName name="QSALESCE_H1_2012">#REF!</definedName>
    <definedName name="QSALESCE_H1_2013">#REF!</definedName>
    <definedName name="QSALESCE_H1_2014">#REF!</definedName>
    <definedName name="QSALESCE_H1_2015">#REF!</definedName>
    <definedName name="QSALESCE_H2_2005">#REF!</definedName>
    <definedName name="QSALESCE_H2_2006">#REF!</definedName>
    <definedName name="QSALESCE_H2_2007">#REF!</definedName>
    <definedName name="QSALESCE_H2_2008">#REF!</definedName>
    <definedName name="QSALESCE_H2_2009">#REF!</definedName>
    <definedName name="QSALESCE_H2_2010">#REF!</definedName>
    <definedName name="QSALESCE_H2_2011">#REF!</definedName>
    <definedName name="QSALESCE_H2_2012">#REF!</definedName>
    <definedName name="QSALESCE_H2_2013">#REF!</definedName>
    <definedName name="QSALESCE_H2_2014">#REF!</definedName>
    <definedName name="QSALESCE_H2_2015">#REF!</definedName>
    <definedName name="QSALESCE_Q1_2005">#REF!</definedName>
    <definedName name="QSALESCE_Q1_2006">#REF!</definedName>
    <definedName name="QSALESCE_Q1_2007">#REF!</definedName>
    <definedName name="QSALESCE_Q1_2008">#REF!</definedName>
    <definedName name="QSALESCE_Q1_2009">#REF!</definedName>
    <definedName name="QSALESCE_Q1_2010">#REF!</definedName>
    <definedName name="QSALESCE_Q1_2011">#REF!</definedName>
    <definedName name="QSALESCE_Q1_2012">#REF!</definedName>
    <definedName name="QSALESCE_Q1_2013">#REF!</definedName>
    <definedName name="QSALESCE_Q1_2014">#REF!</definedName>
    <definedName name="QSALESCE_Q1_2015">#REF!</definedName>
    <definedName name="QSALESCE_Q2_2005">#REF!</definedName>
    <definedName name="QSALESCE_Q2_2006">#REF!</definedName>
    <definedName name="QSALESCE_Q2_2007">#REF!</definedName>
    <definedName name="QSALESCE_Q2_2008">#REF!</definedName>
    <definedName name="QSALESCE_Q2_2009">#REF!</definedName>
    <definedName name="QSALESCE_Q2_2010">#REF!</definedName>
    <definedName name="QSALESCE_Q2_2011">#REF!</definedName>
    <definedName name="QSALESCE_Q2_2012">#REF!</definedName>
    <definedName name="QSALESCE_Q2_2013">#REF!</definedName>
    <definedName name="QSALESCE_Q2_2014">#REF!</definedName>
    <definedName name="QSALESCE_Q2_2015">#REF!</definedName>
    <definedName name="QSALESCE_Q3_2005">#REF!</definedName>
    <definedName name="QSALESCE_Q3_2006">#REF!</definedName>
    <definedName name="QSALESCE_Q3_2007">#REF!</definedName>
    <definedName name="QSALESCE_Q3_2008">#REF!</definedName>
    <definedName name="QSALESCE_Q3_2009">#REF!</definedName>
    <definedName name="QSALESCE_Q3_2010">#REF!</definedName>
    <definedName name="QSALESCE_Q3_2011">#REF!</definedName>
    <definedName name="QSALESCE_Q3_2012">#REF!</definedName>
    <definedName name="QSALESCE_Q3_2013">#REF!</definedName>
    <definedName name="QSALESCE_Q3_2014">#REF!</definedName>
    <definedName name="QSALESCE_Q3_2015">#REF!</definedName>
    <definedName name="QSALESCE_Q4_2005">#REF!</definedName>
    <definedName name="QSALESCE_Q4_2006">#REF!</definedName>
    <definedName name="QSALESCE_Q4_2007">#REF!</definedName>
    <definedName name="QSALESCE_Q4_2008">#REF!</definedName>
    <definedName name="QSALESCE_Q4_2009">#REF!</definedName>
    <definedName name="QSALESCE_Q4_2010">#REF!</definedName>
    <definedName name="QSALESCE_Q4_2011">#REF!</definedName>
    <definedName name="QSALESCE_Q4_2012">#REF!</definedName>
    <definedName name="QSALESCE_Q4_2013">#REF!</definedName>
    <definedName name="QSALESCE_Q4_2014">#REF!</definedName>
    <definedName name="QSALESCE_Q4_2015">#REF!</definedName>
    <definedName name="QSALESCE_Y1_2005">#REF!</definedName>
    <definedName name="QSALESCE_Y1_2006">#REF!</definedName>
    <definedName name="QSALESCE_Y1_2007">#REF!</definedName>
    <definedName name="QSALESCE_Y1_2008">#REF!</definedName>
    <definedName name="QSALESCE_Y1_2009">#REF!</definedName>
    <definedName name="QSALESCE_Y1_2010">#REF!</definedName>
    <definedName name="QSALESCE_Y1_2011">#REF!</definedName>
    <definedName name="QSALESCE_Y1_2012">#REF!</definedName>
    <definedName name="QSALESCE_Y1_2013">#REF!</definedName>
    <definedName name="QSALESCE_Y1_2014">#REF!</definedName>
    <definedName name="QSALESCE_Y1_2015">#REF!</definedName>
    <definedName name="QSALESCID">#REF!</definedName>
    <definedName name="QSALESCID_9M_2005">#REF!</definedName>
    <definedName name="QSALESCID_9M_2006">#REF!</definedName>
    <definedName name="QSALESCID_9M_2007">#REF!</definedName>
    <definedName name="QSALESCID_9M_2008">#REF!</definedName>
    <definedName name="QSALESCID_9M_2009">#REF!</definedName>
    <definedName name="QSALESCID_9M_2010">#REF!</definedName>
    <definedName name="QSALESCID_9M_2011">#REF!</definedName>
    <definedName name="QSALESCID_9M_2012">#REF!</definedName>
    <definedName name="QSALESCID_9M_2013">#REF!</definedName>
    <definedName name="QSALESCID_9M_2014">#REF!</definedName>
    <definedName name="QSALESCID_9M_2015">#REF!</definedName>
    <definedName name="QSALESCID_H1_2005">#REF!</definedName>
    <definedName name="QSALESCID_H1_2006">#REF!</definedName>
    <definedName name="QSALESCID_H1_2007">#REF!</definedName>
    <definedName name="QSALESCID_H1_2008">#REF!</definedName>
    <definedName name="QSALESCID_H1_2009">#REF!</definedName>
    <definedName name="QSALESCID_H1_2010">#REF!</definedName>
    <definedName name="QSALESCID_H1_2011">#REF!</definedName>
    <definedName name="QSALESCID_H1_2012">#REF!</definedName>
    <definedName name="QSALESCID_H1_2013">#REF!</definedName>
    <definedName name="QSALESCID_H1_2014">#REF!</definedName>
    <definedName name="QSALESCID_H1_2015">#REF!</definedName>
    <definedName name="QSALESCID_H2_2005">#REF!</definedName>
    <definedName name="QSALESCID_H2_2006">#REF!</definedName>
    <definedName name="QSALESCID_H2_2007">#REF!</definedName>
    <definedName name="QSALESCID_H2_2008">#REF!</definedName>
    <definedName name="QSALESCID_H2_2009">#REF!</definedName>
    <definedName name="QSALESCID_H2_2010">#REF!</definedName>
    <definedName name="QSALESCID_H2_2011">#REF!</definedName>
    <definedName name="QSALESCID_H2_2012">#REF!</definedName>
    <definedName name="QSALESCID_H2_2013">#REF!</definedName>
    <definedName name="QSALESCID_H2_2014">#REF!</definedName>
    <definedName name="QSALESCID_H2_2015">#REF!</definedName>
    <definedName name="QSALESCID_Q1_2005">#REF!</definedName>
    <definedName name="QSALESCID_Q1_2006">#REF!</definedName>
    <definedName name="QSALESCID_Q1_2007">#REF!</definedName>
    <definedName name="QSALESCID_Q1_2008">#REF!</definedName>
    <definedName name="QSALESCID_Q1_2009">#REF!</definedName>
    <definedName name="QSALESCID_Q1_2010">#REF!</definedName>
    <definedName name="QSALESCID_Q1_2011">#REF!</definedName>
    <definedName name="QSALESCID_Q1_2012">#REF!</definedName>
    <definedName name="QSALESCID_Q1_2013">#REF!</definedName>
    <definedName name="QSALESCID_Q1_2014">#REF!</definedName>
    <definedName name="QSALESCID_Q1_2015">#REF!</definedName>
    <definedName name="QSALESCID_Q2_2005">#REF!</definedName>
    <definedName name="QSALESCID_Q2_2006">#REF!</definedName>
    <definedName name="QSALESCID_Q2_2007">#REF!</definedName>
    <definedName name="QSALESCID_Q2_2008">#REF!</definedName>
    <definedName name="QSALESCID_Q2_2009">#REF!</definedName>
    <definedName name="QSALESCID_Q2_2010">#REF!</definedName>
    <definedName name="QSALESCID_Q2_2011">#REF!</definedName>
    <definedName name="QSALESCID_Q2_2012">#REF!</definedName>
    <definedName name="QSALESCID_Q2_2013">#REF!</definedName>
    <definedName name="QSALESCID_Q2_2014">#REF!</definedName>
    <definedName name="QSALESCID_Q2_2015">#REF!</definedName>
    <definedName name="QSALESCID_Q3_2005">#REF!</definedName>
    <definedName name="QSALESCID_Q3_2006">#REF!</definedName>
    <definedName name="QSALESCID_Q3_2007">#REF!</definedName>
    <definedName name="QSALESCID_Q3_2008">#REF!</definedName>
    <definedName name="QSALESCID_Q3_2009">#REF!</definedName>
    <definedName name="QSALESCID_Q3_2010">#REF!</definedName>
    <definedName name="QSALESCID_Q3_2011">#REF!</definedName>
    <definedName name="QSALESCID_Q3_2012">#REF!</definedName>
    <definedName name="QSALESCID_Q3_2013">#REF!</definedName>
    <definedName name="QSALESCID_Q3_2014">#REF!</definedName>
    <definedName name="QSALESCID_Q3_2015">#REF!</definedName>
    <definedName name="QSALESCID_Q4_2005">#REF!</definedName>
    <definedName name="QSALESCID_Q4_2006">#REF!</definedName>
    <definedName name="QSALESCID_Q4_2007">#REF!</definedName>
    <definedName name="QSALESCID_Q4_2008">#REF!</definedName>
    <definedName name="QSALESCID_Q4_2009">#REF!</definedName>
    <definedName name="QSALESCID_Q4_2010">#REF!</definedName>
    <definedName name="QSALESCID_Q4_2011">#REF!</definedName>
    <definedName name="QSALESCID_Q4_2012">#REF!</definedName>
    <definedName name="QSALESCID_Q4_2013">#REF!</definedName>
    <definedName name="QSALESCID_Q4_2014">#REF!</definedName>
    <definedName name="QSALESCID_Q4_2015">#REF!</definedName>
    <definedName name="QSALESCID_Y1_2005">#REF!</definedName>
    <definedName name="QSALESCID_Y1_2006">#REF!</definedName>
    <definedName name="QSALESCID_Y1_2007">#REF!</definedName>
    <definedName name="QSALESCID_Y1_2008">#REF!</definedName>
    <definedName name="QSALESCID_Y1_2009">#REF!</definedName>
    <definedName name="QSALESCID_Y1_2010">#REF!</definedName>
    <definedName name="QSALESCID_Y1_2011">#REF!</definedName>
    <definedName name="QSALESCID_Y1_2012">#REF!</definedName>
    <definedName name="QSALESCID_Y1_2013">#REF!</definedName>
    <definedName name="QSALESCID_Y1_2014">#REF!</definedName>
    <definedName name="QSALESCID_Y1_2015">#REF!</definedName>
    <definedName name="QSALESNAMED">#REF!</definedName>
    <definedName name="QSALESNAMED_9M_2005">#REF!</definedName>
    <definedName name="QSALESNAMED_9M_2006">#REF!</definedName>
    <definedName name="QSALESNAMED_9M_2007">#REF!</definedName>
    <definedName name="QSALESNAMED_9M_2008">#REF!</definedName>
    <definedName name="QSALESNAMED_9M_2009">#REF!</definedName>
    <definedName name="QSALESNAMED_9M_2010">#REF!</definedName>
    <definedName name="QSALESNAMED_9M_2011">#REF!</definedName>
    <definedName name="QSALESNAMED_9M_2012">#REF!</definedName>
    <definedName name="QSALESNAMED_9M_2013">#REF!</definedName>
    <definedName name="QSALESNAMED_9M_2014">#REF!</definedName>
    <definedName name="QSALESNAMED_9M_2015">#REF!</definedName>
    <definedName name="QSALESNAMED_H1_2005">#REF!</definedName>
    <definedName name="QSALESNAMED_H1_2006">#REF!</definedName>
    <definedName name="QSALESNAMED_H1_2007">#REF!</definedName>
    <definedName name="QSALESNAMED_H1_2008">#REF!</definedName>
    <definedName name="QSALESNAMED_H1_2009">#REF!</definedName>
    <definedName name="QSALESNAMED_H1_2010">#REF!</definedName>
    <definedName name="QSALESNAMED_H1_2011">#REF!</definedName>
    <definedName name="QSALESNAMED_H1_2012">#REF!</definedName>
    <definedName name="QSALESNAMED_H1_2013">#REF!</definedName>
    <definedName name="QSALESNAMED_H1_2014">#REF!</definedName>
    <definedName name="QSALESNAMED_H1_2015">#REF!</definedName>
    <definedName name="QSALESNAMED_H2_2005">#REF!</definedName>
    <definedName name="QSALESNAMED_H2_2006">#REF!</definedName>
    <definedName name="QSALESNAMED_H2_2007">#REF!</definedName>
    <definedName name="QSALESNAMED_H2_2008">#REF!</definedName>
    <definedName name="QSALESNAMED_H2_2009">#REF!</definedName>
    <definedName name="QSALESNAMED_H2_2010">#REF!</definedName>
    <definedName name="QSALESNAMED_H2_2011">#REF!</definedName>
    <definedName name="QSALESNAMED_H2_2012">#REF!</definedName>
    <definedName name="QSALESNAMED_H2_2013">#REF!</definedName>
    <definedName name="QSALESNAMED_H2_2014">#REF!</definedName>
    <definedName name="QSALESNAMED_H2_2015">#REF!</definedName>
    <definedName name="QSALESNAMED_Q1_2005">#REF!</definedName>
    <definedName name="QSALESNAMED_Q1_2006">#REF!</definedName>
    <definedName name="QSALESNAMED_Q1_2007">#REF!</definedName>
    <definedName name="QSALESNAMED_Q1_2008">#REF!</definedName>
    <definedName name="QSALESNAMED_Q1_2009">#REF!</definedName>
    <definedName name="QSALESNAMED_Q1_2010">#REF!</definedName>
    <definedName name="QSALESNAMED_Q1_2011">#REF!</definedName>
    <definedName name="QSALESNAMED_Q1_2012">#REF!</definedName>
    <definedName name="QSALESNAMED_Q1_2013">#REF!</definedName>
    <definedName name="QSALESNAMED_Q1_2014">#REF!</definedName>
    <definedName name="QSALESNAMED_Q1_2015">#REF!</definedName>
    <definedName name="QSALESNAMED_Q2_2005">#REF!</definedName>
    <definedName name="QSALESNAMED_Q2_2006">#REF!</definedName>
    <definedName name="QSALESNAMED_Q2_2007">#REF!</definedName>
    <definedName name="QSALESNAMED_Q2_2008">#REF!</definedName>
    <definedName name="QSALESNAMED_Q2_2009">#REF!</definedName>
    <definedName name="QSALESNAMED_Q2_2010">#REF!</definedName>
    <definedName name="QSALESNAMED_Q2_2011">#REF!</definedName>
    <definedName name="QSALESNAMED_Q2_2012">#REF!</definedName>
    <definedName name="QSALESNAMED_Q2_2013">#REF!</definedName>
    <definedName name="QSALESNAMED_Q2_2014">#REF!</definedName>
    <definedName name="QSALESNAMED_Q2_2015">#REF!</definedName>
    <definedName name="QSALESNAMED_Q3_2005">#REF!</definedName>
    <definedName name="QSALESNAMED_Q3_2006">#REF!</definedName>
    <definedName name="QSALESNAMED_Q3_2007">#REF!</definedName>
    <definedName name="QSALESNAMED_Q3_2008">#REF!</definedName>
    <definedName name="QSALESNAMED_Q3_2009">#REF!</definedName>
    <definedName name="QSALESNAMED_Q3_2010">#REF!</definedName>
    <definedName name="QSALESNAMED_Q3_2011">#REF!</definedName>
    <definedName name="QSALESNAMED_Q3_2012">#REF!</definedName>
    <definedName name="QSALESNAMED_Q3_2013">#REF!</definedName>
    <definedName name="QSALESNAMED_Q3_2014">#REF!</definedName>
    <definedName name="QSALESNAMED_Q3_2015">#REF!</definedName>
    <definedName name="QSALESNAMED_Q4_2005">#REF!</definedName>
    <definedName name="QSALESNAMED_Q4_2006">#REF!</definedName>
    <definedName name="QSALESNAMED_Q4_2007">#REF!</definedName>
    <definedName name="QSALESNAMED_Q4_2008">#REF!</definedName>
    <definedName name="QSALESNAMED_Q4_2009">#REF!</definedName>
    <definedName name="QSALESNAMED_Q4_2010">#REF!</definedName>
    <definedName name="QSALESNAMED_Q4_2011">#REF!</definedName>
    <definedName name="QSALESNAMED_Q4_2012">#REF!</definedName>
    <definedName name="QSALESNAMED_Q4_2013">#REF!</definedName>
    <definedName name="QSALESNAMED_Q4_2014">#REF!</definedName>
    <definedName name="QSALESNAMED_Q4_2015">#REF!</definedName>
    <definedName name="QSALESNAMED_Y1_2005">#REF!</definedName>
    <definedName name="QSALESNAMED_Y1_2006">#REF!</definedName>
    <definedName name="QSALESNAMED_Y1_2007">#REF!</definedName>
    <definedName name="QSALESNAMED_Y1_2008">#REF!</definedName>
    <definedName name="QSALESNAMED_Y1_2009">#REF!</definedName>
    <definedName name="QSALESNAMED_Y1_2010">#REF!</definedName>
    <definedName name="QSALESNAMED_Y1_2011">#REF!</definedName>
    <definedName name="QSALESNAMED_Y1_2012">#REF!</definedName>
    <definedName name="QSALESNAMED_Y1_2013">#REF!</definedName>
    <definedName name="QSALESNAMED_Y1_2014">#REF!</definedName>
    <definedName name="QSALESNAMED_Y1_2015">#REF!</definedName>
    <definedName name="QSALESNAMEE">#REF!</definedName>
    <definedName name="QSALESNAMEE_9M_2005">#REF!</definedName>
    <definedName name="QSALESNAMEE_9M_2006">#REF!</definedName>
    <definedName name="QSALESNAMEE_9M_2007">#REF!</definedName>
    <definedName name="QSALESNAMEE_9M_2008">#REF!</definedName>
    <definedName name="QSALESNAMEE_9M_2009">#REF!</definedName>
    <definedName name="QSALESNAMEE_9M_2010">#REF!</definedName>
    <definedName name="QSALESNAMEE_9M_2011">#REF!</definedName>
    <definedName name="QSALESNAMEE_9M_2012">#REF!</definedName>
    <definedName name="QSALESNAMEE_9M_2013">#REF!</definedName>
    <definedName name="QSALESNAMEE_9M_2014">#REF!</definedName>
    <definedName name="QSALESNAMEE_9M_2015">#REF!</definedName>
    <definedName name="QSALESNAMEE_H1_2005">#REF!</definedName>
    <definedName name="QSALESNAMEE_H1_2006">#REF!</definedName>
    <definedName name="QSALESNAMEE_H1_2007">#REF!</definedName>
    <definedName name="QSALESNAMEE_H1_2008">#REF!</definedName>
    <definedName name="QSALESNAMEE_H1_2009">#REF!</definedName>
    <definedName name="QSALESNAMEE_H1_2010">#REF!</definedName>
    <definedName name="QSALESNAMEE_H1_2011">#REF!</definedName>
    <definedName name="QSALESNAMEE_H1_2012">#REF!</definedName>
    <definedName name="QSALESNAMEE_H1_2013">#REF!</definedName>
    <definedName name="QSALESNAMEE_H1_2014">#REF!</definedName>
    <definedName name="QSALESNAMEE_H1_2015">#REF!</definedName>
    <definedName name="QSALESNAMEE_H2_2005">#REF!</definedName>
    <definedName name="QSALESNAMEE_H2_2006">#REF!</definedName>
    <definedName name="QSALESNAMEE_H2_2007">#REF!</definedName>
    <definedName name="QSALESNAMEE_H2_2008">#REF!</definedName>
    <definedName name="QSALESNAMEE_H2_2009">#REF!</definedName>
    <definedName name="QSALESNAMEE_H2_2010">#REF!</definedName>
    <definedName name="QSALESNAMEE_H2_2011">#REF!</definedName>
    <definedName name="QSALESNAMEE_H2_2012">#REF!</definedName>
    <definedName name="QSALESNAMEE_H2_2013">#REF!</definedName>
    <definedName name="QSALESNAMEE_H2_2014">#REF!</definedName>
    <definedName name="QSALESNAMEE_H2_2015">#REF!</definedName>
    <definedName name="QSALESNAMEE_Q1_2005">#REF!</definedName>
    <definedName name="QSALESNAMEE_Q1_2006">#REF!</definedName>
    <definedName name="QSALESNAMEE_Q1_2007">#REF!</definedName>
    <definedName name="QSALESNAMEE_Q1_2008">#REF!</definedName>
    <definedName name="QSALESNAMEE_Q1_2009">#REF!</definedName>
    <definedName name="QSALESNAMEE_Q1_2010">#REF!</definedName>
    <definedName name="QSALESNAMEE_Q1_2011">#REF!</definedName>
    <definedName name="QSALESNAMEE_Q1_2012">#REF!</definedName>
    <definedName name="QSALESNAMEE_Q1_2013">#REF!</definedName>
    <definedName name="QSALESNAMEE_Q1_2014">#REF!</definedName>
    <definedName name="QSALESNAMEE_Q1_2015">#REF!</definedName>
    <definedName name="QSALESNAMEE_Q2_2005">#REF!</definedName>
    <definedName name="QSALESNAMEE_Q2_2006">#REF!</definedName>
    <definedName name="QSALESNAMEE_Q2_2007">#REF!</definedName>
    <definedName name="QSALESNAMEE_Q2_2008">#REF!</definedName>
    <definedName name="QSALESNAMEE_Q2_2009">#REF!</definedName>
    <definedName name="QSALESNAMEE_Q2_2010">#REF!</definedName>
    <definedName name="QSALESNAMEE_Q2_2011">#REF!</definedName>
    <definedName name="QSALESNAMEE_Q2_2012">#REF!</definedName>
    <definedName name="QSALESNAMEE_Q2_2013">#REF!</definedName>
    <definedName name="QSALESNAMEE_Q2_2014">#REF!</definedName>
    <definedName name="QSALESNAMEE_Q2_2015">#REF!</definedName>
    <definedName name="QSALESNAMEE_Q3_2005">#REF!</definedName>
    <definedName name="QSALESNAMEE_Q3_2006">#REF!</definedName>
    <definedName name="QSALESNAMEE_Q3_2007">#REF!</definedName>
    <definedName name="QSALESNAMEE_Q3_2008">#REF!</definedName>
    <definedName name="QSALESNAMEE_Q3_2009">#REF!</definedName>
    <definedName name="QSALESNAMEE_Q3_2010">#REF!</definedName>
    <definedName name="QSALESNAMEE_Q3_2011">#REF!</definedName>
    <definedName name="QSALESNAMEE_Q3_2012">#REF!</definedName>
    <definedName name="QSALESNAMEE_Q3_2013">#REF!</definedName>
    <definedName name="QSALESNAMEE_Q3_2014">#REF!</definedName>
    <definedName name="QSALESNAMEE_Q3_2015">#REF!</definedName>
    <definedName name="QSALESNAMEE_Q4_2005">#REF!</definedName>
    <definedName name="QSALESNAMEE_Q4_2006">#REF!</definedName>
    <definedName name="QSALESNAMEE_Q4_2007">#REF!</definedName>
    <definedName name="QSALESNAMEE_Q4_2008">#REF!</definedName>
    <definedName name="QSALESNAMEE_Q4_2009">#REF!</definedName>
    <definedName name="QSALESNAMEE_Q4_2010">#REF!</definedName>
    <definedName name="QSALESNAMEE_Q4_2011">#REF!</definedName>
    <definedName name="QSALESNAMEE_Q4_2012">#REF!</definedName>
    <definedName name="QSALESNAMEE_Q4_2013">#REF!</definedName>
    <definedName name="QSALESNAMEE_Q4_2014">#REF!</definedName>
    <definedName name="QSALESNAMEE_Q4_2015">#REF!</definedName>
    <definedName name="QSALESNAMEE_Y1_2005">#REF!</definedName>
    <definedName name="QSALESNAMEE_Y1_2006">#REF!</definedName>
    <definedName name="QSALESNAMEE_Y1_2007">#REF!</definedName>
    <definedName name="QSALESNAMEE_Y1_2008">#REF!</definedName>
    <definedName name="QSALESNAMEE_Y1_2009">#REF!</definedName>
    <definedName name="QSALESNAMEE_Y1_2010">#REF!</definedName>
    <definedName name="QSALESNAMEE_Y1_2011">#REF!</definedName>
    <definedName name="QSALESNAMEE_Y1_2012">#REF!</definedName>
    <definedName name="QSALESNAMEE_Y1_2013">#REF!</definedName>
    <definedName name="QSALESNAMEE_Y1_2014">#REF!</definedName>
    <definedName name="QSALESNAMEE_Y1_2015">#REF!</definedName>
    <definedName name="QSALESOE">#REF!</definedName>
    <definedName name="QSALESOE_9M_2005">#REF!</definedName>
    <definedName name="QSALESOE_9M_2006">#REF!</definedName>
    <definedName name="QSALESOE_9M_2007">#REF!</definedName>
    <definedName name="QSALESOE_9M_2008">#REF!</definedName>
    <definedName name="QSALESOE_9M_2009">#REF!</definedName>
    <definedName name="QSALESOE_9M_2010">#REF!</definedName>
    <definedName name="QSALESOE_9M_2011">#REF!</definedName>
    <definedName name="QSALESOE_9M_2012">#REF!</definedName>
    <definedName name="QSALESOE_9M_2013">#REF!</definedName>
    <definedName name="QSALESOE_9M_2014">#REF!</definedName>
    <definedName name="QSALESOE_9M_2015">#REF!</definedName>
    <definedName name="QSALESOE_H1_2005">#REF!</definedName>
    <definedName name="QSALESOE_H1_2006">#REF!</definedName>
    <definedName name="QSALESOE_H1_2007">#REF!</definedName>
    <definedName name="QSALESOE_H1_2008">#REF!</definedName>
    <definedName name="QSALESOE_H1_2009">#REF!</definedName>
    <definedName name="QSALESOE_H1_2010">#REF!</definedName>
    <definedName name="QSALESOE_H1_2011">#REF!</definedName>
    <definedName name="QSALESOE_H1_2012">#REF!</definedName>
    <definedName name="QSALESOE_H1_2013">#REF!</definedName>
    <definedName name="QSALESOE_H1_2014">#REF!</definedName>
    <definedName name="QSALESOE_H1_2015">#REF!</definedName>
    <definedName name="QSALESOE_H2_2005">#REF!</definedName>
    <definedName name="QSALESOE_H2_2006">#REF!</definedName>
    <definedName name="QSALESOE_H2_2007">#REF!</definedName>
    <definedName name="QSALESOE_H2_2008">#REF!</definedName>
    <definedName name="QSALESOE_H2_2009">#REF!</definedName>
    <definedName name="QSALESOE_H2_2010">#REF!</definedName>
    <definedName name="QSALESOE_H2_2011">#REF!</definedName>
    <definedName name="QSALESOE_H2_2012">#REF!</definedName>
    <definedName name="QSALESOE_H2_2013">#REF!</definedName>
    <definedName name="QSALESOE_H2_2014">#REF!</definedName>
    <definedName name="QSALESOE_H2_2015">#REF!</definedName>
    <definedName name="QSALESOE_Q1_2005">#REF!</definedName>
    <definedName name="QSALESOE_Q1_2006">#REF!</definedName>
    <definedName name="QSALESOE_Q1_2007">#REF!</definedName>
    <definedName name="QSALESOE_Q1_2008">#REF!</definedName>
    <definedName name="QSALESOE_Q1_2009">#REF!</definedName>
    <definedName name="QSALESOE_Q1_2010">#REF!</definedName>
    <definedName name="QSALESOE_Q1_2011">#REF!</definedName>
    <definedName name="QSALESOE_Q1_2012">#REF!</definedName>
    <definedName name="QSALESOE_Q1_2013">#REF!</definedName>
    <definedName name="QSALESOE_Q1_2014">#REF!</definedName>
    <definedName name="QSALESOE_Q1_2015">#REF!</definedName>
    <definedName name="QSALESOE_Q2_2005">#REF!</definedName>
    <definedName name="QSALESOE_Q2_2006">#REF!</definedName>
    <definedName name="QSALESOE_Q2_2007">#REF!</definedName>
    <definedName name="QSALESOE_Q2_2008">#REF!</definedName>
    <definedName name="QSALESOE_Q2_2009">#REF!</definedName>
    <definedName name="QSALESOE_Q2_2010">#REF!</definedName>
    <definedName name="QSALESOE_Q2_2011">#REF!</definedName>
    <definedName name="QSALESOE_Q2_2012">#REF!</definedName>
    <definedName name="QSALESOE_Q2_2013">#REF!</definedName>
    <definedName name="QSALESOE_Q2_2014">#REF!</definedName>
    <definedName name="QSALESOE_Q2_2015">#REF!</definedName>
    <definedName name="QSALESOE_Q3_2005">#REF!</definedName>
    <definedName name="QSALESOE_Q3_2006">#REF!</definedName>
    <definedName name="QSALESOE_Q3_2007">#REF!</definedName>
    <definedName name="QSALESOE_Q3_2008">#REF!</definedName>
    <definedName name="QSALESOE_Q3_2009">#REF!</definedName>
    <definedName name="QSALESOE_Q3_2010">#REF!</definedName>
    <definedName name="QSALESOE_Q3_2011">#REF!</definedName>
    <definedName name="QSALESOE_Q3_2012">#REF!</definedName>
    <definedName name="QSALESOE_Q3_2013">#REF!</definedName>
    <definedName name="QSALESOE_Q3_2014">#REF!</definedName>
    <definedName name="QSALESOE_Q3_2015">#REF!</definedName>
    <definedName name="QSALESOE_Q4_2005">#REF!</definedName>
    <definedName name="QSALESOE_Q4_2006">#REF!</definedName>
    <definedName name="QSALESOE_Q4_2007">#REF!</definedName>
    <definedName name="QSALESOE_Q4_2008">#REF!</definedName>
    <definedName name="QSALESOE_Q4_2009">#REF!</definedName>
    <definedName name="QSALESOE_Q4_2010">#REF!</definedName>
    <definedName name="QSALESOE_Q4_2011">#REF!</definedName>
    <definedName name="QSALESOE_Q4_2012">#REF!</definedName>
    <definedName name="QSALESOE_Q4_2013">#REF!</definedName>
    <definedName name="QSALESOE_Q4_2014">#REF!</definedName>
    <definedName name="QSALESOE_Q4_2015">#REF!</definedName>
    <definedName name="QSALESOE_Y1_2005">#REF!</definedName>
    <definedName name="QSALESOE_Y1_2006">#REF!</definedName>
    <definedName name="QSALESOE_Y1_2007">#REF!</definedName>
    <definedName name="QSALESOE_Y1_2008">#REF!</definedName>
    <definedName name="QSALESOE_Y1_2009">#REF!</definedName>
    <definedName name="QSALESOE_Y1_2010">#REF!</definedName>
    <definedName name="QSALESOE_Y1_2011">#REF!</definedName>
    <definedName name="QSALESOE_Y1_2012">#REF!</definedName>
    <definedName name="QSALESOE_Y1_2013">#REF!</definedName>
    <definedName name="QSALESOE_Y1_2014">#REF!</definedName>
    <definedName name="QSALESOE_Y1_2015">#REF!</definedName>
    <definedName name="QSALESOID">#REF!</definedName>
    <definedName name="QSALESOID_9M_2005">#REF!</definedName>
    <definedName name="QSALESOID_9M_2006">#REF!</definedName>
    <definedName name="QSALESOID_9M_2007">#REF!</definedName>
    <definedName name="QSALESOID_9M_2008">#REF!</definedName>
    <definedName name="QSALESOID_9M_2009">#REF!</definedName>
    <definedName name="QSALESOID_9M_2010">#REF!</definedName>
    <definedName name="QSALESOID_9M_2011">#REF!</definedName>
    <definedName name="QSALESOID_9M_2012">#REF!</definedName>
    <definedName name="QSALESOID_9M_2013">#REF!</definedName>
    <definedName name="QSALESOID_9M_2014">#REF!</definedName>
    <definedName name="QSALESOID_9M_2015">#REF!</definedName>
    <definedName name="QSALESOID_H1_2005">#REF!</definedName>
    <definedName name="QSALESOID_H1_2006">#REF!</definedName>
    <definedName name="QSALESOID_H1_2007">#REF!</definedName>
    <definedName name="QSALESOID_H1_2008">#REF!</definedName>
    <definedName name="QSALESOID_H1_2009">#REF!</definedName>
    <definedName name="QSALESOID_H1_2010">#REF!</definedName>
    <definedName name="QSALESOID_H1_2011">#REF!</definedName>
    <definedName name="QSALESOID_H1_2012">#REF!</definedName>
    <definedName name="QSALESOID_H1_2013">#REF!</definedName>
    <definedName name="QSALESOID_H1_2014">#REF!</definedName>
    <definedName name="QSALESOID_H1_2015">#REF!</definedName>
    <definedName name="QSALESOID_H2_2005">#REF!</definedName>
    <definedName name="QSALESOID_H2_2006">#REF!</definedName>
    <definedName name="QSALESOID_H2_2007">#REF!</definedName>
    <definedName name="QSALESOID_H2_2008">#REF!</definedName>
    <definedName name="QSALESOID_H2_2009">#REF!</definedName>
    <definedName name="QSALESOID_H2_2010">#REF!</definedName>
    <definedName name="QSALESOID_H2_2011">#REF!</definedName>
    <definedName name="QSALESOID_H2_2012">#REF!</definedName>
    <definedName name="QSALESOID_H2_2013">#REF!</definedName>
    <definedName name="QSALESOID_H2_2014">#REF!</definedName>
    <definedName name="QSALESOID_H2_2015">#REF!</definedName>
    <definedName name="QSALESOID_Q1_2005">#REF!</definedName>
    <definedName name="QSALESOID_Q1_2006">#REF!</definedName>
    <definedName name="QSALESOID_Q1_2007">#REF!</definedName>
    <definedName name="QSALESOID_Q1_2008">#REF!</definedName>
    <definedName name="QSALESOID_Q1_2009">#REF!</definedName>
    <definedName name="QSALESOID_Q1_2010">#REF!</definedName>
    <definedName name="QSALESOID_Q1_2011">#REF!</definedName>
    <definedName name="QSALESOID_Q1_2012">#REF!</definedName>
    <definedName name="QSALESOID_Q1_2013">#REF!</definedName>
    <definedName name="QSALESOID_Q1_2014">#REF!</definedName>
    <definedName name="QSALESOID_Q1_2015">#REF!</definedName>
    <definedName name="QSALESOID_Q2_2005">#REF!</definedName>
    <definedName name="QSALESOID_Q2_2006">#REF!</definedName>
    <definedName name="QSALESOID_Q2_2007">#REF!</definedName>
    <definedName name="QSALESOID_Q2_2008">#REF!</definedName>
    <definedName name="QSALESOID_Q2_2009">#REF!</definedName>
    <definedName name="QSALESOID_Q2_2010">#REF!</definedName>
    <definedName name="QSALESOID_Q2_2011">#REF!</definedName>
    <definedName name="QSALESOID_Q2_2012">#REF!</definedName>
    <definedName name="QSALESOID_Q2_2013">#REF!</definedName>
    <definedName name="QSALESOID_Q2_2014">#REF!</definedName>
    <definedName name="QSALESOID_Q2_2015">#REF!</definedName>
    <definedName name="QSALESOID_Q3_2005">#REF!</definedName>
    <definedName name="QSALESOID_Q3_2006">#REF!</definedName>
    <definedName name="QSALESOID_Q3_2007">#REF!</definedName>
    <definedName name="QSALESOID_Q3_2008">#REF!</definedName>
    <definedName name="QSALESOID_Q3_2009">#REF!</definedName>
    <definedName name="QSALESOID_Q3_2010">#REF!</definedName>
    <definedName name="QSALESOID_Q3_2011">#REF!</definedName>
    <definedName name="QSALESOID_Q3_2012">#REF!</definedName>
    <definedName name="QSALESOID_Q3_2013">#REF!</definedName>
    <definedName name="QSALESOID_Q3_2014">#REF!</definedName>
    <definedName name="QSALESOID_Q3_2015">#REF!</definedName>
    <definedName name="QSALESOID_Q4_2005">#REF!</definedName>
    <definedName name="QSALESOID_Q4_2006">#REF!</definedName>
    <definedName name="QSALESOID_Q4_2007">#REF!</definedName>
    <definedName name="QSALESOID_Q4_2008">#REF!</definedName>
    <definedName name="QSALESOID_Q4_2009">#REF!</definedName>
    <definedName name="QSALESOID_Q4_2010">#REF!</definedName>
    <definedName name="QSALESOID_Q4_2011">#REF!</definedName>
    <definedName name="QSALESOID_Q4_2012">#REF!</definedName>
    <definedName name="QSALESOID_Q4_2013">#REF!</definedName>
    <definedName name="QSALESOID_Q4_2014">#REF!</definedName>
    <definedName name="QSALESOID_Q4_2015">#REF!</definedName>
    <definedName name="QSALESOID_Y1_2005">#REF!</definedName>
    <definedName name="QSALESOID_Y1_2006">#REF!</definedName>
    <definedName name="QSALESOID_Y1_2007">#REF!</definedName>
    <definedName name="QSALESOID_Y1_2008">#REF!</definedName>
    <definedName name="QSALESOID_Y1_2009">#REF!</definedName>
    <definedName name="QSALESOID_Y1_2010">#REF!</definedName>
    <definedName name="QSALESOID_Y1_2011">#REF!</definedName>
    <definedName name="QSALESOID_Y1_2012">#REF!</definedName>
    <definedName name="QSALESOID_Y1_2013">#REF!</definedName>
    <definedName name="QSALESOID_Y1_2014">#REF!</definedName>
    <definedName name="QSALESOID_Y1_2015">#REF!</definedName>
    <definedName name="QSALESREP">#REF!</definedName>
    <definedName name="QSALESREP_9M_2005">#REF!</definedName>
    <definedName name="QSALESREP_9M_2006">#REF!</definedName>
    <definedName name="QSALESREP_9M_2007">#REF!</definedName>
    <definedName name="QSALESREP_9M_2008">#REF!</definedName>
    <definedName name="QSALESREP_9M_2009">#REF!</definedName>
    <definedName name="QSALESREP_9M_2010">#REF!</definedName>
    <definedName name="QSALESREP_9M_2011">#REF!</definedName>
    <definedName name="QSALESREP_9M_2012">#REF!</definedName>
    <definedName name="QSALESREP_9M_2013">#REF!</definedName>
    <definedName name="QSALESREP_9M_2014">#REF!</definedName>
    <definedName name="QSALESREP_9M_2015">#REF!</definedName>
    <definedName name="QSALESREP_H1_2005">#REF!</definedName>
    <definedName name="QSALESREP_H1_2006">#REF!</definedName>
    <definedName name="QSALESREP_H1_2007">#REF!</definedName>
    <definedName name="QSALESREP_H1_2008">#REF!</definedName>
    <definedName name="QSALESREP_H1_2009">#REF!</definedName>
    <definedName name="QSALESREP_H1_2010">#REF!</definedName>
    <definedName name="QSALESREP_H1_2011">#REF!</definedName>
    <definedName name="QSALESREP_H1_2012">#REF!</definedName>
    <definedName name="QSALESREP_H1_2013">#REF!</definedName>
    <definedName name="QSALESREP_H1_2014">#REF!</definedName>
    <definedName name="QSALESREP_H1_2015">#REF!</definedName>
    <definedName name="QSALESREP_H2_2005">#REF!</definedName>
    <definedName name="QSALESREP_H2_2006">#REF!</definedName>
    <definedName name="QSALESREP_H2_2007">#REF!</definedName>
    <definedName name="QSALESREP_H2_2008">#REF!</definedName>
    <definedName name="QSALESREP_H2_2009">#REF!</definedName>
    <definedName name="QSALESREP_H2_2010">#REF!</definedName>
    <definedName name="QSALESREP_H2_2011">#REF!</definedName>
    <definedName name="QSALESREP_H2_2012">#REF!</definedName>
    <definedName name="QSALESREP_H2_2013">#REF!</definedName>
    <definedName name="QSALESREP_H2_2014">#REF!</definedName>
    <definedName name="QSALESREP_H2_2015">#REF!</definedName>
    <definedName name="QSALESREP_Q1_2005">#REF!</definedName>
    <definedName name="QSALESREP_Q1_2006">#REF!</definedName>
    <definedName name="QSALESREP_Q1_2007">#REF!</definedName>
    <definedName name="QSALESREP_Q1_2008">#REF!</definedName>
    <definedName name="QSALESREP_Q1_2009">#REF!</definedName>
    <definedName name="QSALESREP_Q1_2010">#REF!</definedName>
    <definedName name="QSALESREP_Q1_2011">#REF!</definedName>
    <definedName name="QSALESREP_Q1_2012">#REF!</definedName>
    <definedName name="QSALESREP_Q1_2013">#REF!</definedName>
    <definedName name="QSALESREP_Q1_2014">#REF!</definedName>
    <definedName name="QSALESREP_Q1_2015">#REF!</definedName>
    <definedName name="QSALESREP_Q2_2005">#REF!</definedName>
    <definedName name="QSALESREP_Q2_2006">#REF!</definedName>
    <definedName name="QSALESREP_Q2_2007">#REF!</definedName>
    <definedName name="QSALESREP_Q2_2008">#REF!</definedName>
    <definedName name="QSALESREP_Q2_2009">#REF!</definedName>
    <definedName name="QSALESREP_Q2_2010">#REF!</definedName>
    <definedName name="QSALESREP_Q2_2011">#REF!</definedName>
    <definedName name="QSALESREP_Q2_2012">#REF!</definedName>
    <definedName name="QSALESREP_Q2_2013">#REF!</definedName>
    <definedName name="QSALESREP_Q2_2014">#REF!</definedName>
    <definedName name="QSALESREP_Q2_2015">#REF!</definedName>
    <definedName name="QSALESREP_Q3_2005">#REF!</definedName>
    <definedName name="QSALESREP_Q3_2006">#REF!</definedName>
    <definedName name="QSALESREP_Q3_2007">#REF!</definedName>
    <definedName name="QSALESREP_Q3_2008">#REF!</definedName>
    <definedName name="QSALESREP_Q3_2009">#REF!</definedName>
    <definedName name="QSALESREP_Q3_2010">#REF!</definedName>
    <definedName name="QSALESREP_Q3_2011">#REF!</definedName>
    <definedName name="QSALESREP_Q3_2012">#REF!</definedName>
    <definedName name="QSALESREP_Q3_2013">#REF!</definedName>
    <definedName name="QSALESREP_Q3_2014">#REF!</definedName>
    <definedName name="QSALESREP_Q3_2015">#REF!</definedName>
    <definedName name="QSALESREP_Q4_2005">#REF!</definedName>
    <definedName name="QSALESREP_Q4_2006">#REF!</definedName>
    <definedName name="QSALESREP_Q4_2007">#REF!</definedName>
    <definedName name="QSALESREP_Q4_2008">#REF!</definedName>
    <definedName name="QSALESREP_Q4_2009">#REF!</definedName>
    <definedName name="QSALESREP_Q4_2010">#REF!</definedName>
    <definedName name="QSALESREP_Q4_2011">#REF!</definedName>
    <definedName name="QSALESREP_Q4_2012">#REF!</definedName>
    <definedName name="QSALESREP_Q4_2013">#REF!</definedName>
    <definedName name="QSALESREP_Q4_2014">#REF!</definedName>
    <definedName name="QSALESREP_Q4_2015">#REF!</definedName>
    <definedName name="QSALESREP_Y1_2005">#REF!</definedName>
    <definedName name="QSALESREP_Y1_2006">#REF!</definedName>
    <definedName name="QSALESREP_Y1_2007">#REF!</definedName>
    <definedName name="QSALESREP_Y1_2008">#REF!</definedName>
    <definedName name="QSALESREP_Y1_2009">#REF!</definedName>
    <definedName name="QSALESREP_Y1_2010">#REF!</definedName>
    <definedName name="QSALESREP_Y1_2011">#REF!</definedName>
    <definedName name="QSALESREP_Y1_2012">#REF!</definedName>
    <definedName name="QSALESREP_Y1_2013">#REF!</definedName>
    <definedName name="QSALESREP_Y1_2014">#REF!</definedName>
    <definedName name="QSALESREP_Y1_2015">#REF!</definedName>
    <definedName name="QSALESREPPY">#REF!</definedName>
    <definedName name="qsss" hidden="1">{#N/A,#N/A,FALSE,"Summary";#N/A,#N/A,FALSE,"Service";#N/A,#N/A,FALSE,"Carriage";#N/A,#N/A,FALSE,"Backbone"}</definedName>
    <definedName name="QT">#REF!</definedName>
    <definedName name="QTDEur">#REF!</definedName>
    <definedName name="QTeam">#REF!</definedName>
    <definedName name="QtrDate">#REF!</definedName>
    <definedName name="QtrShares">#REF!</definedName>
    <definedName name="qtsp">#REF!</definedName>
    <definedName name="qtspq4">#REF!</definedName>
    <definedName name="qtspsites">#REF!</definedName>
    <definedName name="QTY">#REF!</definedName>
    <definedName name="Quality">OFFSET(#REF!,0,COUNTA(#REF!)-1-10,1,10)</definedName>
    <definedName name="QualityEng">#REF!</definedName>
    <definedName name="quantity">OFFSET(#REF!,,,COUNTA(#REF!)-1)</definedName>
    <definedName name="Quantity1">#REF!</definedName>
    <definedName name="Quantity2">#REF!</definedName>
    <definedName name="Quantity3">#REF!</definedName>
    <definedName name="Quartal">#REF!</definedName>
    <definedName name="QuarterInsertFlag">0</definedName>
    <definedName name="Quarterly" hidden="1">{"Annual",#N/A,FALSE,"Sales &amp; Market";"Quarterly",#N/A,FALSE,"Sales &amp; Market"}</definedName>
    <definedName name="Quarterly_Jahr">#REF!</definedName>
    <definedName name="Quarterly_Quartal">#REF!</definedName>
    <definedName name="Quarterly1" hidden="1">{"Annual",#N/A,FALSE,"Sales &amp; Market";"Quarterly",#N/A,FALSE,"Sales &amp; Market"}</definedName>
    <definedName name="Query1___SMTC_MPP_Only">#REF!</definedName>
    <definedName name="Questions">#REF!,#REF!,#REF!,#REF!,#REF!,#REF!,#REF!,#REF!,#REF!,#REF!</definedName>
    <definedName name="Quotation">#REF!</definedName>
    <definedName name="Quotation..">#REF!</definedName>
    <definedName name="Quotation_Summary">#REF!</definedName>
    <definedName name="QuotationSummary">#REF!</definedName>
    <definedName name="QUOTE">#REF!</definedName>
    <definedName name="QUOTE_NO">#REF!</definedName>
    <definedName name="QUOTE_NO01">#REF!</definedName>
    <definedName name="QUOTE_NO02">#REF!</definedName>
    <definedName name="QUOTE_NO03">#REF!</definedName>
    <definedName name="QUOTE_NO04">#REF!</definedName>
    <definedName name="QUOTE_NO05">#REF!</definedName>
    <definedName name="QUOTE_NO06">#REF!</definedName>
    <definedName name="QUOTE_NO07">#REF!</definedName>
    <definedName name="QUOTE_NO08">#REF!</definedName>
    <definedName name="QUOTE_NO09">#REF!</definedName>
    <definedName name="QUOTE_NO10">#REF!</definedName>
    <definedName name="QUOTE_NO11">#REF!</definedName>
    <definedName name="QUOTE_NO12">#REF!</definedName>
    <definedName name="QUOTE_NO13">#REF!</definedName>
    <definedName name="QUOTE_NO14">#REF!</definedName>
    <definedName name="QUOTE_NO15">#REF!</definedName>
    <definedName name="QUOTE_NO16">#REF!</definedName>
    <definedName name="QUOTE_NO17">#REF!</definedName>
    <definedName name="QUOTE_NO18">#REF!</definedName>
    <definedName name="QUOTE_NO19">#REF!</definedName>
    <definedName name="QUOTE_NO20">#REF!</definedName>
    <definedName name="QUOTE_NO21">#REF!</definedName>
    <definedName name="QUOTE_NO22">#REF!</definedName>
    <definedName name="QUOTE_NO23">#REF!</definedName>
    <definedName name="quote2">#REF!</definedName>
    <definedName name="quote3">#REF!</definedName>
    <definedName name="QuoteNbr">#REF!</definedName>
    <definedName name="QuoteNumber">#REF!</definedName>
    <definedName name="QuoteRev">#REF!</definedName>
    <definedName name="quotes">#REF!</definedName>
    <definedName name="quotesumm1">#REF!</definedName>
    <definedName name="quotesumm2">#REF!</definedName>
    <definedName name="quotesumm3">#REF!</definedName>
    <definedName name="qw">#REF!</definedName>
    <definedName name="qwe" hidden="1">{"one (KEY)",#N/A,FALSE,"P&amp;L"}</definedName>
    <definedName name="qwea" hidden="1">{#N/A,#N/A,FALSE,"Sales"}</definedName>
    <definedName name="qwec" hidden="1">{"Annual",#N/A,FALSE,"Sales &amp; Market";"Quarterly",#N/A,FALSE,"Sales &amp; Market"}</definedName>
    <definedName name="qwerqwer" hidden="1">{#N/A,#N/A,FALSE,"Duran"}</definedName>
    <definedName name="QWERR" hidden="1">{"'B-S Accounts Translation'!$A$1:$G$190"}</definedName>
    <definedName name="qweryr" hidden="1">{"one (KEY)",#N/A,FALSE,"P&amp;L"}</definedName>
    <definedName name="qwqd" hidden="1">{"one (KEY)",#N/A,FALSE,"P&amp;L"}</definedName>
    <definedName name="qwsfv" hidden="1">#REF!</definedName>
    <definedName name="qwsxxx" hidden="1">{"Annual",#N/A,FALSE,"Sales &amp; Market";"Quarterly",#N/A,FALSE,"Sales &amp; Market"}</definedName>
    <definedName name="qxtbProduction_Location" localSheetId="1">#REF!</definedName>
    <definedName name="qxtbProduction_Location">#REF!</definedName>
    <definedName name="qxtbProduction_LocationAlgo_Communications" localSheetId="1">#REF!</definedName>
    <definedName name="qxtbProduction_LocationAlgo_Communications">#REF!</definedName>
    <definedName name="qxtbProduction_LocationAlgo_Communications_3">#REF!</definedName>
    <definedName name="qxtbProduction_LocationAlpha_Technologies" localSheetId="1">#REF!</definedName>
    <definedName name="qxtbProduction_LocationAlpha_Technologies">#REF!</definedName>
    <definedName name="qxtbProduction_LocationAlpha_Technologies_3">#REF!</definedName>
    <definedName name="qxtbProduction_LocationAnixter" localSheetId="1">#REF!</definedName>
    <definedName name="qxtbProduction_LocationAnixter">#REF!</definedName>
    <definedName name="qxtbProduction_LocationAnixter_3">#REF!</definedName>
    <definedName name="qxtbProduction_LocationBelleVille" localSheetId="1">#REF!</definedName>
    <definedName name="qxtbProduction_LocationBelleVille">#REF!</definedName>
    <definedName name="qxtbProduction_LocationBelleVille_3">#REF!</definedName>
    <definedName name="qxtbProduction_LocationBrooktrout" localSheetId="1">#REF!</definedName>
    <definedName name="qxtbProduction_LocationBrooktrout">#REF!</definedName>
    <definedName name="qxtbProduction_LocationBrooktrout_3">#REF!</definedName>
    <definedName name="qxtbProduction_LocationCabletron" localSheetId="1">#REF!</definedName>
    <definedName name="qxtbProduction_LocationCabletron">#REF!</definedName>
    <definedName name="qxtbProduction_LocationCabletron_3">#REF!</definedName>
    <definedName name="qxtbProduction_LocationCalg" localSheetId="1">#REF!</definedName>
    <definedName name="qxtbProduction_LocationCalg">#REF!</definedName>
    <definedName name="qxtbProduction_LocationCintech" localSheetId="1">#REF!</definedName>
    <definedName name="qxtbProduction_LocationCintech">#REF!</definedName>
    <definedName name="qxtbProduction_LocationCintech_3">#REF!</definedName>
    <definedName name="qxtbProduction_LocationDialogic_Corp" localSheetId="1">#REF!</definedName>
    <definedName name="qxtbProduction_LocationDialogic_Corp">#REF!</definedName>
    <definedName name="qxtbProduction_LocationDialogic_Corp_3">#REF!</definedName>
    <definedName name="qxtbProduction_LocationDigital_Techn_Corp" localSheetId="1">#REF!</definedName>
    <definedName name="qxtbProduction_LocationDigital_Techn_Corp">#REF!</definedName>
    <definedName name="qxtbProduction_LocationDigital_Techn_Corp_3">#REF!</definedName>
    <definedName name="qxtbProduction_LocationGE_Capital" localSheetId="1">#REF!</definedName>
    <definedName name="qxtbProduction_LocationGE_Capital">#REF!</definedName>
    <definedName name="qxtbProduction_LocationGE_Capital_3">#REF!</definedName>
    <definedName name="qxtbProduction_LocationHitfar" localSheetId="1">#REF!</definedName>
    <definedName name="qxtbProduction_LocationHitfar">#REF!</definedName>
    <definedName name="qxtbProduction_LocationHitfar_3">#REF!</definedName>
    <definedName name="qxtbProduction_LocationIBM" localSheetId="1">#REF!</definedName>
    <definedName name="qxtbProduction_LocationIBM">#REF!</definedName>
    <definedName name="qxtbProduction_LocationIBM_3">#REF!</definedName>
    <definedName name="qxtbProduction_LocationKSU" localSheetId="1">#REF!</definedName>
    <definedName name="qxtbProduction_LocationKSU">#REF!</definedName>
    <definedName name="qxtbProduction_LocationMont" localSheetId="1">#REF!</definedName>
    <definedName name="qxtbProduction_LocationMont">#REF!</definedName>
    <definedName name="qxtbProduction_LocationOEM" localSheetId="1">#REF!</definedName>
    <definedName name="qxtbProduction_LocationOEM">#REF!</definedName>
    <definedName name="qxtbProduction_LocationOEM_3">#REF!</definedName>
    <definedName name="qxtbProduction_LocationPlantronics" localSheetId="1">#REF!</definedName>
    <definedName name="qxtbProduction_LocationPlantronics">#REF!</definedName>
    <definedName name="qxtbProduction_LocationPlantronics_3">#REF!</definedName>
    <definedName name="qxtbProduction_LocationSanyo" localSheetId="1">#REF!</definedName>
    <definedName name="qxtbProduction_LocationSanyo">#REF!</definedName>
    <definedName name="qxtbProduction_LocationSanyo_3">#REF!</definedName>
    <definedName name="qxtbProduction_LocationSL_Waber" localSheetId="1">#REF!</definedName>
    <definedName name="qxtbProduction_LocationSL_Waber">#REF!</definedName>
    <definedName name="qxtbProduction_LocationSL_Waber_3">#REF!</definedName>
    <definedName name="qxtbProduction_LocationSolectron" localSheetId="1">#REF!</definedName>
    <definedName name="qxtbProduction_LocationSolectron">#REF!</definedName>
    <definedName name="qxtbProduction_LocationSolectron_3">#REF!</definedName>
    <definedName name="qxtbProduction_LocationSPM" localSheetId="1">#REF!</definedName>
    <definedName name="qxtbProduction_LocationSPM">#REF!</definedName>
    <definedName name="qxtbProduction_LocationSPM_3">#REF!</definedName>
    <definedName name="qxtbProduction_LocationTelrad" localSheetId="1">#REF!</definedName>
    <definedName name="qxtbProduction_LocationTelrad">#REF!</definedName>
    <definedName name="qxtbProduction_LocationTelrad_3">#REF!</definedName>
    <definedName name="qxtbProduction_LocationTeltech" localSheetId="1">#REF!</definedName>
    <definedName name="qxtbProduction_LocationTeltech">#REF!</definedName>
    <definedName name="qxtbProduction_LocationTeltech_3">#REF!</definedName>
    <definedName name="qxtbProduction_LocationViziflex" localSheetId="1">#REF!</definedName>
    <definedName name="qxtbProduction_LocationViziflex">#REF!</definedName>
    <definedName name="qxtbProduction_LocationViziflex_3">#REF!</definedName>
    <definedName name="qxtbProduction_LocationVolex_Capulum" localSheetId="1">#REF!</definedName>
    <definedName name="qxtbProduction_LocationVolex_Capulum">#REF!</definedName>
    <definedName name="qxtbProduction_LocationVolex_Capulum_3">#REF!</definedName>
    <definedName name="qy" hidden="1">{"'Edit'!$A$1:$V$2277"}</definedName>
    <definedName name="R_FILE">#REF!</definedName>
    <definedName name="R_Reason">#REF!</definedName>
    <definedName name="rackup">#REF!</definedName>
    <definedName name="RAD">#REF!</definedName>
    <definedName name="radial5">#REF!</definedName>
    <definedName name="RADIALE">#REF!</definedName>
    <definedName name="RANGE">#REF!</definedName>
    <definedName name="Range_Dec_summary">#REF!</definedName>
    <definedName name="Range1">#REF!</definedName>
    <definedName name="Range2">#REF!</definedName>
    <definedName name="RATE">#REF!</definedName>
    <definedName name="rates">#N/A</definedName>
    <definedName name="Ratioswitch">#REF!</definedName>
    <definedName name="ratwe" hidden="1">{"Jabil - Personal View",#N/A,FALSE,"Passives"}</definedName>
    <definedName name="raw">#REF!</definedName>
    <definedName name="Raw_Del_Method">#REF!</definedName>
    <definedName name="Raw_Del_Region">#REF!</definedName>
    <definedName name="RawAgencyPrice">#REF!</definedName>
    <definedName name="RawAgencyprice.">#REF!</definedName>
    <definedName name="RawData">#REF!</definedName>
    <definedName name="RBData">#REF!</definedName>
    <definedName name="RBData.">#REF!</definedName>
    <definedName name="rbox">#REF!</definedName>
    <definedName name="RCArea" hidden="1">#REF!</definedName>
    <definedName name="rcharley">#REF!</definedName>
    <definedName name="RCOA">#REF!</definedName>
    <definedName name="RD">#REF!</definedName>
    <definedName name="RDBAlloc">#REF!</definedName>
    <definedName name="rdes">#REF!</definedName>
    <definedName name="rdtyut">#REF!</definedName>
    <definedName name="RE">balance sheet send</definedName>
    <definedName name="Reas">#REF!</definedName>
    <definedName name="Reason">#REF!</definedName>
    <definedName name="Reasons1">#REF!</definedName>
    <definedName name="reb">#REF!</definedName>
    <definedName name="rec">#REF!</definedName>
    <definedName name="RECON">#REF!</definedName>
    <definedName name="RED">#REF!</definedName>
    <definedName name="ReferenceBaseCell">#REF!</definedName>
    <definedName name="Region" localSheetId="1">balance sheet send</definedName>
    <definedName name="Region">balance sheet send</definedName>
    <definedName name="regions">#REF!</definedName>
    <definedName name="rejjtuyj">#REF!</definedName>
    <definedName name="REMAIN">#REF!</definedName>
    <definedName name="Rena">#REF!</definedName>
    <definedName name="rename">#REF!</definedName>
    <definedName name="REPAIR">#REF!</definedName>
    <definedName name="REPAIR..">#REF!</definedName>
    <definedName name="Repair_code">#REF!</definedName>
    <definedName name="repair_timeFunctional1">#N/A</definedName>
    <definedName name="repair_timeFunctional2">#N/A</definedName>
    <definedName name="repair_timeFunctional3">#N/A</definedName>
    <definedName name="repair_timeHiPot">#N/A</definedName>
    <definedName name="repair_timeICT">#N/A</definedName>
    <definedName name="repair_timeLife">#N/A</definedName>
    <definedName name="repair_timeSystems">#N/A</definedName>
    <definedName name="ReplacementTable">#REF!</definedName>
    <definedName name="REPORT">#REF!</definedName>
    <definedName name="REPORTPRINT">#REF!</definedName>
    <definedName name="reps">#REF!</definedName>
    <definedName name="req">#REF!</definedName>
    <definedName name="Requisiciones_de_servicio">#REF!</definedName>
    <definedName name="Requisiciones_de_servicio_1">#REF!</definedName>
    <definedName name="rere">#REF!</definedName>
    <definedName name="Reselects">#REF!</definedName>
    <definedName name="Reselects.">#REF!</definedName>
    <definedName name="ResetYN">#REF!</definedName>
    <definedName name="RESI">#REF!</definedName>
    <definedName name="Resin_Type">#REF!</definedName>
    <definedName name="Reso" hidden="1">{"'Broadway ML#4'!$J$7:$N$490"}</definedName>
    <definedName name="REST0511">#REF!</definedName>
    <definedName name="ret">#REF!</definedName>
    <definedName name="RETEARNS">#REF!</definedName>
    <definedName name="retrewter" hidden="1">{"Jabil - Personal View",#N/A,FALSE,"Passives"}</definedName>
    <definedName name="retrieve">#REF!</definedName>
    <definedName name="Retrieve.1">#REF!</definedName>
    <definedName name="Retrieve.2">#REF!</definedName>
    <definedName name="Retrieve.3">#REF!</definedName>
    <definedName name="Retrieve.4">#REF!</definedName>
    <definedName name="RETTER">balance sheet send</definedName>
    <definedName name="RETTTTERT">balance sheet send</definedName>
    <definedName name="retyfyu" hidden="1">#REF!</definedName>
    <definedName name="Reve">#N/A</definedName>
    <definedName name="Reven">#N/A</definedName>
    <definedName name="Revenue">#N/A</definedName>
    <definedName name="Revenues">#REF!</definedName>
    <definedName name="REVGR1LEFT">#REF!</definedName>
    <definedName name="REVGR1RIGHT">#REF!</definedName>
    <definedName name="REVGR2LEFT">#REF!</definedName>
    <definedName name="REVGR2RIGHT">#REF!</definedName>
    <definedName name="RevisionControl">#REF!</definedName>
    <definedName name="revisionlog">#REF!</definedName>
    <definedName name="REVRetRange">#N/A</definedName>
    <definedName name="rework_time_secsAxial">#N/A</definedName>
    <definedName name="rework_time_secsDIP">#N/A</definedName>
    <definedName name="rework_time_secsRadial">#N/A</definedName>
    <definedName name="ReworkStaff">#REF!</definedName>
    <definedName name="rewtewrt" hidden="1">{"Jabil - Personal View",#N/A,FALSE,"Passives"}</definedName>
    <definedName name="rewtw" hidden="1">{"one (KEY)",#N/A,FALSE,"P&amp;L"}</definedName>
    <definedName name="rewtwet" hidden="1">{"one (KEY)",#N/A,FALSE,"P&amp;L"}</definedName>
    <definedName name="rey" hidden="1">{"Jabil - Personal View",#N/A,FALSE,"Passives"}</definedName>
    <definedName name="RFN" hidden="1">{"Annual",#N/A,FALSE,"Sales &amp; Market";"Quarterly",#N/A,FALSE,"Sales &amp; Market"}</definedName>
    <definedName name="rft" hidden="1">{#N/A,#N/A,FALSE,"Summary";#N/A,#N/A,FALSE,"Service";#N/A,#N/A,FALSE,"Carriage";#N/A,#N/A,FALSE,"Backbone"}</definedName>
    <definedName name="rg_report_info">#REF!</definedName>
    <definedName name="rg_report_info.APP_CATEGORY">#REF!</definedName>
    <definedName name="rg_report_info.BLANK">#REF!</definedName>
    <definedName name="rg_report_info.EFFECTIVE">#REF!</definedName>
    <definedName name="rg_report_info.PART_ELID">#REF!</definedName>
    <definedName name="rg_report_info.PART_ID">#REF!</definedName>
    <definedName name="rg_report_info.REPORT_APP_TPL">#REF!</definedName>
    <definedName name="rg_report_info.REPORT_MODE">#REF!</definedName>
    <definedName name="rg_report_info.REPORT_QUERY_LIST_LTAB">#REF!</definedName>
    <definedName name="rg_report_info.RPT_FULL_NAME">#REF!</definedName>
    <definedName name="rg_report_info.RUN_DATE">#REF!</definedName>
    <definedName name="rg_report_info.RUN_IN_BG_MODE">#REF!</definedName>
    <definedName name="rg_report_info.SAVE_HISTORICAL">#REF!</definedName>
    <definedName name="rg_report_info.SOURCE_ELID">#REF!</definedName>
    <definedName name="rg_report_info.TRANSFER_DIR">#REF!</definedName>
    <definedName name="rg_report_info.USER_NAME">#REF!</definedName>
    <definedName name="rg_report_info.VIEW_NAME">#REF!</definedName>
    <definedName name="rggrd" hidden="1">{"one (KEY)",#N/A,FALSE,"P&amp;L"}</definedName>
    <definedName name="rhet" hidden="1">{"Jabil - Personal View",#N/A,FALSE,"Passives"}</definedName>
    <definedName name="rhrshh">#REF!</definedName>
    <definedName name="rhv">#REF!</definedName>
    <definedName name="rich" localSheetId="1">#REF!</definedName>
    <definedName name="rich">#REF!</definedName>
    <definedName name="rich_3">#REF!</definedName>
    <definedName name="risk">#REF!</definedName>
    <definedName name="rjtj">#REF!</definedName>
    <definedName name="rlv">#REF!</definedName>
    <definedName name="rmark">#REF!</definedName>
    <definedName name="RMCost6">#REF!</definedName>
    <definedName name="RMD">#REF!</definedName>
    <definedName name="rmdy_13f">#REF!</definedName>
    <definedName name="rmdy13f">#REF!</definedName>
    <definedName name="rmva">#REF!</definedName>
    <definedName name="rmvb">#REF!</definedName>
    <definedName name="rng_Refresh">#REF!</definedName>
    <definedName name="rngBins" localSheetId="1">TRANSPOSE(SUM(rngVol)*ROW(#REF!)/1000)</definedName>
    <definedName name="rngBins">TRANSPOSE(SUM(rngVol)*ROW(#REF!)/1000)</definedName>
    <definedName name="rngBins_1">NA()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Invoice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ALEFT">#REF!</definedName>
    <definedName name="ROARIGHT">#REF!</definedName>
    <definedName name="rob">#N/A</definedName>
    <definedName name="Rohs" hidden="1">{"'Broadway ML#4'!$J$7:$N$490"}</definedName>
    <definedName name="Rohsc" hidden="1">{"'Broadway ML#4'!$J$7:$N$490"}</definedName>
    <definedName name="roic">#REF!</definedName>
    <definedName name="ROICBoxHurdle">#REF!</definedName>
    <definedName name="ROICHurdle">#REF!</definedName>
    <definedName name="ROJO">#REF!</definedName>
    <definedName name="rom">#REF!</definedName>
    <definedName name="round">#REF!</definedName>
    <definedName name="RoundRule">#REF!</definedName>
    <definedName name="RoundRuleD">#REF!</definedName>
    <definedName name="RoundRuleE">#REF!</definedName>
    <definedName name="RoundRuleI">#REF!</definedName>
    <definedName name="Row.Template">#REF!</definedName>
    <definedName name="Row.Template.NoPMDownrate">#REF!</definedName>
    <definedName name="Row.Template.SubTotal">#REF!</definedName>
    <definedName name="row_bs">#REF!,#REF!,#REF!,#REF!,#REF!</definedName>
    <definedName name="row_fa">#N/A</definedName>
    <definedName name="row_Flex4_IC_Sales">#N/A</definedName>
    <definedName name="row_icbs">#N/A</definedName>
    <definedName name="row_icpl">#REF!</definedName>
    <definedName name="row_koi">#N/A</definedName>
    <definedName name="row_pl">#N/A</definedName>
    <definedName name="Row_Sales_Tracker">#N/A</definedName>
    <definedName name="row_stats">#N/A</definedName>
    <definedName name="RowFromList">#REF!</definedName>
    <definedName name="rpcba">#REF!</definedName>
    <definedName name="RPPVLEFT">#REF!</definedName>
    <definedName name="RPPVRIGHT">#REF!</definedName>
    <definedName name="rr" hidden="1">{"totlg",#N/A,FALSE,"P&amp;L";"lgsusa",#N/A,FALSE,"P&amp;L";"smflg",#N/A,FALSE,"P&amp;L";"spnlg",#N/A,FALSE,"P&amp;L";"spnellg",#N/A,FALSE,"P&amp;L";"cnuslg",#N/A,FALSE,"P&amp;L";"canlg",#N/A,FALSE,"P&amp;L";"cdellg",#N/A,FALSE,"P&amp;L"}</definedName>
    <definedName name="rrr" hidden="1">{#N/A,#N/A,FALSE,"Summary";#N/A,#N/A,FALSE,"Service";#N/A,#N/A,FALSE,"Carriage";#N/A,#N/A,FALSE,"Backbone"}</definedName>
    <definedName name="rrrr" hidden="1">{"one (KEY)",#N/A,FALSE,"P&amp;L"}</definedName>
    <definedName name="rrrrrrrr" hidden="1">{"one (KEY)",#N/A,FALSE,"P&amp;L"}</definedName>
    <definedName name="RRRRRRRRRRRRRRRR">balance sheet send</definedName>
    <definedName name="rsmt">#REF!</definedName>
    <definedName name="rsthet">#REF!</definedName>
    <definedName name="rt" hidden="1">#REF!</definedName>
    <definedName name="rthcthcrt" hidden="1">#REF!</definedName>
    <definedName name="rthe" hidden="1">{"Jabil - Personal View",#N/A,FALSE,"Passives"}</definedName>
    <definedName name="rthrthrth">#REF!</definedName>
    <definedName name="rththrh">#REF!</definedName>
    <definedName name="rtotal">#REF!</definedName>
    <definedName name="RTPDE">#REF!</definedName>
    <definedName name="RTRTTRRT">balance sheet send</definedName>
    <definedName name="rtrtyrty">balance sheet send</definedName>
    <definedName name="rtte" hidden="1">{"one (KEY)",#N/A,FALSE,"P&amp;L"}</definedName>
    <definedName name="rtuyrty" hidden="1">{"one (KEY)",#N/A,FALSE,"P&amp;L"}</definedName>
    <definedName name="rtwqet" hidden="1">{"one (KEY)",#N/A,FALSE,"P&amp;L"}</definedName>
    <definedName name="rty" hidden="1">{"one (KEY)",#N/A,FALSE,"P&amp;L"}</definedName>
    <definedName name="rtye" hidden="1">{"Jabil - Personal View",#N/A,FALSE,"Passives"}</definedName>
    <definedName name="rtyery" hidden="1">{"one (KEY)",#N/A,FALSE,"P&amp;L"}</definedName>
    <definedName name="rtyr" hidden="1">{"one (KEY)",#N/A,FALSE,"P&amp;L"}</definedName>
    <definedName name="rtyrt" hidden="1">{"one (KEY)",#N/A,FALSE,"P&amp;L"}</definedName>
    <definedName name="rtyrty" hidden="1">{"one (KEY)",#N/A,FALSE,"P&amp;L"}</definedName>
    <definedName name="rtyrtyrt" hidden="1">{"one (KEY)",#N/A,FALSE,"P&amp;L"}</definedName>
    <definedName name="rtyrtyrty">balance sheet send</definedName>
    <definedName name="rtyry" hidden="1">{"one (KEY)",#N/A,FALSE,"P&amp;L"}</definedName>
    <definedName name="rtyurh" hidden="1">{"Jabil - Personal View",#N/A,FALSE,"Passives"}</definedName>
    <definedName name="runrate">#REF!</definedName>
    <definedName name="RWDFSDF">balance sheet send</definedName>
    <definedName name="RWER">balance sheet send</definedName>
    <definedName name="RWERW">balance sheet send</definedName>
    <definedName name="RWERWER">balance sheet send</definedName>
    <definedName name="rwetwer" hidden="1">{"Jabil - Personal View",#N/A,FALSE,"Passives"}</definedName>
    <definedName name="rytry" hidden="1">{"Jabil - Personal View",#N/A,FALSE,"Passives"}</definedName>
    <definedName name="s">#REF!</definedName>
    <definedName name="s_" hidden="1">{"'Broadway ML#4'!$J$7:$N$490"}</definedName>
    <definedName name="S_2016">OFFSET(#REF!,0,0,1,COUNT(#REF!))</definedName>
    <definedName name="S_2017">OFFSET(#REF!,0,0,1,COUNT(#REF!))</definedName>
    <definedName name="S_DoneDate">#REF!</definedName>
    <definedName name="S_Top">#REF!</definedName>
    <definedName name="S1ER">#REF!</definedName>
    <definedName name="S2DO">#REF!</definedName>
    <definedName name="S3ER">#REF!</definedName>
    <definedName name="Sa" hidden="1">#REF!</definedName>
    <definedName name="Sabado">#REF!</definedName>
    <definedName name="Sac.">#N/A</definedName>
    <definedName name="sachi">#REF!</definedName>
    <definedName name="sad" hidden="1">{"one (KEY)",#N/A,FALSE,"P&amp;L"}</definedName>
    <definedName name="sadas" hidden="1">{"one (KEY)",#N/A,FALSE,"P&amp;L"}</definedName>
    <definedName name="SADGHDFJ">balance sheet send</definedName>
    <definedName name="Safety">#REF!</definedName>
    <definedName name="SAFETYSTOCK">#REF!</definedName>
    <definedName name="SafetyStockDetails">#REF!</definedName>
    <definedName name="sales">#REF!</definedName>
    <definedName name="Sales_FY16">OFFSET(#REF!,0,0,COUNTA(#REF!))</definedName>
    <definedName name="Sales_FY17">OFFSET(#REF!,0,0,COUNTA(#REF!))</definedName>
    <definedName name="salesfcast">#REF!</definedName>
    <definedName name="salesforecastpcba1">#REF!</definedName>
    <definedName name="SALESPLAN">#REF!</definedName>
    <definedName name="SALESPLAN.">#REF!</definedName>
    <definedName name="Sam_s_Club">#N/A</definedName>
    <definedName name="Sample">#REF!</definedName>
    <definedName name="SampleDrivers">#REF!,#REF!,#REF!,#REF!,#REF!,#REF!</definedName>
    <definedName name="SampleWorksheet">#REF!,#REF!,#REF!,#REF!,#REF!,#REF!</definedName>
    <definedName name="SAn" hidden="1">{"one (KEY)",#N/A,FALSE,"P&amp;L"}</definedName>
    <definedName name="sandy" hidden="1">{"one (KEY)",#N/A,FALSE,"P&amp;L"}</definedName>
    <definedName name="SANYO">#REF!</definedName>
    <definedName name="SAPBEXdnldView" hidden="1">"4DS7WJT5SXJI97WBALGEZP31V"</definedName>
    <definedName name="SAPBEXrevision" hidden="1">0</definedName>
    <definedName name="SAPBEXsysID" hidden="1">"P26"</definedName>
    <definedName name="SAPBEXwbID" hidden="1">"BENMQQPFSWO64XSQBV2UVEK5O"</definedName>
    <definedName name="sarfs" hidden="1">{"one (KEY)",#N/A,FALSE,"P&amp;L"}</definedName>
    <definedName name="sargf" hidden="1">#REF!</definedName>
    <definedName name="SARIES">#REF!</definedName>
    <definedName name="sasas" hidden="1">#REF!</definedName>
    <definedName name="sasia">#REF!</definedName>
    <definedName name="SATTL">#REF!</definedName>
    <definedName name="SAVESHEETCOMMENT">#REF!</definedName>
    <definedName name="SAVESHEETCOMMENT_0">#REF!</definedName>
    <definedName name="SAVESHEETCOMMENT_9M_2005">#REF!</definedName>
    <definedName name="SAVESHEETCOMMENT_9M_2006">#REF!</definedName>
    <definedName name="SAVESHEETCOMMENT_9M_2007">#REF!</definedName>
    <definedName name="SAVESHEETCOMMENT_9M_2008">#REF!</definedName>
    <definedName name="SAVESHEETCOMMENT_9M_2009">#REF!</definedName>
    <definedName name="SAVESHEETCOMMENT_9M_2010">#REF!</definedName>
    <definedName name="SAVESHEETCOMMENT_9M_2011">#REF!</definedName>
    <definedName name="SAVESHEETCOMMENT_9M_2012">#REF!</definedName>
    <definedName name="SAVESHEETCOMMENT_9M_2013">#REF!</definedName>
    <definedName name="SAVESHEETCOMMENT_9M_2014">#REF!</definedName>
    <definedName name="SAVESHEETCOMMENT_9M_2015">#REF!</definedName>
    <definedName name="SAVESHEETCOMMENT_H1_2005">#REF!</definedName>
    <definedName name="SAVESHEETCOMMENT_H1_2006">#REF!</definedName>
    <definedName name="SAVESHEETCOMMENT_H1_2007">#REF!</definedName>
    <definedName name="SAVESHEETCOMMENT_H1_2008">#REF!</definedName>
    <definedName name="SAVESHEETCOMMENT_H1_2009">#REF!</definedName>
    <definedName name="SAVESHEETCOMMENT_H1_2010">#REF!</definedName>
    <definedName name="SAVESHEETCOMMENT_H1_2011">#REF!</definedName>
    <definedName name="SAVESHEETCOMMENT_H1_2012">#REF!</definedName>
    <definedName name="SAVESHEETCOMMENT_H1_2013">#REF!</definedName>
    <definedName name="SAVESHEETCOMMENT_H1_2014">#REF!</definedName>
    <definedName name="SAVESHEETCOMMENT_H1_2015">#REF!</definedName>
    <definedName name="SAVESHEETCOMMENT_H2_2005">#REF!</definedName>
    <definedName name="SAVESHEETCOMMENT_H2_2006">#REF!</definedName>
    <definedName name="SAVESHEETCOMMENT_H2_2007">#REF!</definedName>
    <definedName name="SAVESHEETCOMMENT_H2_2008">#REF!</definedName>
    <definedName name="SAVESHEETCOMMENT_H2_2009">#REF!</definedName>
    <definedName name="SAVESHEETCOMMENT_H2_2010">#REF!</definedName>
    <definedName name="SAVESHEETCOMMENT_H2_2011">#REF!</definedName>
    <definedName name="SAVESHEETCOMMENT_H2_2012">#REF!</definedName>
    <definedName name="SAVESHEETCOMMENT_H2_2013">#REF!</definedName>
    <definedName name="SAVESHEETCOMMENT_H2_2014">#REF!</definedName>
    <definedName name="SAVESHEETCOMMENT_H2_2015">#REF!</definedName>
    <definedName name="SAVESHEETCOMMENT_Q1_2005">#REF!</definedName>
    <definedName name="SAVESHEETCOMMENT_Q1_2006">#REF!</definedName>
    <definedName name="SAVESHEETCOMMENT_Q1_2007">#REF!</definedName>
    <definedName name="SAVESHEETCOMMENT_Q1_2008">#REF!</definedName>
    <definedName name="SAVESHEETCOMMENT_Q1_2009">#REF!</definedName>
    <definedName name="SAVESHEETCOMMENT_Q1_2010">#REF!</definedName>
    <definedName name="SAVESHEETCOMMENT_Q1_2011">#REF!</definedName>
    <definedName name="SAVESHEETCOMMENT_Q1_2012">#REF!</definedName>
    <definedName name="SAVESHEETCOMMENT_Q1_2013">#REF!</definedName>
    <definedName name="SAVESHEETCOMMENT_Q1_2014">#REF!</definedName>
    <definedName name="SAVESHEETCOMMENT_Q1_2015">#REF!</definedName>
    <definedName name="SAVESHEETCOMMENT_Q2_2005">#REF!</definedName>
    <definedName name="SAVESHEETCOMMENT_Q2_2006">#REF!</definedName>
    <definedName name="SAVESHEETCOMMENT_Q2_2007">#REF!</definedName>
    <definedName name="SAVESHEETCOMMENT_Q2_2008">#REF!</definedName>
    <definedName name="SAVESHEETCOMMENT_Q2_2009">#REF!</definedName>
    <definedName name="SAVESHEETCOMMENT_Q2_2010">#REF!</definedName>
    <definedName name="SAVESHEETCOMMENT_Q2_2011">#REF!</definedName>
    <definedName name="SAVESHEETCOMMENT_Q2_2012">#REF!</definedName>
    <definedName name="SAVESHEETCOMMENT_Q2_2013">#REF!</definedName>
    <definedName name="SAVESHEETCOMMENT_Q2_2014">#REF!</definedName>
    <definedName name="SAVESHEETCOMMENT_Q2_2015">#REF!</definedName>
    <definedName name="SAVESHEETCOMMENT_Q3_2005">#REF!</definedName>
    <definedName name="SAVESHEETCOMMENT_Q3_2006">#REF!</definedName>
    <definedName name="SAVESHEETCOMMENT_Q3_2007">#REF!</definedName>
    <definedName name="SAVESHEETCOMMENT_Q3_2008">#REF!</definedName>
    <definedName name="SAVESHEETCOMMENT_Q3_2009">#REF!</definedName>
    <definedName name="SAVESHEETCOMMENT_Q3_2010">#REF!</definedName>
    <definedName name="SAVESHEETCOMMENT_Q3_2011">#REF!</definedName>
    <definedName name="SAVESHEETCOMMENT_Q3_2012">#REF!</definedName>
    <definedName name="SAVESHEETCOMMENT_Q3_2013">#REF!</definedName>
    <definedName name="SAVESHEETCOMMENT_Q3_2014">#REF!</definedName>
    <definedName name="SAVESHEETCOMMENT_Q3_2015">#REF!</definedName>
    <definedName name="SAVESHEETCOMMENT_Q4_2005">#REF!</definedName>
    <definedName name="SAVESHEETCOMMENT_Q4_2006">#REF!</definedName>
    <definedName name="SAVESHEETCOMMENT_Q4_2007">#REF!</definedName>
    <definedName name="SAVESHEETCOMMENT_Q4_2008">#REF!</definedName>
    <definedName name="SAVESHEETCOMMENT_Q4_2009">#REF!</definedName>
    <definedName name="SAVESHEETCOMMENT_Q4_2010">#REF!</definedName>
    <definedName name="SAVESHEETCOMMENT_Q4_2011">#REF!</definedName>
    <definedName name="SAVESHEETCOMMENT_Q4_2012">#REF!</definedName>
    <definedName name="SAVESHEETCOMMENT_Q4_2013">#REF!</definedName>
    <definedName name="SAVESHEETCOMMENT_Q4_2014">#REF!</definedName>
    <definedName name="SAVESHEETCOMMENT_Q4_2015">#REF!</definedName>
    <definedName name="SAVESHEETCOMMENT_Y1_2005">#REF!</definedName>
    <definedName name="SAVESHEETCOMMENT_Y1_2006">#REF!</definedName>
    <definedName name="SAVESHEETCOMMENT_Y1_2007">#REF!</definedName>
    <definedName name="SAVESHEETCOMMENT_Y1_2008">#REF!</definedName>
    <definedName name="SAVESHEETCOMMENT_Y1_2009">#REF!</definedName>
    <definedName name="SAVESHEETCOMMENT_Y1_2010">#REF!</definedName>
    <definedName name="SAVESHEETCOMMENT_Y1_2011">#REF!</definedName>
    <definedName name="SAVESHEETCOMMENT_Y1_2012">#REF!</definedName>
    <definedName name="SAVESHEETCOMMENT_Y1_2013">#REF!</definedName>
    <definedName name="SAVESHEETCOMMENT_Y1_2014">#REF!</definedName>
    <definedName name="SAVESHEETCOMMENT_Y1_2015">#REF!</definedName>
    <definedName name="sBackflush">#REF!</definedName>
    <definedName name="SBM">#REF!</definedName>
    <definedName name="SBMMthWg">#REF!</definedName>
    <definedName name="SBoxFD">#REF!</definedName>
    <definedName name="sbpa">#REF!</definedName>
    <definedName name="scat_Back_Click" localSheetId="1">#REF!</definedName>
    <definedName name="scat_Back_Click">#REF!</definedName>
    <definedName name="scat_Backward_Spinner_Click" localSheetId="1">#REF!</definedName>
    <definedName name="scat_Backward_Spinner_Click">#REF!</definedName>
    <definedName name="scat_Cubic_Click" localSheetId="1">#REF!</definedName>
    <definedName name="scat_Cubic_Click">#REF!</definedName>
    <definedName name="scat_Display_Stats_Click" localSheetId="1">#REF!</definedName>
    <definedName name="scat_Display_Stats_Click">#REF!</definedName>
    <definedName name="scat_Forward_Spinner_Click" localSheetId="1">#REF!</definedName>
    <definedName name="scat_Forward_Spinner_Click">#REF!</definedName>
    <definedName name="scat_Linear_Click" localSheetId="1">#REF!</definedName>
    <definedName name="scat_Linear_Click">#REF!</definedName>
    <definedName name="scat_No_Line_Click" localSheetId="1">#REF!</definedName>
    <definedName name="scat_No_Line_Click">#REF!</definedName>
    <definedName name="scat_Quadratic_Click" localSheetId="1">#REF!</definedName>
    <definedName name="scat_Quadratic_Click">#REF!</definedName>
    <definedName name="scat_Save_Defaults" localSheetId="1">#REF!</definedName>
    <definedName name="scat_Save_Defaults">#REF!</definedName>
    <definedName name="scatButton_Click" localSheetId="1">#REF!</definedName>
    <definedName name="scatButton_Click">#REF!</definedName>
    <definedName name="scfd">#REF!</definedName>
    <definedName name="schedule">#REF!</definedName>
    <definedName name="SCIPA">#REF!</definedName>
    <definedName name="SCONSOLA">#REF!</definedName>
    <definedName name="SCONTO">#REF!</definedName>
    <definedName name="scope">#REF!</definedName>
    <definedName name="scot">#REF!</definedName>
    <definedName name="scra" hidden="1">#REF!,#REF!</definedName>
    <definedName name="ScrapRate">#REF!</definedName>
    <definedName name="Screw_Wear">#REF!</definedName>
    <definedName name="SCWMCARN">#REF!</definedName>
    <definedName name="sd" hidden="1">{"'B-S Accounts Translation'!$A$1:$G$190"}</definedName>
    <definedName name="sd4e" hidden="1">{"Annual",#N/A,FALSE,"Sales &amp; Market";"Quarterly",#N/A,FALSE,"Sales &amp; Market"}</definedName>
    <definedName name="sda" localSheetId="1">#REF!</definedName>
    <definedName name="sda">#REF!</definedName>
    <definedName name="SDARIES">#REF!</definedName>
    <definedName name="SDCONSOLA">#REF!</definedName>
    <definedName name="sddcv" hidden="1">{"Annual",#N/A,FALSE,"Sales &amp; Market";"Quarterly",#N/A,FALSE,"Sales &amp; Market"}</definedName>
    <definedName name="SDDF">balance sheet send</definedName>
    <definedName name="sddff" hidden="1">{#N/A,#N/A,FALSE,"F&amp;C Forecast";#N/A,#N/A,FALSE,"MPS";#N/A,#N/A,FALSE,"Persons detailed"}</definedName>
    <definedName name="SDDFGWTDG">balance sheet send</definedName>
    <definedName name="sdelta">#REF!</definedName>
    <definedName name="SDF">balance sheet send</definedName>
    <definedName name="SDFADF">balance sheet send</definedName>
    <definedName name="SDFD" hidden="1">{"one (KEY)",#N/A,FALSE,"P&amp;L"}</definedName>
    <definedName name="sdfdfsa" hidden="1">{"Jabil - Personal View",#N/A,FALSE,"Passives"}</definedName>
    <definedName name="SDFDHFJ">balance sheet send</definedName>
    <definedName name="SDFDS">balance sheet send</definedName>
    <definedName name="SDFDSGBFDFG">balance sheet send</definedName>
    <definedName name="SDFEW">balance sheet send</definedName>
    <definedName name="SDFFA">balance sheet send</definedName>
    <definedName name="SDFGDF">balance sheet send</definedName>
    <definedName name="SDFGDFHJ">balance sheet send</definedName>
    <definedName name="SDFGDHFGJH">balance sheet send</definedName>
    <definedName name="SDFGSD">balance sheet send</definedName>
    <definedName name="SDFGSDGHFDGSFDASF">balance sheet send</definedName>
    <definedName name="SDFGSDH">balance sheet send</definedName>
    <definedName name="sdfhdhgjdgh" hidden="1">#REF!</definedName>
    <definedName name="SDFREGF">balance sheet send</definedName>
    <definedName name="sdfs">balance sheet send</definedName>
    <definedName name="SDFSD">balance sheet send</definedName>
    <definedName name="SDFSDFSDF">balance sheet send</definedName>
    <definedName name="SDFSDFSG">balance sheet send</definedName>
    <definedName name="SDFSFASG">balance sheet send</definedName>
    <definedName name="SDFSGS">balance sheet send</definedName>
    <definedName name="sdfw" hidden="1">{"Annual",#N/A,FALSE,"Sales &amp; Market";"Quarterly",#N/A,FALSE,"Sales &amp; Market"}</definedName>
    <definedName name="sdg" hidden="1">{"one (KEY)",#N/A,FALSE,"P&amp;L"}</definedName>
    <definedName name="SDGDHFGJHF">balance sheet send</definedName>
    <definedName name="sdgdsfg" hidden="1">{"one (KEY)",#N/A,FALSE,"P&amp;L"}</definedName>
    <definedName name="sdgfdg" hidden="1">{"Jabil - Personal View",#N/A,FALSE,"Passives"}</definedName>
    <definedName name="sdggdsf" hidden="1">{"Jabil - Personal View",#N/A,FALSE,"Passives"}</definedName>
    <definedName name="SDGHDFHF">balance sheet send</definedName>
    <definedName name="SDGHFGJ">balance sheet send</definedName>
    <definedName name="sdghgghj" hidden="1">#REF!</definedName>
    <definedName name="SDGHH">balance sheet send</definedName>
    <definedName name="sdgsd">balance sheet send</definedName>
    <definedName name="SDGSDGHRH">balance sheet send</definedName>
    <definedName name="SDHGJYHUJ">balance sheet send</definedName>
    <definedName name="SDOPCARIES">#REF!</definedName>
    <definedName name="SDOPCTAURUS">#REF!</definedName>
    <definedName name="sds">#REF!</definedName>
    <definedName name="sdsds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SDTAURUS">#REF!</definedName>
    <definedName name="seagate">#REF!</definedName>
    <definedName name="Sears">#N/A</definedName>
    <definedName name="Secuencia">#REF!</definedName>
    <definedName name="Seg_ID">#REF!</definedName>
    <definedName name="Seg_Name">OFFSET(#REF!,0,0,COUNTA(#REF!))</definedName>
    <definedName name="segfdfhgf" hidden="1">#REF!</definedName>
    <definedName name="Segmemt">OFFSET(#REF!,0,0,1,COUNTA(#REF!))</definedName>
    <definedName name="SegmentLSAdder">#REF!</definedName>
    <definedName name="SegmentSGA">#REF!</definedName>
    <definedName name="SegOverview">OFFSET(#REF!,0,0,COUNTA(#REF!))</definedName>
    <definedName name="SegOverview1">OFFSET(#REF!,0,0,COUNT(#REF!))</definedName>
    <definedName name="SegOverview10">OFFSET(#REF!,0,0,COUNT(#REF!))</definedName>
    <definedName name="SegOverview11">OFFSET(#REF!,0,0,COUNT(#REF!))</definedName>
    <definedName name="SegOverview2">OFFSET(#REF!,0,0,COUNT(#REF!))</definedName>
    <definedName name="SegOverview3">OFFSET(#REF!,0,0,COUNT(#REF!))</definedName>
    <definedName name="SegOverview4">OFFSET(#REF!,0,0,COUNT(#REF!))</definedName>
    <definedName name="SegOverview5">OFFSET(#REF!,0,0,COUNT(#REF!))</definedName>
    <definedName name="SegOverview6">OFFSET(#REF!,0,0,COUNT(#REF!))</definedName>
    <definedName name="SegOverview7">OFFSET(#REF!,0,0,COUNT(#REF!))</definedName>
    <definedName name="SegOverview8">OFFSET(#REF!,0,0,COUNT(#REF!))</definedName>
    <definedName name="SegOverview9">OFFSET(#REF!,0,0,COUNT(#REF!))</definedName>
    <definedName name="SEITE1">#REF!</definedName>
    <definedName name="SEKA">#REF!</definedName>
    <definedName name="Sektoren_LBBW">#REF!</definedName>
    <definedName name="Sektoren_Stoxx">#REF!</definedName>
    <definedName name="Select_Cost_Center">#REF!</definedName>
    <definedName name="Selection">#REF!,#REF!,#REF!,#REF!,#REF!,#REF!,#REF!</definedName>
    <definedName name="Self_Fund_Gr">#N/A</definedName>
    <definedName name="SELF_FUND_GRWTH">#REF!</definedName>
    <definedName name="SEMANA">#REF!</definedName>
    <definedName name="SEMCKRH">#N/A</definedName>
    <definedName name="sencount" hidden="1">1</definedName>
    <definedName name="Send_Area">#REF!</definedName>
    <definedName name="sep">#REF!</definedName>
    <definedName name="Sep05_Act">#REF!</definedName>
    <definedName name="SepSun1">DATEVALUE("9/1/"&amp;#REF!)-WEEKDAY(DATEVALUE("9/1/"&amp;#REF!))+1</definedName>
    <definedName name="SEPT">#REF!</definedName>
    <definedName name="Serial">#REF!</definedName>
    <definedName name="ServerType">#REF!</definedName>
    <definedName name="Service">#REF!</definedName>
    <definedName name="Service_rate">#REF!</definedName>
    <definedName name="servicescommit">#REF!</definedName>
    <definedName name="SessionTable">#REF!</definedName>
    <definedName name="setup" hidden="1">#REF!</definedName>
    <definedName name="setup_time_minsAxial">#N/A</definedName>
    <definedName name="setup_time_minsDIP">#N/A</definedName>
    <definedName name="setup_time_minsRadial">#N/A</definedName>
    <definedName name="setup_timeBurnIn">#N/A</definedName>
    <definedName name="setup_timeLife">#N/A</definedName>
    <definedName name="SEV">#REF!</definedName>
    <definedName name="Severity">#REF!</definedName>
    <definedName name="SEVERITYE">#REF!</definedName>
    <definedName name="sex" hidden="1">{"'Broadway ML#4'!$J$7:$N$490"}</definedName>
    <definedName name="SF">balance sheet send</definedName>
    <definedName name="sfdad" hidden="1">{"one (KEY)",#N/A,FALSE,"P&amp;L"}</definedName>
    <definedName name="sfdc">#REF!</definedName>
    <definedName name="sfdcmark">#REF!</definedName>
    <definedName name="sfdctotal">#REF!</definedName>
    <definedName name="SFDSDDSASDFE">balance sheet send</definedName>
    <definedName name="sfhgfsh" hidden="1">{"Jabil - Personal View",#N/A,FALSE,"Passives"}</definedName>
    <definedName name="sg">#REF!</definedName>
    <definedName name="SGA">#REF!</definedName>
    <definedName name="SGADG">balance sheet send</definedName>
    <definedName name="SGADrivers">#REF!,#REF!,#REF!,#REF!</definedName>
    <definedName name="SGAFACTOR">#REF!</definedName>
    <definedName name="sgagoal">#REF!</definedName>
    <definedName name="SGARate">#REF!</definedName>
    <definedName name="SGAWorksheets">#REF!</definedName>
    <definedName name="SGD">#REF!</definedName>
    <definedName name="SGDA">#REF!</definedName>
    <definedName name="sgfdggyug" hidden="1">#REF!</definedName>
    <definedName name="SGP_USA">#REF!</definedName>
    <definedName name="Sh" hidden="1">{"'Broadway ML#4'!$J$7:$N$490"}</definedName>
    <definedName name="shaielbaz" hidden="1">{"one (KEY)",#N/A,FALSE,"P&amp;L"}</definedName>
    <definedName name="shang">#REF!</definedName>
    <definedName name="SHANGHAI">#REF!</definedName>
    <definedName name="Share_Data">#REF!,#REF!</definedName>
    <definedName name="Share_Data.">#REF!,#REF!</definedName>
    <definedName name="Share1">#REF!</definedName>
    <definedName name="SHARED_FORMULA_0">#N/A</definedName>
    <definedName name="SHARED_FORMULA_1">#N/A</definedName>
    <definedName name="SHARED_FORMULA_10">#N/A</definedName>
    <definedName name="SHARED_FORMULA_11">#N/A</definedName>
    <definedName name="SHARED_FORMULA_12">#N/A</definedName>
    <definedName name="SHARED_FORMULA_13">#N/A</definedName>
    <definedName name="SHARED_FORMULA_14">#N/A</definedName>
    <definedName name="SHARED_FORMULA_15">#N/A</definedName>
    <definedName name="SHARED_FORMULA_16">#N/A</definedName>
    <definedName name="SHARED_FORMULA_17">#N/A</definedName>
    <definedName name="SHARED_FORMULA_18">#N/A</definedName>
    <definedName name="SHARED_FORMULA_19">#N/A</definedName>
    <definedName name="SHARED_FORMULA_2">#N/A</definedName>
    <definedName name="SHARED_FORMULA_20">#N/A</definedName>
    <definedName name="SHARED_FORMULA_21">#N/A</definedName>
    <definedName name="SHARED_FORMULA_22">#N/A</definedName>
    <definedName name="SHARED_FORMULA_23">#N/A</definedName>
    <definedName name="SHARED_FORMULA_24">#N/A</definedName>
    <definedName name="SHARED_FORMULA_25">#N/A</definedName>
    <definedName name="SHARED_FORMULA_26">#N/A</definedName>
    <definedName name="SHARED_FORMULA_27">#N/A</definedName>
    <definedName name="SHARED_FORMULA_28">#N/A</definedName>
    <definedName name="SHARED_FORMULA_29">#N/A</definedName>
    <definedName name="SHARED_FORMULA_3">#N/A</definedName>
    <definedName name="SHARED_FORMULA_30">#N/A</definedName>
    <definedName name="SHARED_FORMULA_31">#N/A</definedName>
    <definedName name="SHARED_FORMULA_32">#N/A</definedName>
    <definedName name="SHARED_FORMULA_33">#N/A</definedName>
    <definedName name="SHARED_FORMULA_34">#N/A</definedName>
    <definedName name="SHARED_FORMULA_35">#N/A</definedName>
    <definedName name="SHARED_FORMULA_36">#N/A</definedName>
    <definedName name="SHARED_FORMULA_37">#N/A</definedName>
    <definedName name="SHARED_FORMULA_38">#N/A</definedName>
    <definedName name="SHARED_FORMULA_39">#N/A</definedName>
    <definedName name="SHARED_FORMULA_4">#N/A</definedName>
    <definedName name="SHARED_FORMULA_40">#N/A</definedName>
    <definedName name="SHARED_FORMULA_41">#N/A</definedName>
    <definedName name="SHARED_FORMULA_42">#N/A</definedName>
    <definedName name="SHARED_FORMULA_43">#N/A</definedName>
    <definedName name="SHARED_FORMULA_44">#N/A</definedName>
    <definedName name="SHARED_FORMULA_45">#N/A</definedName>
    <definedName name="SHARED_FORMULA_46">#N/A</definedName>
    <definedName name="SHARED_FORMULA_47">#N/A</definedName>
    <definedName name="SHARED_FORMULA_5">#N/A</definedName>
    <definedName name="SHARED_FORMULA_6">#N/A</definedName>
    <definedName name="SHARED_FORMULA_7">#N/A</definedName>
    <definedName name="SHARED_FORMULA_8">#N/A</definedName>
    <definedName name="SHARED_FORMULA_9">#N/A</definedName>
    <definedName name="SHDFGHGF">balance sheet send</definedName>
    <definedName name="Sheehan_Baseline">#REF!</definedName>
    <definedName name="Sheehan_Cost_Reduction">#REF!</definedName>
    <definedName name="Sheehan_Ext_Cost">#REF!</definedName>
    <definedName name="Sheehan_Reduction_Percentage">#REF!</definedName>
    <definedName name="Sheet.Number">1</definedName>
    <definedName name="Sheet1" hidden="1">{#N/A,#N/A,FALSE,"Duran"}</definedName>
    <definedName name="SHEET12" hidden="1">#REF!</definedName>
    <definedName name="SHEET13" hidden="1">#REF!</definedName>
    <definedName name="shen">#REF!</definedName>
    <definedName name="sher">#REF!</definedName>
    <definedName name="Sher_Baseline">#REF!</definedName>
    <definedName name="Sher_Cost_Reduction">#REF!</definedName>
    <definedName name="Sher_Ext_Cost">#REF!</definedName>
    <definedName name="Sher_Reduction_Percentage">#REF!</definedName>
    <definedName name="Sherbrooke">#REF!</definedName>
    <definedName name="shieldingbox">#REF!</definedName>
    <definedName name="ShieldQuarters">#REF!</definedName>
    <definedName name="shift_time1">#N/A</definedName>
    <definedName name="shift_time2">#REF!</definedName>
    <definedName name="shift_time3">#REF!</definedName>
    <definedName name="ShiftpDay">#REF!</definedName>
    <definedName name="ShiftpDayB">#REF!</definedName>
    <definedName name="shin">#REF!</definedName>
    <definedName name="Ship">#REF!</definedName>
    <definedName name="Ship_Disposition">#REF!</definedName>
    <definedName name="SHIVA">#REF!</definedName>
    <definedName name="shrh">#REF!</definedName>
    <definedName name="shrth">#REF!</definedName>
    <definedName name="sht">#REF!</definedName>
    <definedName name="shtgdhjfu" hidden="1">#REF!</definedName>
    <definedName name="shthrh">#REF!</definedName>
    <definedName name="shthtjj" hidden="1">{"'Broadway ML#4'!$J$7:$N$490"}</definedName>
    <definedName name="shtkht">#REF!</definedName>
    <definedName name="shushi" hidden="1">{"one (KEY)",#N/A,FALSE,"P&amp;L"}</definedName>
    <definedName name="SI_DISC">#REF!</definedName>
    <definedName name="sick">#REF!</definedName>
    <definedName name="SILM">#REF!</definedName>
    <definedName name="sing">#REF!</definedName>
    <definedName name="SIOnlyMat1">#REF!</definedName>
    <definedName name="SIOnlyMat2">#REF!</definedName>
    <definedName name="SIOnlyMat3">#REF!</definedName>
    <definedName name="SIOP_FAP_InventoryProjection_SelectScenario">#REF!</definedName>
    <definedName name="SIP">#REF!</definedName>
    <definedName name="SISPI">#REF!</definedName>
    <definedName name="SIT2X">#REF!</definedName>
    <definedName name="SIT2X1">#REF!</definedName>
    <definedName name="SIT2X2">#REF!</definedName>
    <definedName name="SIT3X">#REF!</definedName>
    <definedName name="SIT3X1">#REF!</definedName>
    <definedName name="SIT3X2">#REF!</definedName>
    <definedName name="SITAI">#REF!</definedName>
    <definedName name="SITAI1">#REF!</definedName>
    <definedName name="SITAOI">#REF!</definedName>
    <definedName name="SITAOI1">#REF!</definedName>
    <definedName name="SITAOI2">#REF!</definedName>
    <definedName name="SITBDLdUL">#REF!</definedName>
    <definedName name="SITBGA">#REF!</definedName>
    <definedName name="SITBGA1">#REF!</definedName>
    <definedName name="SITBGA2">#REF!</definedName>
    <definedName name="SITBGA3">#REF!</definedName>
    <definedName name="SITBI">#REF!</definedName>
    <definedName name="SITBI1">#REF!</definedName>
    <definedName name="SITBI2">#REF!</definedName>
    <definedName name="SITBIDEC">#REF!</definedName>
    <definedName name="SITBIS">#REF!</definedName>
    <definedName name="SITBIS1">#REF!</definedName>
    <definedName name="SITBIS2">#REF!</definedName>
    <definedName name="SITBISEC">#REF!</definedName>
    <definedName name="SITBraC">#REF!</definedName>
    <definedName name="SITBraCOF">#REF!</definedName>
    <definedName name="SITBraFIP">#REF!</definedName>
    <definedName name="SITBraICMS">#REF!</definedName>
    <definedName name="SITBraICMSdisc">#REF!</definedName>
    <definedName name="SITBraII">#REF!</definedName>
    <definedName name="SITBraImpRaw">#REF!</definedName>
    <definedName name="SITBraIPI">#REF!</definedName>
    <definedName name="SITBraOIE">#REF!</definedName>
    <definedName name="SITBraPIS">#REF!</definedName>
    <definedName name="SITBraR">#REF!</definedName>
    <definedName name="SITBraRD">#REF!</definedName>
    <definedName name="SITBraTrans">#REF!</definedName>
    <definedName name="SITBSLdUl">#REF!</definedName>
    <definedName name="SITCC">#REF!</definedName>
    <definedName name="SITCC1">#REF!</definedName>
    <definedName name="SITCC2">#REF!</definedName>
    <definedName name="SITCPI">#REF!</definedName>
    <definedName name="SITCPI1">#REF!</definedName>
    <definedName name="SITDEP">#REF!</definedName>
    <definedName name="SITDEP1">#REF!</definedName>
    <definedName name="SITDEP2">#REF!</definedName>
    <definedName name="site">#REF!</definedName>
    <definedName name="Site_Segment">#REF!</definedName>
    <definedName name="Site_Selected">#REF!</definedName>
    <definedName name="Site2">#REF!</definedName>
    <definedName name="Site3">#REF!</definedName>
    <definedName name="Site4">#REF!</definedName>
    <definedName name="Site5">#REF!</definedName>
    <definedName name="Site6">#REF!</definedName>
    <definedName name="sitecode">#REF!</definedName>
    <definedName name="siteconv">#REF!</definedName>
    <definedName name="SiteCurrency">#REF!</definedName>
    <definedName name="SiteID">#REF!</definedName>
    <definedName name="SiteLU">#REF!</definedName>
    <definedName name="SiteOperSuppliesStd">#REF!</definedName>
    <definedName name="sites">#REF!</definedName>
    <definedName name="SiteSGA">#REF!</definedName>
    <definedName name="sitesq1">#REF!</definedName>
    <definedName name="sitesq2">#REF!</definedName>
    <definedName name="sitesq3">#REF!</definedName>
    <definedName name="sitesq4">#REF!</definedName>
    <definedName name="SiteTable">#REF!</definedName>
    <definedName name="SITFPR">#REF!</definedName>
    <definedName name="SITFPR1">#REF!</definedName>
    <definedName name="SITFPR2">#REF!</definedName>
    <definedName name="SITFPR3">#REF!</definedName>
    <definedName name="SITGL">#REF!</definedName>
    <definedName name="SITLF">#REF!</definedName>
    <definedName name="SITLHI">#REF!</definedName>
    <definedName name="SITM1FLR">#REF!</definedName>
    <definedName name="SITM1MacTime">#REF!</definedName>
    <definedName name="SITM20">#REF!</definedName>
    <definedName name="SITM201">#REF!</definedName>
    <definedName name="SITM202">#REF!</definedName>
    <definedName name="SITM203">#REF!</definedName>
    <definedName name="SITM204">#REF!</definedName>
    <definedName name="SITM2FLR">#REF!</definedName>
    <definedName name="SitM2MacTime">#REF!</definedName>
    <definedName name="SITM3FLR">#REF!</definedName>
    <definedName name="SITM3MacTime">#REF!</definedName>
    <definedName name="SITM4FLR">#REF!</definedName>
    <definedName name="SITM4MacTime">#REF!</definedName>
    <definedName name="SITM50">#REF!</definedName>
    <definedName name="SITM501">#REF!</definedName>
    <definedName name="SITM502">#REF!</definedName>
    <definedName name="SITM503">#REF!</definedName>
    <definedName name="SITM504">#REF!</definedName>
    <definedName name="SITM5FLR">#REF!</definedName>
    <definedName name="SITM5MacTime">#REF!</definedName>
    <definedName name="SITM60">#REF!</definedName>
    <definedName name="SITM601">#REF!</definedName>
    <definedName name="SITM602">#REF!</definedName>
    <definedName name="SITM603">#REF!</definedName>
    <definedName name="SITM604">#REF!</definedName>
    <definedName name="SITM70">#REF!</definedName>
    <definedName name="SITM701">#REF!</definedName>
    <definedName name="SITM702">#REF!</definedName>
    <definedName name="SITM703">#REF!</definedName>
    <definedName name="SITM704">#REF!</definedName>
    <definedName name="SITM80">#REF!</definedName>
    <definedName name="SITM801">#REF!</definedName>
    <definedName name="SITM802">#REF!</definedName>
    <definedName name="SITM803">#REF!</definedName>
    <definedName name="SITM804">#REF!</definedName>
    <definedName name="SITNRE">#REF!</definedName>
    <definedName name="SITNREAmount">#REF!</definedName>
    <definedName name="SITNREDesExpAmt">#REF!</definedName>
    <definedName name="SitNREDesRoy">#REF!</definedName>
    <definedName name="SitNREExtRoy">#REF!</definedName>
    <definedName name="SITNREOthAmt">#REF!</definedName>
    <definedName name="SITOAP">#REF!</definedName>
    <definedName name="SITOCT">#REF!</definedName>
    <definedName name="SITOEC">#REF!</definedName>
    <definedName name="SITOTHER">#REF!</definedName>
    <definedName name="SITPFI">#REF!</definedName>
    <definedName name="SITPFI1">#REF!</definedName>
    <definedName name="SITPFI2">#REF!</definedName>
    <definedName name="SITPFI3">#REF!</definedName>
    <definedName name="SITPFI4">#REF!</definedName>
    <definedName name="SITPFI5">#REF!</definedName>
    <definedName name="SITPotLabor">#REF!</definedName>
    <definedName name="SITPotMachine">#REF!</definedName>
    <definedName name="SITPotSupplies">#REF!</definedName>
    <definedName name="SITPotting">#REF!</definedName>
    <definedName name="SITProcess">#REF!</definedName>
    <definedName name="SITUND">#REF!</definedName>
    <definedName name="SITUND1">#REF!</definedName>
    <definedName name="SITUND2">#REF!</definedName>
    <definedName name="SITWSO">#REF!</definedName>
    <definedName name="SITWSO1">#REF!</definedName>
    <definedName name="SITWSO2">#REF!</definedName>
    <definedName name="SITYN">#REF!</definedName>
    <definedName name="siv">#REF!</definedName>
    <definedName name="SIWash">#REF!</definedName>
    <definedName name="SIWashBoard">#REF!</definedName>
    <definedName name="SIWashCycle">#REF!</definedName>
    <definedName name="SIWashInline">#REF!</definedName>
    <definedName name="SIWashLoad">#REF!</definedName>
    <definedName name="SJGFG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skm" hidden="1">{"'Broadway ML#4'!$J$7:$N$490"}</definedName>
    <definedName name="SKONTO">#REF!</definedName>
    <definedName name="skthrt">#REF!</definedName>
    <definedName name="skydive">#REF!</definedName>
    <definedName name="sldfjs">#REF!</definedName>
    <definedName name="slhrelih">#REF!</definedName>
    <definedName name="slr">#REF!</definedName>
    <definedName name="SLR_Master">#REF!</definedName>
    <definedName name="sm_vol">#REF!</definedName>
    <definedName name="SMA_line_day">#REF!</definedName>
    <definedName name="Small_Back_Click" localSheetId="1">#REF!</definedName>
    <definedName name="Small_Back_Click">#REF!</definedName>
    <definedName name="SMT" localSheetId="1">#REF!</definedName>
    <definedName name="SMT">#REF!</definedName>
    <definedName name="SMT_3">#REF!</definedName>
    <definedName name="SMT_Lines">#REF!</definedName>
    <definedName name="SMT_LOAD">#REF!</definedName>
    <definedName name="SMT_LOAD_B">#REF!</definedName>
    <definedName name="SMTA">#REF!</definedName>
    <definedName name="SMTAdmRate">#REF!</definedName>
    <definedName name="SMTB">#REF!</definedName>
    <definedName name="SMTbot">#REF!</definedName>
    <definedName name="SMTConfigCode">#REF!</definedName>
    <definedName name="SMTConveyors">#REF!</definedName>
    <definedName name="SMTEng">#REF!</definedName>
    <definedName name="SMTEngrLA">#REF!</definedName>
    <definedName name="SMTEquipType">#REF!</definedName>
    <definedName name="SMTI1">#REF!</definedName>
    <definedName name="SMTI2">#REF!</definedName>
    <definedName name="SMTInvest">#REF!</definedName>
    <definedName name="SMTL1">#REF!</definedName>
    <definedName name="SMTL2">#REF!</definedName>
    <definedName name="SMTLIRatio">#REF!</definedName>
    <definedName name="SMTMaxSpeed">#REF!</definedName>
    <definedName name="SMTSUTime">#REF!</definedName>
    <definedName name="SMTTech">#REF!</definedName>
    <definedName name="SMTTechLA">#REF!</definedName>
    <definedName name="SMTtop">#REF!</definedName>
    <definedName name="SMTUtil">#REF!</definedName>
    <definedName name="SN_FALLAS">#REF!</definedName>
    <definedName name="snd" hidden="1">#REF!</definedName>
    <definedName name="sno">#N/A</definedName>
    <definedName name="SoftCopies">#REF!</definedName>
    <definedName name="SOLECTRON_EUROPE">#REF!</definedName>
    <definedName name="solectrontest">#REF!</definedName>
    <definedName name="Solibro_Act">#REF!</definedName>
    <definedName name="Solibro_Bud">#REF!</definedName>
    <definedName name="SONY">#REF!</definedName>
    <definedName name="SOPCARIES">#REF!</definedName>
    <definedName name="SOPCTAURUS">#REF!</definedName>
    <definedName name="SOPtoMP">#REF!</definedName>
    <definedName name="sort" hidden="1">#REF!</definedName>
    <definedName name="sort_area">#N/A</definedName>
    <definedName name="sortq1">#REF!</definedName>
    <definedName name="sortq2">#REF!</definedName>
    <definedName name="sortq3">#REF!</definedName>
    <definedName name="sortq4">#REF!</definedName>
    <definedName name="sortq405">#REF!</definedName>
    <definedName name="sos" hidden="1">{"'Broadway ML#4'!$J$7:$N$490"}</definedName>
    <definedName name="SOUND">#REF!</definedName>
    <definedName name="SouthAsia" localSheetId="1">balance sheet send</definedName>
    <definedName name="SouthAsia">balance sheet send</definedName>
    <definedName name="sparta" hidden="1">{"'Broadway ML#4'!$J$7:$N$490"}</definedName>
    <definedName name="SPD">#N/A</definedName>
    <definedName name="SpecialPrice" hidden="1">#REF!</definedName>
    <definedName name="SpecificLabor">#REF!</definedName>
    <definedName name="SpecInpTable">#REF!</definedName>
    <definedName name="spectrum">#REF!</definedName>
    <definedName name="SPEED">#REF!</definedName>
    <definedName name="spiffy">#REF!</definedName>
    <definedName name="SpreadChoice">#REF!</definedName>
    <definedName name="sProducido">#REF!</definedName>
    <definedName name="sPromesa">#REF!</definedName>
    <definedName name="SPWS_WBID">"4A4D7162-7386-11D4-9EB4-00C04FF3A6C6"</definedName>
    <definedName name="srg" hidden="1">#REF!</definedName>
    <definedName name="srhh">#REF!</definedName>
    <definedName name="srhthrth">#REF!</definedName>
    <definedName name="SrManpMonth">#REF!</definedName>
    <definedName name="srththh">#REF!</definedName>
    <definedName name="SS" hidden="1">{"'Broadway ML#4'!$J$7:$N$490"}</definedName>
    <definedName name="ss_" hidden="1">{"'Broadway ML#4'!$J$7:$N$490"}</definedName>
    <definedName name="SSAAS">balance sheet send</definedName>
    <definedName name="ssci_with_pending">#REF!</definedName>
    <definedName name="ssdcvbnnn" hidden="1">{"Annual",#N/A,FALSE,"Sales &amp; Market";"Quarterly",#N/A,FALSE,"Sales &amp; Market"}</definedName>
    <definedName name="SSLink_0">#REF!</definedName>
    <definedName name="SSq" hidden="1">{"'Broadway ML#4'!$J$7:$N$490"}</definedName>
    <definedName name="ssq_" hidden="1">{"'Broadway ML#4'!$J$7:$N$490"}</definedName>
    <definedName name="sss">#REF!</definedName>
    <definedName name="ssss">#REF!</definedName>
    <definedName name="SSSSS">balance sheet send</definedName>
    <definedName name="ssssss">#REF!</definedName>
    <definedName name="ssssssssssssss" hidden="1">{"'Edit'!$A$1:$V$2277"}</definedName>
    <definedName name="SSSSSSSSSSSSSSSSS">balance sheet send</definedName>
    <definedName name="SSTTL">#REF!</definedName>
    <definedName name="ssz" hidden="1">{#N/A,#N/A,FALSE,"Summary";#N/A,#N/A,FALSE,"Service";#N/A,#N/A,FALSE,"Carriage";#N/A,#N/A,FALSE,"Backbone"}</definedName>
    <definedName name="STADT">#REF!</definedName>
    <definedName name="stage">#REF!</definedName>
    <definedName name="StampTaxRate">#REF!</definedName>
    <definedName name="Start.Sheet1">#REF!</definedName>
    <definedName name="Start.Sheet2">#REF!</definedName>
    <definedName name="startDates">#REF!</definedName>
    <definedName name="Startek">#N/A</definedName>
    <definedName name="StartValue">0.475</definedName>
    <definedName name="stat_rpt">#N/A</definedName>
    <definedName name="statButton_Click" localSheetId="1">#REF!</definedName>
    <definedName name="statButton_Click">#REF!</definedName>
    <definedName name="station">#REF!</definedName>
    <definedName name="Stats_Input">#N/A</definedName>
    <definedName name="statUS">#REF!</definedName>
    <definedName name="Status_disposition">#REF!</definedName>
    <definedName name="status2">#REF!</definedName>
    <definedName name="STAURUS">#REF!</definedName>
    <definedName name="stb" hidden="1">{"one (KEY)",#N/A,FALSE,"P&amp;L"}</definedName>
    <definedName name="STBDLrate">#REF!</definedName>
    <definedName name="STBoxPF">#REF!</definedName>
    <definedName name="STBStkRate">#REF!</definedName>
    <definedName name="STBuildCost">#REF!</definedName>
    <definedName name="STCmpSqf">#REF!</definedName>
    <definedName name="STD">#REF!</definedName>
    <definedName name="STD_02">#REF!</definedName>
    <definedName name="STD_04MAC">#REF!</definedName>
    <definedName name="STD_04MAN">#REF!</definedName>
    <definedName name="STD_BOOT">#REF!</definedName>
    <definedName name="STD_REBOOT">#REF!</definedName>
    <definedName name="Std_time">#REF!</definedName>
    <definedName name="STD_ÜBERSICHT">#REF!</definedName>
    <definedName name="STDEBT">#REF!</definedName>
    <definedName name="STDEuTable">#REF!</definedName>
    <definedName name="STDMODE">#REF!</definedName>
    <definedName name="STDModuleTable">#REF!</definedName>
    <definedName name="STDNXTTable">#REF!</definedName>
    <definedName name="STDTurretTable">#REF!</definedName>
    <definedName name="SteelHead_New" hidden="1">{"Jabil - Personal View",#N/A,FALSE,"Passives"}</definedName>
    <definedName name="Step11">#REF!</definedName>
    <definedName name="Step13">#REF!</definedName>
    <definedName name="StepValue">0.001</definedName>
    <definedName name="STGtNRate">#REF!</definedName>
    <definedName name="sthre">#REF!</definedName>
    <definedName name="sthrthth">#REF!</definedName>
    <definedName name="sthw" hidden="1">{#N/A,#N/A,FALSE,"Duran"}</definedName>
    <definedName name="stk">#REF!</definedName>
    <definedName name="STOffSqRate">#REF!</definedName>
    <definedName name="STOpexToIT">#REF!</definedName>
    <definedName name="STREAM">#REF!</definedName>
    <definedName name="STREAM.">#REF!</definedName>
    <definedName name="strh">#REF!</definedName>
    <definedName name="structure">#REF!</definedName>
    <definedName name="STSiteDate">#REF!</definedName>
    <definedName name="STTaxes">#REF!</definedName>
    <definedName name="STTL">#REF!</definedName>
    <definedName name="styest" hidden="1">{"one (KEY)",#N/A,FALSE,"P&amp;L"}</definedName>
    <definedName name="sub">#REF!</definedName>
    <definedName name="SUB_T1">#REF!</definedName>
    <definedName name="SUB_T2">#REF!</definedName>
    <definedName name="SUB_T3">#REF!</definedName>
    <definedName name="SUB_T4">#REF!</definedName>
    <definedName name="SUB_T5">#REF!</definedName>
    <definedName name="SUB_T6">#REF!</definedName>
    <definedName name="SUB_T7">#REF!</definedName>
    <definedName name="SUB_T8">#REF!</definedName>
    <definedName name="SUB_T9">#REF!</definedName>
    <definedName name="subgroup" hidden="1">#REF!</definedName>
    <definedName name="Subgroup_Size">#REF!</definedName>
    <definedName name="SUBRECBL">#REF!</definedName>
    <definedName name="Subtotal.Block.Columns">#REF!</definedName>
    <definedName name="SubTotal.Directives">#REF!</definedName>
    <definedName name="suhong">balance sheet send</definedName>
    <definedName name="SUM_TABLE">#REF!</definedName>
    <definedName name="SumBaseCell">#REF!</definedName>
    <definedName name="SumChosen">#REF!</definedName>
    <definedName name="SUMHOME">#REF!</definedName>
    <definedName name="Summary">#REF!</definedName>
    <definedName name="Summary.Template">#REF!</definedName>
    <definedName name="summary1">#REF!</definedName>
    <definedName name="SummaryGlobal">#REF!</definedName>
    <definedName name="Sun_margins">#REF!</definedName>
    <definedName name="SuperAuth">#REF!</definedName>
    <definedName name="SuperpMonth">#REF!</definedName>
    <definedName name="supertable">#REF!</definedName>
    <definedName name="supertable2">#REF!</definedName>
    <definedName name="supertable3">#REF!</definedName>
    <definedName name="suqian">balance sheet send</definedName>
    <definedName name="SUSPEND_RESUME">#REF!</definedName>
    <definedName name="SUST">#REF!</definedName>
    <definedName name="suz">#REF!</definedName>
    <definedName name="svcs">#REF!</definedName>
    <definedName name="SWEDEN">#REF!</definedName>
    <definedName name="SWEHOME">#REF!</definedName>
    <definedName name="switches">#REF!</definedName>
    <definedName name="swsw" hidden="1">{"'Broadway ML#4'!$J$7:$N$490"}</definedName>
    <definedName name="SymbolOnOff">#REF!</definedName>
    <definedName name="synch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LaborType">#REF!</definedName>
    <definedName name="SYSNL25">#REF!</definedName>
    <definedName name="sysno">#REF!</definedName>
    <definedName name="sysno2">#REF!</definedName>
    <definedName name="sysno3">#REF!</definedName>
    <definedName name="systems_debugTime">#REF!</definedName>
    <definedName name="systems_reworkTime">#REF!</definedName>
    <definedName name="systems_reworkYield">#REF!</definedName>
    <definedName name="systems_sampleSize">#REF!</definedName>
    <definedName name="systems_testTime">#REF!</definedName>
    <definedName name="systemsYield">#REF!</definedName>
    <definedName name="SysVolTable">#REF!</definedName>
    <definedName name="SYTSTEM">#REF!</definedName>
    <definedName name="T">#REF!</definedName>
    <definedName name="t01_BalanceSheet" localSheetId="1">balance sheet send</definedName>
    <definedName name="t01_BalanceSheet">balance sheet send</definedName>
    <definedName name="t02_BalanceSheet" localSheetId="1">balance sheet send</definedName>
    <definedName name="t02_BalanceSheet">balance sheet send</definedName>
    <definedName name="t03_BalanceSheet" localSheetId="1">balance sheet send</definedName>
    <definedName name="t03_BalanceSheet">balance sheet send</definedName>
    <definedName name="t03_Rev_Direct">#REF!</definedName>
    <definedName name="t04_BalanceSheet" localSheetId="1">balance sheet send</definedName>
    <definedName name="t04_BalanceSheet">balance sheet send</definedName>
    <definedName name="t04_Materials_Cogs">#REF!</definedName>
    <definedName name="t05_BalanceSheet" localSheetId="1">balance sheet send</definedName>
    <definedName name="t05_BalanceSheet">balance sheet send</definedName>
    <definedName name="t06_BalanceSheet" localSheetId="1">balance sheet send</definedName>
    <definedName name="t06_BalanceSheet">balance sheet send</definedName>
    <definedName name="t07_BalanceSheet" localSheetId="1">balance sheet send</definedName>
    <definedName name="t07_BalanceSheet">balance sheet send</definedName>
    <definedName name="t08_BalanceSheet" localSheetId="1">balance sheet send</definedName>
    <definedName name="t08_BalanceSheet">balance sheet send</definedName>
    <definedName name="t09_BalanceSheet" localSheetId="1">balance sheet send</definedName>
    <definedName name="t09_BalanceSheet">balance sheet send</definedName>
    <definedName name="t17_SqrFootage">#REF!</definedName>
    <definedName name="T3_Crosstab_2">#REF!</definedName>
    <definedName name="t4tt4" hidden="1">{"'Broadway ML#4'!$J$7:$N$490"}</definedName>
    <definedName name="TAB">#REF!</definedName>
    <definedName name="TAB_SET">#REF!</definedName>
    <definedName name="Tab1.">#REF!</definedName>
    <definedName name="Table">#REF!</definedName>
    <definedName name="TABLE_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1">#REF!</definedName>
    <definedName name="Table1.">#REF!</definedName>
    <definedName name="table4">#REF!</definedName>
    <definedName name="TableName">"Dummy"</definedName>
    <definedName name="TABLERO">#REF!</definedName>
    <definedName name="TacticalBuyer">#REF!</definedName>
    <definedName name="TactMthWg">#REF!</definedName>
    <definedName name="tahoe" hidden="1">{#N/A,#N/A,FALSE,"Summary";#N/A,#N/A,FALSE,"Service";#N/A,#N/A,FALSE,"Carriage";#N/A,#N/A,FALSE,"Backbone"}</definedName>
    <definedName name="takt">#N/A</definedName>
    <definedName name="TANT">#REF!</definedName>
    <definedName name="Target">#N/A</definedName>
    <definedName name="TargetApplication">#REF!</definedName>
    <definedName name="Tasks_Count_Green">#REF!</definedName>
    <definedName name="Tasks_Count_NA">#REF!</definedName>
    <definedName name="Tasks_Count_Red">#REF!</definedName>
    <definedName name="Tasks_Count_Total">#REF!</definedName>
    <definedName name="Tasks_Count_Yellow">#REF!</definedName>
    <definedName name="tax">#REF!</definedName>
    <definedName name="Tax_Rate">#REF!</definedName>
    <definedName name="tbl_ProdInfo" hidden="1">#REF!</definedName>
    <definedName name="tblBOH_Crosstab" localSheetId="1">#REF!</definedName>
    <definedName name="tblBOH_Crosstab">#REF!</definedName>
    <definedName name="tblBOH_Crosstab1" localSheetId="1">#REF!</definedName>
    <definedName name="tblBOH_Crosstab1">#REF!</definedName>
    <definedName name="tblBOH_Crosstab1_3">#REF!</definedName>
    <definedName name="TBLBOMS" localSheetId="1">#REF!</definedName>
    <definedName name="TBLBOMS">#REF!</definedName>
    <definedName name="TBLCONSGDP" localSheetId="1">#REF!</definedName>
    <definedName name="TBLCONSGDP">#REF!</definedName>
    <definedName name="TBLCONSGPROC2" localSheetId="1">#REF!</definedName>
    <definedName name="TBLCONSGPROC2">#REF!</definedName>
    <definedName name="TBLGDP" localSheetId="1">#REF!</definedName>
    <definedName name="TBLGDP">#REF!</definedName>
    <definedName name="TBLGPROC2" localSheetId="1">#REF!</definedName>
    <definedName name="TBLGPROC2">#REF!</definedName>
    <definedName name="tblGTD5_3">#REF!</definedName>
    <definedName name="tblItemData167" localSheetId="1">#REF!</definedName>
    <definedName name="tblItemData167">#REF!</definedName>
    <definedName name="tblItemData167_3">#REF!</definedName>
    <definedName name="TBLPDB" localSheetId="1">#REF!</definedName>
    <definedName name="TBLPDB">#REF!</definedName>
    <definedName name="TBLRFQ" localSheetId="1">#REF!</definedName>
    <definedName name="TBLRFQ">#REF!</definedName>
    <definedName name="tblSalesData_Crosstab" localSheetId="1">#REF!</definedName>
    <definedName name="tblSalesData_Crosstab">#REF!</definedName>
    <definedName name="tblSalesData_Crosstab1" localSheetId="1">#REF!</definedName>
    <definedName name="tblSalesData_Crosstab1">#REF!</definedName>
    <definedName name="tblSalesData_Crosstab1_3">#REF!</definedName>
    <definedName name="TBOPN">#REF!</definedName>
    <definedName name="TBORANGE">#REF!</definedName>
    <definedName name="TC" localSheetId="1">balance sheet send</definedName>
    <definedName name="TC">balance sheet send</definedName>
    <definedName name="TDBOXDefOvr">#REF!,#REF!,#REF!,#REF!</definedName>
    <definedName name="TDBOXInput">#REF!,#REF!,#REF!,#REF!,#REF!,#REF!</definedName>
    <definedName name="TDBOXPrice">#REF!</definedName>
    <definedName name="TDItem">#REF!</definedName>
    <definedName name="TDVAM">#REF!</definedName>
    <definedName name="TechpHrs">#REF!</definedName>
    <definedName name="Telpba">#REF!</definedName>
    <definedName name="temp">#REF!</definedName>
    <definedName name="temp2">#REF!</definedName>
    <definedName name="temp3" hidden="1">{#N/A,#N/A,FALSE,"Op_Stmt";#N/A,#N/A,FALSE,"Consol_Op_Stmt";#N/A,#N/A,FALSE,"rev_summ";#N/A,#N/A,FALSE,"Unit_Summ";#N/A,#N/A,FALSE,"EBIT_summ";#N/A,#N/A,FALSE,"RONA_NetAssets"}</definedName>
    <definedName name="tempfcst">#REF!</definedName>
    <definedName name="temppipe">#REF!</definedName>
    <definedName name="Teresa">#REF!</definedName>
    <definedName name="tesse" hidden="1">{"one (KEY)",#N/A,FALSE,"P&amp;L"}</definedName>
    <definedName name="TEST">#REF!</definedName>
    <definedName name="TEST..">#REF!</definedName>
    <definedName name="test_timeBurnIn">#N/A</definedName>
    <definedName name="test_timeFunctional1">#N/A</definedName>
    <definedName name="test_timeFunctional2">#N/A</definedName>
    <definedName name="test_timeFunctional3">#N/A</definedName>
    <definedName name="test_timeHiPOt">#N/A</definedName>
    <definedName name="test_timeICT">#N/A</definedName>
    <definedName name="test_timeLife">#N/A</definedName>
    <definedName name="test_timeSystemsTest">#N/A</definedName>
    <definedName name="TEST0">#REF!</definedName>
    <definedName name="TEST1">#REF!</definedName>
    <definedName name="TEST10">#REF!</definedName>
    <definedName name="Test100Percent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68">#REF!</definedName>
    <definedName name="TEST68_1">#REF!</definedName>
    <definedName name="TEST69">#REF!</definedName>
    <definedName name="TEST69_1">#REF!</definedName>
    <definedName name="TEST7">#REF!</definedName>
    <definedName name="TEST70">#REF!</definedName>
    <definedName name="TEST70_1">#REF!</definedName>
    <definedName name="TEST71">#REF!</definedName>
    <definedName name="TEST71_1">#REF!</definedName>
    <definedName name="TEST8">#REF!</definedName>
    <definedName name="TEST9">#REF!</definedName>
    <definedName name="TestEng">#REF!</definedName>
    <definedName name="TestEngrLA">#REF!</definedName>
    <definedName name="TESTHKEY">#REF!</definedName>
    <definedName name="Testing_Cost__4_Hrs__S">#REF!</definedName>
    <definedName name="TESTKEYS">#REF!</definedName>
    <definedName name="TESTRATE">#REF!</definedName>
    <definedName name="TESTVKEY">#REF!</definedName>
    <definedName name="tesy" hidden="1">{"one (KEY)",#N/A,FALSE,"P&amp;L"}</definedName>
    <definedName name="TETHOME">#REF!</definedName>
    <definedName name="TETREL">#REF!</definedName>
    <definedName name="tex">#REF!</definedName>
    <definedName name="texas">#REF!</definedName>
    <definedName name="text" hidden="1">{"'Broadway ML#4'!$J$7:$N$490"}</definedName>
    <definedName name="TextRefCopyRangeCount" hidden="1">13</definedName>
    <definedName name="tfe" hidden="1">{#N/A,#N/A,FALSE,"Summary";#N/A,#N/A,FALSE,"Service";#N/A,#N/A,FALSE,"Carriage";#N/A,#N/A,FALSE,"Backbone"}</definedName>
    <definedName name="tfgld106___Finalised_Transactions">#REF!</definedName>
    <definedName name="thew" hidden="1">{"'Sheet1'!$A$1:$CJ$47","'Sheet1'!$A$1:$CI$47"}</definedName>
    <definedName name="THIRD">#REF!</definedName>
    <definedName name="three">#REF!</definedName>
    <definedName name="thrsh">#REF!</definedName>
    <definedName name="ththjy" hidden="1">#REF!</definedName>
    <definedName name="thytjhy" hidden="1">#REF!</definedName>
    <definedName name="TickerCell">#REF!</definedName>
    <definedName name="tiiyit">#REF!</definedName>
    <definedName name="time">#REF!</definedName>
    <definedName name="TIME_CF">#REF!</definedName>
    <definedName name="TIME_OUT">#N/A</definedName>
    <definedName name="Title1">#REF!</definedName>
    <definedName name="Title2">#REF!</definedName>
    <definedName name="Title3">#REF!</definedName>
    <definedName name="Title4">#REF!</definedName>
    <definedName name="TitleRegion..BO60">#REF!</definedName>
    <definedName name="titles">#REF!</definedName>
    <definedName name="tiyiiikk">#REF!</definedName>
    <definedName name="tjrjj">#REF!</definedName>
    <definedName name="tjtjt">#REF!</definedName>
    <definedName name="tlr">#N/A</definedName>
    <definedName name="TLR_DATA">#REF!</definedName>
    <definedName name="TLR_LABELS">#REF!</definedName>
    <definedName name="tmp" hidden="1">{#N/A,#N/A,FALSE,"Op_Stmt";#N/A,#N/A,FALSE,"Consol_Op_Stmt";#N/A,#N/A,FALSE,"rev_summ";#N/A,#N/A,FALSE,"Unit_Summ";#N/A,#N/A,FALSE,"EBIT_summ";#N/A,#N/A,FALSE,"RONA_NetAssets"}</definedName>
    <definedName name="TmpGlobalExport0061">#N/A</definedName>
    <definedName name="TmpGlobalExport0065">#N/A</definedName>
    <definedName name="TmpGlobalExport0070">#REF!</definedName>
    <definedName name="TmpGlobalExport0074">#N/A</definedName>
    <definedName name="TO_LIST1">#REF!</definedName>
    <definedName name="TO_LIST2">#REF!</definedName>
    <definedName name="TO_LIST3">#REF!</definedName>
    <definedName name="toc">#N/A</definedName>
    <definedName name="tony">#REF!</definedName>
    <definedName name="TOOL_COST01">#REF!</definedName>
    <definedName name="TOOL_COST02">#REF!</definedName>
    <definedName name="TOOL_COST03">#REF!</definedName>
    <definedName name="TOOL_COST04">#REF!</definedName>
    <definedName name="TOOL_COST05">#REF!</definedName>
    <definedName name="TOOL_COST06">#REF!</definedName>
    <definedName name="TOOL_COST07">#REF!</definedName>
    <definedName name="TOOL_COST08">#REF!</definedName>
    <definedName name="TOOL_COST09">#REF!</definedName>
    <definedName name="TOOL_COST10">#REF!</definedName>
    <definedName name="TOOL_COST11">#REF!</definedName>
    <definedName name="TOOL_COST12">#REF!</definedName>
    <definedName name="TOOL_COST13">#REF!</definedName>
    <definedName name="TOOL_COST14">#REF!</definedName>
    <definedName name="TOOL_COST15">#REF!</definedName>
    <definedName name="TOOL_COST16">#REF!</definedName>
    <definedName name="TOOL_COST17">#REF!</definedName>
    <definedName name="TOOL_COST18">#REF!</definedName>
    <definedName name="TOOL_COST19">#REF!</definedName>
    <definedName name="TOOL_COST20">#REF!</definedName>
    <definedName name="TOOL_COST21">#REF!</definedName>
    <definedName name="TOOL_COST22">#REF!</definedName>
    <definedName name="TOOL_COST23">#REF!</definedName>
    <definedName name="TOOL_WEIGHT01">#REF!</definedName>
    <definedName name="TOOL_WEIGHT02">#REF!</definedName>
    <definedName name="TOOL_WEIGHT03">#REF!</definedName>
    <definedName name="TOOL_WEIGHT04">#REF!</definedName>
    <definedName name="TOOL_WEIGHT05">#REF!</definedName>
    <definedName name="TOOL_WEIGHT06">#REF!</definedName>
    <definedName name="TOOL_WEIGHT07">#REF!</definedName>
    <definedName name="TOOL_WEIGHT08">#REF!</definedName>
    <definedName name="TOOL_WEIGHT09">#REF!</definedName>
    <definedName name="TOOL_WEIGHT10">#REF!</definedName>
    <definedName name="TOOL_WEIGHT11">#REF!</definedName>
    <definedName name="TOOL_WEIGHT12">#REF!</definedName>
    <definedName name="TOOL_WEIGHT13">#REF!</definedName>
    <definedName name="TOOL_WEIGHT14">#REF!</definedName>
    <definedName name="TOOL_WEIGHT15">#REF!</definedName>
    <definedName name="TOOL_WEIGHT16">#REF!</definedName>
    <definedName name="TOOL_WEIGHT17">#REF!</definedName>
    <definedName name="TOOL_WEIGHT18">#REF!</definedName>
    <definedName name="TOOL_WEIGHT19">#REF!</definedName>
    <definedName name="TOOL_WEIGHT20">#REF!</definedName>
    <definedName name="TOOL_WEIGHT21">#REF!</definedName>
    <definedName name="TOOL_WEIGHT22">#REF!</definedName>
    <definedName name="TOOL_WEIGHT23">#REF!</definedName>
    <definedName name="tooling">#REF!</definedName>
    <definedName name="TOP">#REF!</definedName>
    <definedName name="TOP1..">#REF!</definedName>
    <definedName name="TOPFINAL">#REF!</definedName>
    <definedName name="TOPFINAL..">#REF!</definedName>
    <definedName name="TOPFRAMES">#REF!</definedName>
    <definedName name="TOPFRAMES..">#REF!</definedName>
    <definedName name="TOPHOURS">#REF!</definedName>
    <definedName name="TOPHOURS..">#REF!</definedName>
    <definedName name="topside_no_smtParts">#N/A</definedName>
    <definedName name="topside_xy_table_allowCS1Line1">#N/A</definedName>
    <definedName name="topside_xy_table_allowCS1Line5">#N/A</definedName>
    <definedName name="topside_xy_table_allowCS2Line5">#N/A</definedName>
    <definedName name="topside_xy_table_allowCS3Line5">#N/A</definedName>
    <definedName name="topside_xy_table_allowICP1Line1">#N/A</definedName>
    <definedName name="topside_xy_table_allowICP1Line5">#N/A</definedName>
    <definedName name="topside_xy_table_allowICP2Line1">#N/A</definedName>
    <definedName name="TopSMTCycleTime">#N/A</definedName>
    <definedName name="TopTables" localSheetId="1">L1C2</definedName>
    <definedName name="TopTables">L1C2</definedName>
    <definedName name="TOPTOTAL">#REF!</definedName>
    <definedName name="TOPTOTAL..">#REF!</definedName>
    <definedName name="TOPUNITS">#REF!</definedName>
    <definedName name="TOPUNITS.">#REF!</definedName>
    <definedName name="TORONTO">#REF!</definedName>
    <definedName name="TOTAL">#REF!,#REF!,#REF!,#REF!,#REF!,#REF!,#REF!,#REF!</definedName>
    <definedName name="TOTAL_1">#REF!,#REF!,#REF!,#REF!,#REF!,#REF!,#REF!,#REF!</definedName>
    <definedName name="total_boxbuild_labourTime">#REF!</definedName>
    <definedName name="total_boxbuild_setupMin">#REF!</definedName>
    <definedName name="total_capex_frcst">#N/A</definedName>
    <definedName name="total_final_assy_labour_timeMins">#N/A</definedName>
    <definedName name="total_finalassy_setupMin">#N/A</definedName>
    <definedName name="total_manual_assy_labour_timeMins">#N/A</definedName>
    <definedName name="TOTAL_MS">#REF!</definedName>
    <definedName name="total_offline_labour_timeSecs">#REF!</definedName>
    <definedName name="total_offline_setupMin">#REF!</definedName>
    <definedName name="total_pack_labour_timeMins">#N/A</definedName>
    <definedName name="total_pack_setupMin">#N/A</definedName>
    <definedName name="total_prep_labour_timeMins">#N/A</definedName>
    <definedName name="total_revenue">#REF!</definedName>
    <definedName name="total_wash_timeMins">#N/A</definedName>
    <definedName name="total_wave_solder_timeMins">#N/A</definedName>
    <definedName name="TOTAL_WT">#REF!</definedName>
    <definedName name="TotalUnitCost">#REF!</definedName>
    <definedName name="TotalVol">#REF!</definedName>
    <definedName name="TotHours">#REF!</definedName>
    <definedName name="toto" hidden="1">{"toto",#N/A,FALSE,"Munka1"}</definedName>
    <definedName name="totoouiouio">#REF!</definedName>
    <definedName name="totya" hidden="1">{"toto",#N/A,FALSE,"Munka1"}</definedName>
    <definedName name="touou">#REF!</definedName>
    <definedName name="tououk">#REF!</definedName>
    <definedName name="toyoy">#REF!</definedName>
    <definedName name="Toys_R_Us">#N/A</definedName>
    <definedName name="TR">balance sheet send</definedName>
    <definedName name="TRA">#REF!</definedName>
    <definedName name="TRACKING">#REF!</definedName>
    <definedName name="trade">#REF!</definedName>
    <definedName name="tradedatabase">#REF!</definedName>
    <definedName name="TRAN">#REF!</definedName>
    <definedName name="Transformation">#REF!</definedName>
    <definedName name="Transworld">#N/A</definedName>
    <definedName name="TREASTK">#REF!</definedName>
    <definedName name="trend">#REF!</definedName>
    <definedName name="trewtewrt" hidden="1">{"Jabil - Personal View",#N/A,FALSE,"Passives"}</definedName>
    <definedName name="trhry" hidden="1">{"one (KEY)",#N/A,FALSE,"P&amp;L"}</definedName>
    <definedName name="TRITON">#REF!</definedName>
    <definedName name="trrr" hidden="1">{"one (KEY)",#N/A,FALSE,"P&amp;L"}</definedName>
    <definedName name="truty" hidden="1">{"one (KEY)",#N/A,FALSE,"P&amp;L"}</definedName>
    <definedName name="trwyrty" hidden="1">{"Jabil - Personal View",#N/A,FALSE,"Passives"}</definedName>
    <definedName name="try">#REF!</definedName>
    <definedName name="tryrty" hidden="1">{"Jabil - Personal View",#N/A,FALSE,"Passives"}</definedName>
    <definedName name="trytrytr" hidden="1">{"Jabil - Personal View",#N/A,FALSE,"Passives"}</definedName>
    <definedName name="TSBU_PBIT">#REF!</definedName>
    <definedName name="tt">#N/A</definedName>
    <definedName name="TTables" localSheetId="1">L2C2</definedName>
    <definedName name="TTables">L2C2</definedName>
    <definedName name="ttrrs" hidden="1">{"one (KEY)",#N/A,FALSE,"P&amp;L"}</definedName>
    <definedName name="ttt">#REF!</definedName>
    <definedName name="ttttttt" hidden="1">{"Jabil - Personal View",#N/A,FALSE,"Passives"}</definedName>
    <definedName name="TTTTTTTTTTTTTTTTTT">balance sheet send</definedName>
    <definedName name="tu">#REF!</definedName>
    <definedName name="Tully_Baseline">#REF!</definedName>
    <definedName name="Tully_Cost_Reduction">#REF!</definedName>
    <definedName name="Tully_Ext_Cost">#REF!</definedName>
    <definedName name="Tully_Reduction_Percentage">#REF!</definedName>
    <definedName name="TURN">#REF!</definedName>
    <definedName name="TURN2">#REF!</definedName>
    <definedName name="TURN3">#REF!</definedName>
    <definedName name="TURN4">#REF!</definedName>
    <definedName name="TURN5">#REF!</definedName>
    <definedName name="TURN6">#REF!</definedName>
    <definedName name="Turns">#REF!</definedName>
    <definedName name="Tut">#REF!</definedName>
    <definedName name="TWDA">#REF!</definedName>
    <definedName name="tweywet" hidden="1">{"one (KEY)",#N/A,FALSE,"P&amp;L"}</definedName>
    <definedName name="two">#REF!</definedName>
    <definedName name="twq" hidden="1">{#N/A,#N/A,FALSE,"Summary";#N/A,#N/A,FALSE,"Service";#N/A,#N/A,FALSE,"Carriage";#N/A,#N/A,FALSE,"Backbone"}</definedName>
    <definedName name="twryrw" hidden="1">{"Jabil - Personal View",#N/A,FALSE,"Passives"}</definedName>
    <definedName name="twx">#REF!</definedName>
    <definedName name="twxdob">#REF!</definedName>
    <definedName name="TXASSTS">#REF!</definedName>
    <definedName name="ty" hidden="1">#REF!</definedName>
    <definedName name="tyher" hidden="1">{"one (KEY)",#N/A,FALSE,"P&amp;L"}</definedName>
    <definedName name="tyiukl" hidden="1">{#N/A,#N/A,FALSE,"Financial";#N/A,#N/A,FALSE,"Balance Sheet";#N/A,#N/A,FALSE,"Income stmt";#N/A,#N/A,FALSE,"Ratio"}</definedName>
    <definedName name="tyjyjyj">#REF!</definedName>
    <definedName name="TYP" hidden="1">{"'Broadway ML#4'!$J$7:$N$490"}</definedName>
    <definedName name="Type">#REF!</definedName>
    <definedName name="Tyre" hidden="1">{"'Sheet1'!$A$1:$CJ$47","'Sheet1'!$A$1:$CI$47"}</definedName>
    <definedName name="tyrt" hidden="1">{"one (KEY)",#N/A,FALSE,"P&amp;L"}</definedName>
    <definedName name="TYRTYRTY">balance sheet send</definedName>
    <definedName name="tyry" hidden="1">{"Jabil - Personal View",#N/A,FALSE,"Passives"}</definedName>
    <definedName name="tyt" hidden="1">{"'Broadway ML#4'!$J$7:$N$490"}</definedName>
    <definedName name="tyu" hidden="1">{"'Broadway ML#4'!$J$7:$N$490"}</definedName>
    <definedName name="tyu_" hidden="1">{"'Broadway ML#4'!$J$7:$N$490"}</definedName>
    <definedName name="tyukuyk">#REF!</definedName>
    <definedName name="tyut">balance sheet send</definedName>
    <definedName name="tyutyu" hidden="1">{"Jabil - Personal View",#N/A,FALSE,"Passives"}</definedName>
    <definedName name="U">#REF!</definedName>
    <definedName name="U.S.ExchRate">1.33</definedName>
    <definedName name="u6tyt">balance sheet send</definedName>
    <definedName name="UCT">#REF!</definedName>
    <definedName name="ueyueu">#REF!</definedName>
    <definedName name="ugoiygf">#REF!</definedName>
    <definedName name="uhik" hidden="1">#REF!</definedName>
    <definedName name="ui">OFFSET(#REF!,0,COUNTA(#REF!)-1-10,1,10)</definedName>
    <definedName name="uiiiy">#REF!</definedName>
    <definedName name="UIOYTYYREWWWWWWW">balance sheet send</definedName>
    <definedName name="uityuiyukjk" hidden="1">{"'Broadway ML#4'!$J$7:$N$490"}</definedName>
    <definedName name="UJYJH">balance sheet send</definedName>
    <definedName name="ukjfdg" hidden="1">#REF!</definedName>
    <definedName name="UMCTRate">#REF!</definedName>
    <definedName name="UMG156_2009">#REF!</definedName>
    <definedName name="UMG156_2009Q1">#REF!</definedName>
    <definedName name="UMG156_2009Q2">#REF!</definedName>
    <definedName name="UMG156_2009Q3">#REF!</definedName>
    <definedName name="UMG156_2009Q4">#REF!</definedName>
    <definedName name="UMG156_2010Q1">#REF!</definedName>
    <definedName name="UMG156_2010Q2">#REF!</definedName>
    <definedName name="UMG156_2010Q3">#REF!</definedName>
    <definedName name="UMG156_2010Q4">#REF!</definedName>
    <definedName name="UMGWEI2010">#REF!</definedName>
    <definedName name="UMGWEI2011">#REF!</definedName>
    <definedName name="UMGWEI2012">#REF!</definedName>
    <definedName name="UMGWEI2013">#REF!</definedName>
    <definedName name="UMGWEI2014">#REF!</definedName>
    <definedName name="UMGWEI2015">#REF!</definedName>
    <definedName name="UMGWEI2016">#REF!</definedName>
    <definedName name="UMGWEI2017">#REF!</definedName>
    <definedName name="UMGWEI2018">#REF!</definedName>
    <definedName name="Unapplied">#REF!</definedName>
    <definedName name="Underfill">#REF!</definedName>
    <definedName name="UnderfillLabor">#REF!</definedName>
    <definedName name="UniqPartCost">#REF!</definedName>
    <definedName name="unit">#REF!</definedName>
    <definedName name="unit_price">#N/A</definedName>
    <definedName name="unit_volume">#N/A</definedName>
    <definedName name="UNITS">#REF!</definedName>
    <definedName name="UNITS.">#REF!</definedName>
    <definedName name="Unternehmen_ID">#REF!</definedName>
    <definedName name="Untitled">#REF!</definedName>
    <definedName name="up">#N/A</definedName>
    <definedName name="Update">#REF!</definedName>
    <definedName name="Upload_Area">#REF!</definedName>
    <definedName name="Uprocess">#REF!</definedName>
    <definedName name="UQTYY">#REF!</definedName>
    <definedName name="US_GAAP">#REF!</definedName>
    <definedName name="USD">#REF!</definedName>
    <definedName name="USDA">#REF!</definedName>
    <definedName name="useful_life">#N/A</definedName>
    <definedName name="User">#REF!</definedName>
    <definedName name="UserTable">#REF!</definedName>
    <definedName name="USL">#REF!</definedName>
    <definedName name="UStoCDN">#REF!</definedName>
    <definedName name="USUP">#REF!</definedName>
    <definedName name="Util">#REF!</definedName>
    <definedName name="Util1">#REF!</definedName>
    <definedName name="utilzsum">#REF!</definedName>
    <definedName name="UtiMaintCSqFt">#REF!</definedName>
    <definedName name="UTYTTW">balance sheet send</definedName>
    <definedName name="uu" hidden="1">{#N/A,#N/A,FALSE,"Summary";#N/A,#N/A,FALSE,"Service";#N/A,#N/A,FALSE,"Carriage";#N/A,#N/A,FALSE,"Backbone"}</definedName>
    <definedName name="UUUU">balance sheet send</definedName>
    <definedName name="UUUUUUUUUUUU">balance sheet send</definedName>
    <definedName name="UYEWQ">balance sheet send</definedName>
    <definedName name="UYN">#REF!</definedName>
    <definedName name="uyrg" hidden="1">{#N/A,#N/A,FALSE,"Sales per customer";#N/A,#N/A,FALSE,"FC vs old FC";#N/A,#N/A,FALSE,"Sales deviation summary";#N/A,#N/A,FALSE,"Quantity deviation";#N/A,#N/A,FALSE,"BOM%"}</definedName>
    <definedName name="uyuotr">#REF!</definedName>
    <definedName name="uyyoty">#REF!</definedName>
    <definedName name="UYYUY">#REF!</definedName>
    <definedName name="V">#REF!</definedName>
    <definedName name="V1ER">#REF!</definedName>
    <definedName name="V2DO">#REF!</definedName>
    <definedName name="V3ER">#REF!</definedName>
    <definedName name="V50LC">#REF!</definedName>
    <definedName name="VA">#REF!</definedName>
    <definedName name="Vac">#REF!</definedName>
    <definedName name="VAL">#REF!</definedName>
    <definedName name="ValAll">#REF!</definedName>
    <definedName name="VALORES">#REF!</definedName>
    <definedName name="valuevx">42.314159</definedName>
    <definedName name="Valuta">#REF!</definedName>
    <definedName name="vam" hidden="1">{"one (KEY)",#N/A,FALSE,"P&amp;L"}</definedName>
    <definedName name="VAM_FY16">OFFSET(#REF!,0,0,COUNTA(#REF!))</definedName>
    <definedName name="VAM_FY17">OFFSET(#REF!,0,0,COUNTA(#REF!))</definedName>
    <definedName name="VAMPer_FY16">OFFSET(#REF!,0,0,COUNTA(#REF!))</definedName>
    <definedName name="VAMPer_FY17">OFFSET(#REF!,0,0,COUNTA(#REF!))</definedName>
    <definedName name="varCap">#REF!</definedName>
    <definedName name="varEVA">#REF!</definedName>
    <definedName name="variance">#REF!,#REF!,#REF!,#REF!,#REF!</definedName>
    <definedName name="VARIES">#REF!</definedName>
    <definedName name="varoh1">#REF!</definedName>
    <definedName name="varoh3">#REF!</definedName>
    <definedName name="varohd2">#REF!</definedName>
    <definedName name="varOP">#REF!</definedName>
    <definedName name="varOth">#REF!</definedName>
    <definedName name="varRev">#REF!</definedName>
    <definedName name="VB">#REF!</definedName>
    <definedName name="VBBBVBB">balance sheet send</definedName>
    <definedName name="VBGVJHGHJ">#REF!</definedName>
    <definedName name="vbh">#REF!</definedName>
    <definedName name="VBVBCVB">balance sheet send</definedName>
    <definedName name="vc" hidden="1">{"'Broadway ML#4'!$J$7:$N$490"}</definedName>
    <definedName name="VCB">balance sheet send</definedName>
    <definedName name="VCCCV">#REF!</definedName>
    <definedName name="VCD">#REF!</definedName>
    <definedName name="VCONSOLA">#REF!</definedName>
    <definedName name="VCWMCARN">#REF!</definedName>
    <definedName name="VELE">#REF!</definedName>
    <definedName name="VENTAS">#REF!</definedName>
    <definedName name="VERDE">#REF!</definedName>
    <definedName name="Verona" hidden="1">{"Jabil - Personal View",#N/A,FALSE,"Passives"}</definedName>
    <definedName name="veronaa" hidden="1">{"Jabil - Personal View",#N/A,FALSE,"Passives"}</definedName>
    <definedName name="Version">#REF!</definedName>
    <definedName name="VersionAB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ERTICAL">#REF!</definedName>
    <definedName name="VertPos">#REF!</definedName>
    <definedName name="vfs" hidden="1">{#N/A,#N/A,FALSE,"Summary";#N/A,#N/A,FALSE,"Service";#N/A,#N/A,FALSE,"Carriage";#N/A,#N/A,FALSE,"Backbone"}</definedName>
    <definedName name="vhbmcfh" hidden="1">#REF!</definedName>
    <definedName name="VIACBSDOB">#REF!</definedName>
    <definedName name="VIAChanges">#REF!</definedName>
    <definedName name="viadecdob">#REF!</definedName>
    <definedName name="VIASORT">#REF!</definedName>
    <definedName name="VIDEOLOGIC">#REF!</definedName>
    <definedName name="VIDHOME">#REF!</definedName>
    <definedName name="Viernes">#REF!</definedName>
    <definedName name="VIRHOME">#REF!</definedName>
    <definedName name="VIRTUALITY">#REF!</definedName>
    <definedName name="vlook">#REF!</definedName>
    <definedName name="vol_tbl">#REF!</definedName>
    <definedName name="vol1inflow">#REF!</definedName>
    <definedName name="vol2inflow">#REF!</definedName>
    <definedName name="vol3inflow">#REF!</definedName>
    <definedName name="vols">#REF!</definedName>
    <definedName name="volume">#REF!</definedName>
    <definedName name="VolumeCell">#REF!</definedName>
    <definedName name="VolumeComplement">#REF!</definedName>
    <definedName name="Volumetotal">#REF!</definedName>
    <definedName name="VOPCARIES">#REF!</definedName>
    <definedName name="VOPCTAURUS">#REF!</definedName>
    <definedName name="VSVDVDVEVVEVv" hidden="1">{"'Broadway ML#4'!$J$7:$N$490"}</definedName>
    <definedName name="VTAURUS">#REF!</definedName>
    <definedName name="vv" hidden="1">{#N/A,#N/A,FALSE,"Summary";#N/A,#N/A,FALSE,"Service";#N/A,#N/A,FALSE,"Carriage";#N/A,#N/A,FALSE,"Backbone"}</definedName>
    <definedName name="vvv" hidden="1">{#N/A,#N/A,FALSE,"Summary";#N/A,#N/A,FALSE,"Service";#N/A,#N/A,FALSE,"Carriage";#N/A,#N/A,FALSE,"Backbone"}</definedName>
    <definedName name="vvvv" hidden="1">{"'Broadway ML#4'!$J$7:$N$490"}</definedName>
    <definedName name="vvvvvvv" hidden="1">{"'B-S Accounts Translation'!$A$1:$G$190"}</definedName>
    <definedName name="VVVVVVVVVVVVVVVVVVVVVVV">balance sheet send</definedName>
    <definedName name="vyr" hidden="1">{#N/A,#N/A,FALSE,"Summary";#N/A,#N/A,FALSE,"Service";#N/A,#N/A,FALSE,"Carriage";#N/A,#N/A,FALSE,"Backbone"}</definedName>
    <definedName name="w" localSheetId="1">#REF!</definedName>
    <definedName name="w" hidden="1">#REF!</definedName>
    <definedName name="W26MDEMPACK">#REF!</definedName>
    <definedName name="wa">#REF!</definedName>
    <definedName name="wacc">#REF!</definedName>
    <definedName name="WAdm">#REF!</definedName>
    <definedName name="wae" hidden="1">{#N/A,#N/A,FALSE,"Duran"}</definedName>
    <definedName name="Wafer2008">#REF!</definedName>
    <definedName name="Wafer2009">#REF!</definedName>
    <definedName name="WAG" hidden="1">{"one (KEY)",#N/A,FALSE,"P&amp;L"}</definedName>
    <definedName name="Währungscodes">#REF!</definedName>
    <definedName name="Wal_Mart">#N/A</definedName>
    <definedName name="WarComplexTbl">#REF!</definedName>
    <definedName name="WarCumRetRt">#REF!</definedName>
    <definedName name="WarDLTime">#REF!</definedName>
    <definedName name="WarDM">#REF!</definedName>
    <definedName name="WarIDLTime">#REF!</definedName>
    <definedName name="WarOHead">#REF!</definedName>
    <definedName name="Warranty2">#REF!</definedName>
    <definedName name="Warranty3">#REF!</definedName>
    <definedName name="Warranty4">#REF!</definedName>
    <definedName name="Warranty5">#REF!</definedName>
    <definedName name="Warranty6">#REF!</definedName>
    <definedName name="WarrantyMths">#REF!</definedName>
    <definedName name="WarRateTbl">#REF!</definedName>
    <definedName name="WarReplaceRt">#REF!</definedName>
    <definedName name="WarRepMatRt">#REF!</definedName>
    <definedName name="WarRetAdjFactor">#REF!</definedName>
    <definedName name="WarVolAdjTbl">#REF!</definedName>
    <definedName name="wash_setupTime">#N/A</definedName>
    <definedName name="washRate">#N/A</definedName>
    <definedName name="Watts">#REF!</definedName>
    <definedName name="wave_solder_setupTime">#N/A</definedName>
    <definedName name="WaveSolderST">#REF!</definedName>
    <definedName name="WaveTech">#REF!</definedName>
    <definedName name="WaveTechLA">#REF!</definedName>
    <definedName name="WaveThres">#REF!</definedName>
    <definedName name="WaveTime">#REF!</definedName>
    <definedName name="WDivMgr">#REF!</definedName>
    <definedName name="Week">#REF!</definedName>
    <definedName name="WeekDay">{1,2,3,4,5,6,7}</definedName>
    <definedName name="WeeklyLabor">#REF!</definedName>
    <definedName name="WeeklyMaterial">#REF!</definedName>
    <definedName name="WeeklyQty">#REF!</definedName>
    <definedName name="WeekNo">{1;2;3;4;5;6}</definedName>
    <definedName name="WeekRange">#REF!</definedName>
    <definedName name="Weight">#REF!</definedName>
    <definedName name="Weight_List">#REF!</definedName>
    <definedName name="WEngT">#REF!</definedName>
    <definedName name="WEQW">balance sheet send</definedName>
    <definedName name="wer" hidden="1">{"'Broadway ML#4'!$J$7:$N$490"}</definedName>
    <definedName name="werertfg" hidden="1">#REF!</definedName>
    <definedName name="werfq" hidden="1">{"'Broadway ML#4'!$J$7:$N$490"}</definedName>
    <definedName name="werg" hidden="1">{"Jabil - Personal View",#N/A,FALSE,"Passives"}</definedName>
    <definedName name="WERT">#REF!</definedName>
    <definedName name="wertgtergv">#REF!</definedName>
    <definedName name="WERWER">balance sheet send</definedName>
    <definedName name="wetwerwre" hidden="1">{"Jabil - Personal View",#N/A,FALSE,"Passives"}</definedName>
    <definedName name="WEWER">balance sheet send</definedName>
    <definedName name="WFTOper">#REF!</definedName>
    <definedName name="wgt" hidden="1">{"one (KEY)",#N/A,FALSE,"P&amp;L"}</definedName>
    <definedName name="what_if_DPO">#REF!</definedName>
    <definedName name="what_if_DSO">#REF!</definedName>
    <definedName name="what_if_ITO">#REF!</definedName>
    <definedName name="what_if_OP">#REF!</definedName>
    <definedName name="what_if_price">#REF!</definedName>
    <definedName name="what_if_profit">#REF!</definedName>
    <definedName name="what_if_ROIC">#REF!</definedName>
    <definedName name="what_if_SGA">#REF!</definedName>
    <definedName name="what_if_tax">#REF!</definedName>
    <definedName name="whatisthis" hidden="1">#REF!</definedName>
    <definedName name="WHCostpComp">#REF!</definedName>
    <definedName name="which_btmsideLine">#N/A</definedName>
    <definedName name="which_topsideLine">#N/A</definedName>
    <definedName name="Whitney" hidden="1">{"Annual",#N/A,FALSE,"Sales &amp; Market";"Quarterly",#N/A,FALSE,"Sales &amp; Market"}</definedName>
    <definedName name="WHLMAOper">#REF!</definedName>
    <definedName name="WICTOper">#REF!</definedName>
    <definedName name="Width">2</definedName>
    <definedName name="WINDOWS">#REF!</definedName>
    <definedName name="winn">#REF!</definedName>
    <definedName name="Winnipeg">#REF!</definedName>
    <definedName name="wip" localSheetId="1">#REF!</definedName>
    <definedName name="wip">#REF!</definedName>
    <definedName name="wipa" localSheetId="1">#REF!</definedName>
    <definedName name="wipa">#REF!</definedName>
    <definedName name="WIRE_HOURS01">#REF!</definedName>
    <definedName name="WIRE_HOURS02">#REF!</definedName>
    <definedName name="WIRE_HOURS03">#REF!</definedName>
    <definedName name="WIRE_HOURS04">#REF!</definedName>
    <definedName name="WIRE_HOURS05">#REF!</definedName>
    <definedName name="WIRE_HOURS06">#REF!</definedName>
    <definedName name="WIRE_HOURS07">#REF!</definedName>
    <definedName name="WIRE_HOURS08">#REF!</definedName>
    <definedName name="WIRE_HOURS09">#REF!</definedName>
    <definedName name="WIRE_HOURS10">#REF!</definedName>
    <definedName name="WIRE_HOURS11">#REF!</definedName>
    <definedName name="WIRE_HOURS12">#REF!</definedName>
    <definedName name="WIRE_HOURS13">#REF!</definedName>
    <definedName name="WIRE_HOURS14">#REF!</definedName>
    <definedName name="WIRE_HOURS15">#REF!</definedName>
    <definedName name="WIRE_HOURS16">#REF!</definedName>
    <definedName name="WIRE_HOURS17">#REF!</definedName>
    <definedName name="WIRE_HOURS18">#REF!</definedName>
    <definedName name="WireRate">#REF!</definedName>
    <definedName name="WireSolderLabor">#REF!</definedName>
    <definedName name="WIRING">#REF!</definedName>
    <definedName name="WIRING..">#REF!</definedName>
    <definedName name="WLineLeader">#REF!</definedName>
    <definedName name="WManufEng">#REF!</definedName>
    <definedName name="WMatHand">#REF!</definedName>
    <definedName name="wnr.pp" hidden="1">{"toto",#N/A,FALSE,"Munka1"}</definedName>
    <definedName name="wntotal" hidden="1">{"Total57010",#N/A,FALSE,"57010";"Total57020",#N/A,FALSE,"57020";"Total57030",#N/A,FALSE,"57030";"Total57031",#N/A,FALSE,"57031";"Total57032",#N/A,FALSE,"57032";"Total57040",#N/A,FALSE,"57040";"Total57041",#N/A,FALSE,"57041";"Total57050",#N/A,FALSE,"57050";"Total57051",#N/A,FALSE,"57051";"Total57060",#N/A,FALSE,"57060";"Total57070",#N/A,FALSE,"57070";"Total57075",#N/A,FALSE,"57075";"Total57100",#N/A,FALSE,"57100";"Total57105",#N/A,FALSE,"57105";"Total57110",#N/A,FALSE,"57110";"Total57115",#N/A,FALSE,"57115";"Total57120",#N/A,FALSE,"57120";"Total57121",#N/A,FALSE,"57121";"Total57125",#N/A,FALSE,"57125";"Total57130",#N/A,FALSE,"57130";"Total57132",#N/A,FALSE,"57132";"Total57136",#N/A,FALSE,"57136";"Total57137",#N/A,FALSE,"57137";"Total57138",#N/A,FALSE,"57138";"Total57140",#N/A,FALSE,"57140";"Total57141",#N/A,FALSE,"57141";"Total57145",#N/A,FALSE,"57145";"Total57147",#N/A,FALSE,"57147";"Total57150",#N/A,FALSE,"57150";"Total57190",#N/A,FALSE,"57190";"Total46116",#N/A,FALSE,"46116";"Total46117",#N/A,FALSE,"46117";"Total46359",#N/A,FALSE,"46359";"Total46360",#N/A,FALSE,"46360";"Total46361",#N/A,FALSE,"46361";"Total46362",#N/A,FALSE,"46362"}</definedName>
    <definedName name="WOH" hidden="1">{"one (KEY)",#N/A,FALSE,"P&amp;L"}</definedName>
    <definedName name="WOpeMgr">#REF!</definedName>
    <definedName name="WORK_AREA">#REF!</definedName>
    <definedName name="WORK1">#REF!</definedName>
    <definedName name="WORK2">#REF!</definedName>
    <definedName name="WORK3">#REF!</definedName>
    <definedName name="WORKGROUPS">#REF!</definedName>
    <definedName name="WorldFair">#N/A</definedName>
    <definedName name="WPackOut">#REF!</definedName>
    <definedName name="Wpreping">#REF!</definedName>
    <definedName name="WProdCtl">#REF!</definedName>
    <definedName name="WProdMgr">#REF!</definedName>
    <definedName name="WProdSup">#REF!</definedName>
    <definedName name="wptlam">#REF!</definedName>
    <definedName name="wptlamloc">#REF!</definedName>
    <definedName name="WQA">#REF!</definedName>
    <definedName name="WQAEng">#REF!</definedName>
    <definedName name="WQCTU">#REF!</definedName>
    <definedName name="wqrqewttrqet" hidden="1">{"'Broadway ML#4'!$J$7:$N$490"}</definedName>
    <definedName name="WQWQW">balance sheet send</definedName>
    <definedName name="wrh" hidden="1">{"Annual",#N/A,FALSE,"Sales &amp; Market";"Quarterly",#N/A,FALSE,"Sales &amp; Market"}</definedName>
    <definedName name="WrkDaypWeek">#REF!</definedName>
    <definedName name="WrkDperWkM">#REF!</definedName>
    <definedName name="wrn" hidden="1">{"one (KEY)",#N/A,FALSE,"P&amp;L"}</definedName>
    <definedName name="wrn.1">#REF!</definedName>
    <definedName name="wrn.Actual._.Data._.Entry." hidden="1">{#N/A,#N/A,FALSE,"Sales"}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{"All",#N/A,FALSE,"Checklist-Scorecard"}</definedName>
    <definedName name="wrn.Annual_n_Quarterly." hidden="1">{"Annual",#N/A,FALSE,"Sales &amp; Market";"Quarterly",#N/A,FALSE,"Sales &amp; Market"}</definedName>
    <definedName name="wrn.AOP96FRF." hidden="1">{#N/A,#N/A,TRUE,"Front Page frf";#N/A,#N/A,TRUE,"Contents frf";#N/A,#N/A,TRUE,"Overhead";#N/A,#N/A,TRUE,"PlantLoad";#N/A,#N/A,TRUE,"AvailableHours";#N/A,#N/A,TRUE,"FAPC  TPL's";#N/A,#N/A,TRUE,"FAPC  Valves";#N/A,#N/A,TRUE,"COGS + W.I.P.";#N/A,#N/A,TRUE,"Material Cost";#N/A,#N/A,TRUE,"Earned Hours";#N/A,#N/A,TRUE,"Direct  Labour  Cost";#N/A,#N/A,TRUE,"Burden";#N/A,#N/A,TRUE,"Scrap";#N/A,#N/A,TRUE,"Manufacturing Admin";#N/A,#N/A,TRUE,"Production Support";#N/A,#N/A,TRUE,"Variance"}</definedName>
    <definedName name="wrn.AOP96USD." hidden="1">{#N/A,#N/A,FALSE,"Front Page $";#N/A,#N/A,FALSE,"Contents $";#N/A,#N/A,FALSE,"Overhead $";#N/A,#N/A,FALSE,"PlantLoad";#N/A,#N/A,FALSE,"AvailableHours";#N/A,#N/A,FALSE,"FAPC  TPL's $";#N/A,#N/A,FALSE,"FAPC  Valves $";#N/A,#N/A,FALSE,"Material Cost $";#N/A,#N/A,FALSE,"Earned Hours";#N/A,#N/A,FALSE,"Direct  Labour  Cost $";#N/A,#N/A,FALSE,"Burden $";#N/A,#N/A,FALSE,"Scrap $";#N/A,#N/A,FALSE,"Manufacturing Admin $";#N/A,#N/A,FALSE,"Production Support $";#N/A,#N/A,FALSE,"LBM $";#N/A,#N/A,FALSE,"Summary $";#N/A,#N/A,FALSE,"Variance"}</definedName>
    <definedName name="wrn.Balance._.Sheet." hidden="1">{"TOTAL",#N/A,FALSE,"Balance Sheet";"SUSASMF",#N/A,FALSE,"Balance Sheet";"SPINE",#N/A,FALSE,"Balance Sheet";"CANADA US",#N/A,FALSE,"Balance Sheet";"ALL ELIM",#N/A,FALSE,"Balance Sheet";"CANADA",#N/A,FALSE,"Balance Sheet"}</definedName>
    <definedName name="wrn.bs9701." hidden="1">{"totbs9701",#N/A,FALSE,"Balance Sheet";"bssusa9701",#N/A,FALSE,"Balance Sheet";"spbs9701",#N/A,FALSE,"Balance Sheet";"cnusbs9701",#N/A,FALSE,"Balance Sheet";"cncnbs9701",#N/A,FALSE,"Balance Sheet";"elimbs9701",#N/A,FALSE,"Balance Sheet"}</definedName>
    <definedName name="wrn.budget." hidden="1">{"budget",#N/A,FALSE,"4011"}</definedName>
    <definedName name="wrn.C.A.R.._.SUPPROTING._.DATA." hidden="1">{#N/A,#N/A,FALSE,"INSTRUCTIONS";#N/A,#N/A,FALSE,"SUB-PROJECT ASSET LISTING";#N/A,#N/A,FALSE,"BENEFITS WORKSHEET";#N/A,#N/A,FALSE,"4 BLOCK FORM";#N/A,#N/A,FALSE,"Finance Summary";#N/A,#N/A,FALSE,"Finance Backup"}</definedName>
    <definedName name="wrn.Cardiac._.Surgery._.Plan._.2000." hidden="1">{#N/A,#N/A,TRUE,"Summary by FY";#N/A,#N/A,TRUE,"PRODUCTMIX ";#N/A,#N/A,TRUE,"Available hrs";#N/A,#N/A,TRUE,"Headcount ";#N/A,#N/A,TRUE,"Summary Spending";#N/A,#N/A,TRUE,"Summary Spend Incl.";#N/A,#N/A,TRUE,"Detail Spending";#N/A,#N/A,TRUE,"DSAvecor";#N/A,#N/A,TRUE,"DScombi";#N/A,#N/A,TRUE,"Capital"}</definedName>
    <definedName name="wrn.CASH._.FLOW." hidden="1">{"total",#N/A,FALSE,"Cash Flow";"susa",#N/A,FALSE,"Cash Flow";"SPINE",#N/A,FALSE,"Cash Flow";"canada",#N/A,FALSE,"Cash Flow";"CF ELIM",#N/A,FALSE,"Cash Flow"}</definedName>
    <definedName name="wrn.cf9701." hidden="1">{"totcf9701",#N/A,FALSE,"Cash Flow";"susa9701",#N/A,FALSE,"Cash Flow";"spine9701",#N/A,FALSE,"Cash Flow";"cnus9701",#N/A,FALSE,"Cash Flow";"elim9701",#N/A,FALSE,"Cash Flow"}</definedName>
    <definedName name="wrn.CFR." hidden="1">{#N/A,#N/A,FALSE,"Op_Stmt";#N/A,#N/A,FALSE,"Consol_Op_Stmt";#N/A,#N/A,FALSE,"rev_summ";#N/A,#N/A,FALSE,"Unit_Summ";#N/A,#N/A,FALSE,"EBIT_summ";#N/A,#N/A,FALSE,"RONA_NetAssets"}</definedName>
    <definedName name="wrn.conpl." hidden="1">{"total",#N/A,FALSE,"PL Cond";"totalusa",#N/A,FALSE,"PL Cond";"susa",#N/A,FALSE,"PL Cond";"smf",#N/A,FALSE,"PL Cond";"spine",#N/A,FALSE,"PL Cond";"spineelm",#N/A,FALSE,"PL Cond";"cndol",#N/A,FALSE,"PL Cond";"cnusa",#N/A,FALSE,"PL Cond";"cnelim",#N/A,FALSE,"PL Cond"}</definedName>
    <definedName name="wrn.detail." hidden="1">{"detail",#N/A,FALSE,"4011"}</definedName>
    <definedName name="wrn.DT_percentages." hidden="1">{"DT_percentages",#N/A,FALSE,"4011"}</definedName>
    <definedName name="wrn.exec." hidden="1">{"cash",#N/A,FALSE,"Executive Summary";"overview",#N/A,FALSE,"Executive Summary"}</definedName>
    <definedName name="wrn.f_v." hidden="1">{"f_v",#N/A,FALSE,"4011"}</definedName>
    <definedName name="wrn.fcst." hidden="1">{"totlg",#N/A,FALSE,"P&amp;L";"lgsusa",#N/A,FALSE,"P&amp;L";"smflg",#N/A,FALSE,"P&amp;L";"spnlg",#N/A,FALSE,"P&amp;L";"spnellg",#N/A,FALSE,"P&amp;L";"cnuslg",#N/A,FALSE,"P&amp;L";"canlg",#N/A,FALSE,"P&amp;L";"cdellg",#N/A,FALSE,"P&amp;L"}</definedName>
    <definedName name="wrn.fcstbs." hidden="1">{"bstotal",#N/A,FALSE,"Balance Sheet";"bssusa",#N/A,FALSE,"Balance Sheet";"bssp",#N/A,FALSE,"Balance Sheet";"bselim",#N/A,FALSE,"Balance Sheet";"bscnus",#N/A,FALSE,"Balance Sheet";"bdcncn",#N/A,FALSE,"Balance Sheet"}</definedName>
    <definedName name="wrn.Forecast." hidden="1">{#N/A,#N/A,FALSE,"Parameters";#N/A,#N/A,FALSE,"Operation Map";#N/A,#N/A,FALSE,"Scorecard";#N/A,#N/A,FALSE,"BU PL";#N/A,#N/A,FALSE,"Detailed BU PL";#N/A,#N/A,FALSE,"Allocations";#N/A,#N/A,FALSE,"Added value";#N/A,#N/A,FALSE,"Quantites";#N/A,#N/A,FALSE,"Investments";#N/A,#N/A,FALSE,"Fixed Assets";#N/A,#N/A,FALSE,"Net BOM forecast";#N/A,#N/A,FALSE,"BS_plan";#N/A,#N/A,FALSE,"Headcount";#N/A,#N/A,FALSE,"Consistence control"}</definedName>
    <definedName name="wrn.Iden." hidden="1">{"motorola Iden",#N/A,FALSE,"RUNRATES"}</definedName>
    <definedName name="wrn.Iden1" hidden="1">{"motorola Iden",#N/A,FALSE,"RUNRATES"}</definedName>
    <definedName name="wrn.inc." hidden="1">{"tot9701",#N/A,FALSE,"PL Cond";"us9701",#N/A,FALSE,"PL Cond";"susa9701",#N/A,FALSE,"PL Cond";"smf9701",#N/A,FALSE,"PL Cond";"spine9701",#N/A,FALSE,"PL Cond";"spelim9701",#N/A,FALSE,"PL Cond";"cnus9701",#N/A,FALSE,"PL Cond";"cncn9701",#N/A,FALSE,"PL Cond";"cnelim9701",#N/A,FALSE,"PL Cond"}</definedName>
    <definedName name="wrn.INCOME." hidden="1">{"All company",#N/A,FALSE,"P&amp;L";"US Cos",#N/A,FALSE,"P&amp;L";"SUSA",#N/A,FALSE,"P&amp;L";"SMF",#N/A,FALSE,"P&amp;L";"SPINE",#N/A,FALSE,"P&amp;L";"SPINE ELIM",#N/A,FALSE,"P&amp;L";"Canada US",#N/A,FALSE,"P&amp;L";"Canada",#N/A,FALSE,"P&amp;L";"Canada Elim",#N/A,FALSE,"P&amp;L"}</definedName>
    <definedName name="wrn.inputsheet." hidden="1">{#N/A,#N/A,FALSE,"Sheet1"}</definedName>
    <definedName name="wrn.MFG._.VARIANCES." hidden="1">{#N/A,#N/A,TRUE,"PERFUSION SYSTEMS ";#N/A,#N/A,TRUE,"ANAHEIM";#N/A,#N/A,TRUE,"EDEN PRAIRIE";#N/A,#N/A,TRUE,"PARKER";#N/A,#N/A,TRUE,"BROOKLYN PARK"}</definedName>
    <definedName name="wrn.MPS." hidden="1">{#N/A,#N/A,FALSE,"F&amp;C Forecast";#N/A,#N/A,FALSE,"MPS";#N/A,#N/A,FALSE,"Persons detailed"}</definedName>
    <definedName name="wrn.NPD._.Transfer._.Checklist." hidden="1">{"NPD Transfer Checklist",#N/A,FALSE,"Checklist-Scorecard"}</definedName>
    <definedName name="wrn.NPI._.Transfer._.Checklist." hidden="1">{"NPI Transfer Checklist",#N/A,FALSE,"Checklist-Scorecard"}</definedName>
    <definedName name="wrn.OPC." hidden="1">{#N/A,#N/A,FALSE,"Duran"}</definedName>
    <definedName name="wrn.OPC1" hidden="1">{#N/A,#N/A,FALSE,"Duran"}</definedName>
    <definedName name="wrn.Plan9800." hidden="1">{#N/A,#N/A,FALSE,"Cover";#N/A,#N/A,FALSE,"Notes";#N/A,#N/A,FALSE,"HC-all";#N/A,#N/A,FALSE,"P&amp;L-all";#N/A,#N/A,FALSE,"Bal-all";#N/A,#N/A,FALSE,"HC-98";#N/A,#N/A,FALSE,"P&amp;L-98";#N/A,#N/A,FALSE,"Bal-98";#N/A,#N/A,FALSE,"HC-99";#N/A,#N/A,FALSE,"P&amp;L-99";#N/A,#N/A,FALSE,"Bal-99";#N/A,#N/A,FALSE,"HC-00";#N/A,#N/A,FALSE,"P&amp;L-00";#N/A,#N/A,FALSE,"Bal-00";#N/A,#N/A,FALSE,"HC-01";#N/A,#N/A,FALSE,"P&amp;L-01";#N/A,#N/A,FALSE,"Bal-01"}</definedName>
    <definedName name="wrn.pp." hidden="1">{"toto",#N/A,FALSE,"Munka1"}</definedName>
    <definedName name="wrn.Print." hidden="1">{"Bob",#N/A,FALSE,"Payments"}</definedName>
    <definedName name="wrn.Print._.All.">#REF!</definedName>
    <definedName name="wrn.Print._.all._.exhibits." hidden="1">{"BS_00",#N/A,FALSE,"Consolidated_BS";"BS_01",#N/A,FALSE,"Consolidated_BS";"BS_02",#N/A,FALSE,"Consolidated_BS";"IS_00",#N/A,FALSE,"Consolidated_IS";"IS_01",#N/A,FALSE,"Consolidated_IS";"IS_02",#N/A,FALSE,"Consolidated_IS";"SanMarcos_00",#N/A,FALSE,"San Marcos_IS";"SanMarcos_01",#N/A,FALSE,"San Marcos_IS";"SanMarcos_02",#N/A,FALSE,"San Marcos_IS";"Hagerstown_00",#N/A,FALSE,"Hagerstown_IS";"Hagerstown_01",#N/A,FALSE,"Hagerstown_IS";"Hagerstown_02",#N/A,FALSE,"Hagerstown_IS";"Corporate_00",#N/A,FALSE,"Corporate_IS";"Corporate_01",#N/A,FALSE,"Corporate_IS";"Corporate_02",#N/A,FALSE,"Corporate_IS";"Cash_Flow_00",#N/A,FALSE,"Consolidated_CashFlow";"Store#3_02",#N/A,FALSE,"Store#3";"Store#3_01",#N/A,FALSE,"Store#3";"Store#4_01",#N/A,FALSE,"Store#4";"Store#4_02",#N/A,FALSE,"Store#4";"Store#5_02",#N/A,FALSE,"Store#5";"Store#6_02",#N/A,FALSE,"Store#6";"San_Marcos_99",#N/A,FALSE,"San Marcos_IS _99";"Corporate_99",#N/A,FALSE,"Corp_IS_99"}</definedName>
    <definedName name="wrn.Print._.all._.workpapers._.and._.exhibits." hidden="1">{"Exhibit 1",#N/A,FALSE,"Rev Exp to 6";"Exhibit 2",#N/A,FALSE,"Rev Exp to 6";#N/A,#N/A,FALSE,"DCF Rev Exp to 6";#N/A,#N/A,FALSE,"Taxdepr rev exp to 6";"Exhibit 1",#N/A,FALSE,"Rev Exp flat 5";"Exhibit 2",#N/A,FALSE,"Rev Exp flat 5";#N/A,#N/A,FALSE,"DCF Rev Exp flat 5";#N/A,#N/A,FALSE,"Taxdepr rev exp flat 5";"Exhibit 1",#N/A,FALSE,"Base to 6";"Exhibit 2",#N/A,FALSE,"Base to 6";#N/A,#N/A,FALSE,"DCF Base to 6";#N/A,#N/A,FALSE,"Taxdepr base to 6";"Exhibit 1",#N/A,FALSE,"Base flat 5";"Exhibit 2",#N/A,FALSE,"Base flat 5";#N/A,#N/A,FALSE,"DCF Base flat 5";#N/A,#N/A,FALSE,"Taxdepr base flat 5";#N/A,#N/A,FALSE,"TM margins"}</definedName>
    <definedName name="wrn.Print._.exhibits._.used._.in._.Report." hidden="1">{#N/A,#N/A,FALSE,"DCF Rev Exp flat 5";"Exhibit 1",#N/A,FALSE,"Rev Exp flat 5";"Exhibit 2",#N/A,FALSE,"Rev Exp flat 5";#N/A,#N/A,FALSE,"DCF Rev Exp to 6";"Exhibit 1",#N/A,FALSE,"Rev Exp to 6";"Exhibit 2",#N/A,FALSE,"Rev Exp to 6"}</definedName>
    <definedName name="wrn.print_all." hidden="1">{#N/A,#N/A,FALSE,"Sales per customer";#N/A,#N/A,FALSE,"FC vs old FC";#N/A,#N/A,FALSE,"Sales deviation summary";#N/A,#N/A,FALSE,"Quantity deviation";#N/A,#N/A,FALSE,"BOM%"}</definedName>
    <definedName name="wrn.Print_all_sheets." hidden="1">{#N/A,#N/A,FALSE,"1374";#N/A,#N/A,FALSE,"1375";#N/A,#N/A,FALSE,"1376";#N/A,#N/A,FALSE,"1377";#N/A,#N/A,FALSE,"1378";#N/A,#N/A,FALSE,"2162";#N/A,#N/A,FALSE,"2750"}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._.check." hidden="1">{#N/A,#N/A,FALSE,"Contents";#N/A,#N/A,FALSE,"FC_vs_Report";#N/A,#N/A,FALSE,"Cumulated_Report";#N/A,#N/A,FALSE,"Inv. turns acc. to Vienna";#N/A,#N/A,FALSE,"Inv. turns. acc. to GM top ind."}</definedName>
    <definedName name="wrn.Scott." hidden="1">{#N/A,#N/A,FALSE,"Summary";#N/A,#N/A,FALSE,"Service";#N/A,#N/A,FALSE,"Carriage";#N/A,#N/A,FALSE,"Backbone"}</definedName>
    <definedName name="wrn.singapore." hidden="1">{"one (KEY)",#N/A,FALSE,"P&amp;L"}</definedName>
    <definedName name="wrn.singapore.mech" hidden="1">{"one (KEY)",#N/A,FALSE,"P&amp;L"}</definedName>
    <definedName name="wrn.singapure1" hidden="1">{"one (KEY)",#N/A,FALSE,"P&amp;L"}</definedName>
    <definedName name="wrn.Spread." hidden="1">{"Spread57010",#N/A,FALSE,"57010";"Spread57020",#N/A,FALSE,"57020";"Spread57030",#N/A,FALSE,"57030";"Spread57031",#N/A,FALSE,"57031";"Spread57032",#N/A,FALSE,"57032";"Spread57040",#N/A,FALSE,"57040";"Spread57041",#N/A,FALSE,"57041";"Spread57050",#N/A,FALSE,"57050";"Spread57051",#N/A,FALSE,"57051";"Spread57060",#N/A,FALSE,"57060";"Spread57070",#N/A,FALSE,"57070";"Spread57075",#N/A,FALSE,"57075";"Spread57100",#N/A,FALSE,"57100";"Spread57105",#N/A,FALSE,"57105";"Spread57110",#N/A,FALSE,"57110";"Spread57115",#N/A,FALSE,"57115";"Spread57120",#N/A,FALSE,"57120";"Spread57121",#N/A,FALSE,"57121";"Spread57125",#N/A,FALSE,"57125";"Spread57130",#N/A,FALSE,"57130";"Spread57132",#N/A,FALSE,"57132";"Spread57136",#N/A,FALSE,"57136";"Spread57137",#N/A,FALSE,"57137";"Spread57138",#N/A,FALSE,"57138";"Spread57140",#N/A,FALSE,"57140";"Spread57141",#N/A,FALSE,"57141";"Spread57145",#N/A,FALSE,"57145";"Spread57147",#N/A,FALSE,"57147";"Spread57150",#N/A,FALSE,"57150";"Spread57190",#N/A,FALSE,"57190";"Spread46116",#N/A,FALSE,"46116";"Spread46117",#N/A,FALSE,"46117";"Spread46359",#N/A,FALSE,"46359";"Spread46360",#N/A,FALSE,"46360";"Spread46361",#N/A,FALSE,"46361";"Spread46362",#N/A,FALSE,"46362"}</definedName>
    <definedName name="wrn.STAND._.PACK." hidden="1">{#N/A,#N/A,FALSE,"new units";#N/A,#N/A,FALSE,"existing units";#N/A,#N/A,FALSE,"general assumptions";#N/A,#N/A,FALSE,"P&amp;L summary";#N/A,#N/A,FALSE,"Cash Flow for New";#N/A,#N/A,FALSE,"Cash Flow for Existing";#N/A,#N/A,FALSE,"Summary";#N/A,#N/A,FALSE,"Analysis"}</definedName>
    <definedName name="wrn.Test." hidden="1">{"Jabil - Personal View",#N/A,FALSE,"Passives"}</definedName>
    <definedName name="wrn.Total." hidden="1">{"Sales",#N/A,FALSE,"Sales";"Years",#N/A,FALSE,"IS";"Budget",#N/A,FALSE,"IS";"BS and CF",#N/A,FALSE,"BS and CF";"Department",#N/A,FALSE,"Dept";"Staff",#N/A,FALSE,"Staff";"Capital",#N/A,FALSE,"Capital Adds"}</definedName>
    <definedName name="wrn.Totals." hidden="1">{"Total57010",#N/A,FALSE,"57010";"Total57020",#N/A,FALSE,"57020";"Total57030",#N/A,FALSE,"57030";"Total57031",#N/A,FALSE,"57031";"Total57032",#N/A,FALSE,"57032";"Total57040",#N/A,FALSE,"57040";"Total57041",#N/A,FALSE,"57041";"Total57050",#N/A,FALSE,"57050";"Total57051",#N/A,FALSE,"57051";"Total57060",#N/A,FALSE,"57060";"Total57070",#N/A,FALSE,"57070";"Total57075",#N/A,FALSE,"57075";"Total57100",#N/A,FALSE,"57100";"Total57105",#N/A,FALSE,"57105";"Total57110",#N/A,FALSE,"57110";"Total57115",#N/A,FALSE,"57115";"Total57120",#N/A,FALSE,"57120";"Total57121",#N/A,FALSE,"57121";"Total57125",#N/A,FALSE,"57125";"Total57130",#N/A,FALSE,"57130";"Total57132",#N/A,FALSE,"57132";"Total57136",#N/A,FALSE,"57136";"Total57137",#N/A,FALSE,"57137";"Total57138",#N/A,FALSE,"57138";"Total57140",#N/A,FALSE,"57140";"Total57141",#N/A,FALSE,"57141";"Total57145",#N/A,FALSE,"57145";"Total57147",#N/A,FALSE,"57147";"Total57150",#N/A,FALSE,"57150";"Total57190",#N/A,FALSE,"57190";"Total46116",#N/A,FALSE,"46116";"Total46117",#N/A,FALSE,"46117";"Total46359",#N/A,FALSE,"46359";"Total46360",#N/A,FALSE,"46360";"Total46361",#N/A,FALSE,"46361";"Total46362",#N/A,FALSE,"46362"}</definedName>
    <definedName name="wrng" hidden="1">{"one (KEY)",#N/A,FALSE,"P&amp;L"}</definedName>
    <definedName name="WRNM2" hidden="1">{"one (KEY)",#N/A,FALSE,"P&amp;L"}</definedName>
    <definedName name="wrnprint1" hidden="1">{#N/A,#N/A,FALSE,"Financial";#N/A,#N/A,FALSE,"Balance Sheet";#N/A,#N/A,FALSE,"Income stmt";#N/A,#N/A,FALSE,"Ratio"}</definedName>
    <definedName name="wrr.pp" hidden="1">{"toto",#N/A,FALSE,"Munka1"}</definedName>
    <definedName name="wryrtu" hidden="1">{"Jabil - Personal View",#N/A,FALSE,"Passives"}</definedName>
    <definedName name="WSMTEng">#REF!</definedName>
    <definedName name="WSMTMachT">#REF!</definedName>
    <definedName name="WSMTOper">#REF!</definedName>
    <definedName name="WSUST">#REF!</definedName>
    <definedName name="WTable">#REF!</definedName>
    <definedName name="wtdads">#REF!</definedName>
    <definedName name="WTestEng">#REF!</definedName>
    <definedName name="WTestT">#REF!</definedName>
    <definedName name="WTWarranty">#REF!</definedName>
    <definedName name="wtyrty" hidden="1">{"one (KEY)",#N/A,FALSE,"P&amp;L"}</definedName>
    <definedName name="ww" hidden="1">{"'Broadway ML#4'!$J$7:$N$490"}</definedName>
    <definedName name="ww_" hidden="1">{"'Broadway ML#4'!$J$7:$N$490"}</definedName>
    <definedName name="WWave">#REF!</definedName>
    <definedName name="WWaveT">#REF!</definedName>
    <definedName name="wwe" hidden="1">{#N/A,#N/A,FALSE,"Sales"}</definedName>
    <definedName name="WWIT">#REF!</definedName>
    <definedName name="WWPRICZ">#REF!</definedName>
    <definedName name="www" hidden="1">#REF!</definedName>
    <definedName name="WWWW">balance sheet send</definedName>
    <definedName name="wwwww" hidden="1">{"one (KEY)",#N/A,FALSE,"P&amp;L"}</definedName>
    <definedName name="WWWWWW" hidden="1">{"Annual",#N/A,FALSE,"Sales &amp; Market";"Quarterly",#N/A,FALSE,"Sales &amp; Market"}</definedName>
    <definedName name="wwwwwww" hidden="1">{"one (KEY)",#N/A,FALSE,"P&amp;L"}</definedName>
    <definedName name="wwwwwwwwwwww" hidden="1">{"'Broadway ML#4'!$J$7:$N$490"}</definedName>
    <definedName name="WWWWWWWWWWWWWWWWWWWW">balance sheet send</definedName>
    <definedName name="x" localSheetId="1">#REF!</definedName>
    <definedName name="X" hidden="1">{#N/A,#N/A,TRUE,"index";#N/A,#N/A,TRUE,"Summary";#N/A,#N/A,TRUE,"Continuing Business";#N/A,#N/A,TRUE,"Disposals";#N/A,#N/A,TRUE,"Acquisitions";#N/A,#N/A,TRUE,"Actual &amp; Plan Reconciliation"}</definedName>
    <definedName name="X_DoneDate">#REF!</definedName>
    <definedName name="xaxis" hidden="1">#REF!</definedName>
    <definedName name="xbox">#N/A</definedName>
    <definedName name="xc1h8" hidden="1">#REF!</definedName>
    <definedName name="xc3h1" hidden="1">#REF!</definedName>
    <definedName name="xcf" hidden="1">{#N/A,#N/A,FALSE,"Sales"}</definedName>
    <definedName name="XCVBXCBN">balance sheet send</definedName>
    <definedName name="Xfer">#REF!</definedName>
    <definedName name="XLOPTvec">"12 14 1 125 1 0 1 1 1 1 1 1 0 0 0 0 0 0 0 0"</definedName>
    <definedName name="XMTExcessInventory1252">#N/A</definedName>
    <definedName name="xoplhjn" hidden="1">{#N/A,#N/A,FALSE,"Contents";#N/A,#N/A,FALSE,"FC_vs_Report";#N/A,#N/A,FALSE,"Cumulated_Report";#N/A,#N/A,FALSE,"Inv. turns acc. to Vienna";#N/A,#N/A,FALSE,"Inv. turns. acc. to GM top ind."}</definedName>
    <definedName name="XRay2D">#REF!</definedName>
    <definedName name="XRAYCust">#REF!</definedName>
    <definedName name="XrayLabor">#REF!</definedName>
    <definedName name="XrayRate">#REF!</definedName>
    <definedName name="XRAYYN">#REF!</definedName>
    <definedName name="XREF_COLUMN_1" hidden="1">#REF!</definedName>
    <definedName name="XREF_COLUMN_2" hidden="1">#REF!</definedName>
    <definedName name="XREF_COLUMN_3" hidden="1">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4" hidden="1">#REF!</definedName>
    <definedName name="XRefCopy5Row" hidden="1">#REF!</definedName>
    <definedName name="XRefCopy6Row" hidden="1">#REF!</definedName>
    <definedName name="XRefCopy7Row" hidden="1">#REF!</definedName>
    <definedName name="XRefCopy8Row" hidden="1">#REF!</definedName>
    <definedName name="XRefCopy9Row" hidden="1">#REF!</definedName>
    <definedName name="XRefCopyRangeCount" hidden="1">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RangeCount" hidden="1">1</definedName>
    <definedName name="xx">#REF!</definedName>
    <definedName name="xxrtgy" hidden="1">{"totcf9701",#N/A,FALSE,"Cash Flow";"susa9701",#N/A,FALSE,"Cash Flow";"spine9701",#N/A,FALSE,"Cash Flow";"cnus9701",#N/A,FALSE,"Cash Flow";"elim9701",#N/A,FALSE,"Cash Flow"}</definedName>
    <definedName name="xxx" hidden="1">{#N/A,#N/A,FALSE,"F&amp;C Forecast";#N/A,#N/A,FALSE,"MPS";#N/A,#N/A,FALSE,"Persons detailed"}</definedName>
    <definedName name="xxxxxxxxx" hidden="1">{"'Broadway ML#4'!$J$7:$N$490"}</definedName>
    <definedName name="xxxxxxxxxxxxxxxxxxx" hidden="1">{"'Broadway ML#4'!$J$7:$N$490"}</definedName>
    <definedName name="XXXXXXXXXXXXXXXXXXXXX">balance sheet send</definedName>
    <definedName name="xy" hidden="1">{"totcf9701",#N/A,FALSE,"Cash Flow";"susa9701",#N/A,FALSE,"Cash Flow";"spine9701",#N/A,FALSE,"Cash Flow";"cnus9701",#N/A,FALSE,"Cash Flow";"elim9701",#N/A,FALSE,"Cash Flow"}</definedName>
    <definedName name="xyz" hidden="1">{"TOTAL",#N/A,FALSE,"Balance Sheet";"SUSASMF",#N/A,FALSE,"Balance Sheet";"SPINE",#N/A,FALSE,"Balance Sheet";"CANADA US",#N/A,FALSE,"Balance Sheet";"ALL ELIM",#N/A,FALSE,"Balance Sheet";"CANADA",#N/A,FALSE,"Balance Sheet"}</definedName>
    <definedName name="xyz235" hidden="1">{"totlg",#N/A,FALSE,"P&amp;L";"lgsusa",#N/A,FALSE,"P&amp;L";"smflg",#N/A,FALSE,"P&amp;L";"spnlg",#N/A,FALSE,"P&amp;L";"spnellg",#N/A,FALSE,"P&amp;L";"cnuslg",#N/A,FALSE,"P&amp;L";"canlg",#N/A,FALSE,"P&amp;L";"cdellg",#N/A,FALSE,"P&amp;L"}</definedName>
    <definedName name="xz" hidden="1">{"'Broadway ML#4'!$J$7:$N$490"}</definedName>
    <definedName name="y">#REF!</definedName>
    <definedName name="year">#REF!</definedName>
    <definedName name="YearsOfDep">#REF!</definedName>
    <definedName name="yetw" hidden="1">{"Jabil - Personal View",#N/A,FALSE,"Passives"}</definedName>
    <definedName name="yexuan" hidden="1">{"one (KEY)",#N/A,FALSE,"P&amp;L"}</definedName>
    <definedName name="yexuan07" hidden="1">{"one (KEY)",#N/A,FALSE,"P&amp;L"}</definedName>
    <definedName name="yhrth">#REF!</definedName>
    <definedName name="yhy" hidden="1">{"'Broadway ML#4'!$J$7:$N$490"}</definedName>
    <definedName name="yield">0.97</definedName>
    <definedName name="yifat" hidden="1">{#N/A,#N/A,FALSE,"Sales per customer";#N/A,#N/A,FALSE,"FC vs old FC";#N/A,#N/A,FALSE,"Sales deviation summary";#N/A,#N/A,FALSE,"Quantity deviation";#N/A,#N/A,FALSE,"BOM%"}</definedName>
    <definedName name="yiitiyi">#REF!</definedName>
    <definedName name="yj" hidden="1">#REF!</definedName>
    <definedName name="yjhrtjyr">#REF!</definedName>
    <definedName name="yji" hidden="1">{#N/A,#N/A,FALSE,"Summary";#N/A,#N/A,FALSE,"Service";#N/A,#N/A,FALSE,"Carriage";#N/A,#N/A,FALSE,"Backbone"}</definedName>
    <definedName name="yl" hidden="1">{#N/A,#N/A,FALSE,"Summary";#N/A,#N/A,FALSE,"Service";#N/A,#N/A,FALSE,"Carriage";#N/A,#N/A,FALSE,"Backbone"}</definedName>
    <definedName name="yretyrty">balance sheet send</definedName>
    <definedName name="yrty" hidden="1">{"Jabil - Personal View",#N/A,FALSE,"Passives"}</definedName>
    <definedName name="yrtyrt" hidden="1">{"one (KEY)",#N/A,FALSE,"P&amp;L"}</definedName>
    <definedName name="yrtyrty">balance sheet send</definedName>
    <definedName name="yru" hidden="1">{"Jabil - Personal View",#N/A,FALSE,"Passives"}</definedName>
    <definedName name="YTDEur">#N/A</definedName>
    <definedName name="ythyjy" hidden="1">#REF!</definedName>
    <definedName name="ytr" hidden="1">{"Jabil - Personal View",#N/A,FALSE,"Passives"}</definedName>
    <definedName name="YTREW">balance sheet send</definedName>
    <definedName name="ytrey" hidden="1">{"Jabil - Personal View",#N/A,FALSE,"Passives"}</definedName>
    <definedName name="ytrutyutyu" hidden="1">{"one (KEY)",#N/A,FALSE,"P&amp;L"}</definedName>
    <definedName name="ytryrty" hidden="1">{"Jabil - Personal View",#N/A,FALSE,"Passives"}</definedName>
    <definedName name="yturtyuu" hidden="1">{"Jabil - Personal View",#N/A,FALSE,"Passives"}</definedName>
    <definedName name="ytwe" hidden="1">{"Jabil - Personal View",#N/A,FALSE,"Passives"}</definedName>
    <definedName name="ytwyr" hidden="1">{"Jabil - Personal View",#N/A,FALSE,"Passives"}</definedName>
    <definedName name="yty" hidden="1">{"'Broadway ML#4'!$J$7:$N$490"}</definedName>
    <definedName name="YTYRTY5T6">balance sheet send</definedName>
    <definedName name="yukbjhgj">#REF!</definedName>
    <definedName name="yukfyukuk" hidden="1">#REF!</definedName>
    <definedName name="yukj" hidden="1">#REF!</definedName>
    <definedName name="yy" hidden="1">{"'Broadway ML#4'!$J$7:$N$490"}</definedName>
    <definedName name="yyy" hidden="1">{"'Broadway ML#4'!$J$7:$N$490"}</definedName>
    <definedName name="yyyy" hidden="1">{"Jabil - Personal View",#N/A,FALSE,"Passives"}</definedName>
    <definedName name="YYYYYYYYYYYYYYYYYYYYYYYY">balance sheet send</definedName>
    <definedName name="z">#REF!</definedName>
    <definedName name="Z_00A33ED3_6B57_4103_B16D_640921E7D484_.wvu.FilterData" hidden="1">#REF!</definedName>
    <definedName name="Z_00A33ED3_6B57_4103_B16D_640921E7D484_.wvu.PrintArea" hidden="1">#REF!</definedName>
    <definedName name="Z_02C69DFD_E119_449A_B45D_4EE40E6058DC_.wvu.PrintArea" hidden="1">#REF!</definedName>
    <definedName name="Z_03534BD4_C0C8_48CF_9D91_34C29072B542_.wvu.FilterData" hidden="1">#REF!</definedName>
    <definedName name="Z_03534BD4_C0C8_48CF_9D91_34C29072B542_.wvu.PrintArea" hidden="1">#REF!</definedName>
    <definedName name="Z_076B109D_CE0A_40C5_BB48_0B5A0955FCD1_.wvu.PrintArea" hidden="1">#REF!</definedName>
    <definedName name="Z_0D5E2611_8540_4D7D_B018_C3BBFE156EA4_.wvu.Cols" hidden="1">#REF!</definedName>
    <definedName name="Z_0D5E2611_8540_4D7D_B018_C3BBFE156EA4_.wvu.FilterData" hidden="1">#REF!</definedName>
    <definedName name="Z_0F587A09_3B67_42BA_B531_8AE439C30BBB_.wvu.Cols" hidden="1">#REF!,#REF!,#REF!</definedName>
    <definedName name="Z_0F587A09_3B67_42BA_B531_8AE439C30BBB_.wvu.PrintArea" hidden="1">#REF!</definedName>
    <definedName name="Z_0F587A09_3B67_42BA_B531_8AE439C30BBB_.wvu.PrintTitles" hidden="1">#REF!</definedName>
    <definedName name="Z_17B4EB61_54AF_4CB8_93EC_BF7105A9D2F2_.wvu.Cols" hidden="1">#REF!,#REF!,#REF!</definedName>
    <definedName name="Z_17B4EB61_54AF_4CB8_93EC_BF7105A9D2F2_.wvu.PrintArea" hidden="1">#REF!</definedName>
    <definedName name="Z_17B4EB61_54AF_4CB8_93EC_BF7105A9D2F2_.wvu.Rows" hidden="1">#REF!</definedName>
    <definedName name="Z_1B408685_B0BB_4DB1_A0D1_D66854222B87_.wvu.PrintArea" hidden="1">#REF!</definedName>
    <definedName name="Z_243188E0_F983_4507_93AD_B7EA4368FB27_.wvu.Cols" hidden="1">#REF!</definedName>
    <definedName name="Z_29455CFE_3BE7_4B73_A40E_A25C6D1B96DB_.wvu.FilterData" hidden="1">#REF!</definedName>
    <definedName name="Z_29455CFE_3BE7_4B73_A40E_A25C6D1B96DB_.wvu.PrintArea" hidden="1">#REF!</definedName>
    <definedName name="Z_29455CFE_3BE7_4B73_A40E_A25C6D1B96DB_.wvu.PrintTitles" hidden="1">#REF!</definedName>
    <definedName name="Z_29DFD505_AB12_41D8_99E5_08C0FFB016FE_.wvu.Cols" hidden="1">#REF!</definedName>
    <definedName name="Z_29DFD505_AB12_41D8_99E5_08C0FFB016FE_.wvu.Rows" hidden="1">#REF!,#REF!</definedName>
    <definedName name="Z_2E85AAC3_6E0B_435E_A24E_6A10EC928F4B_.wvu.FilterData" hidden="1">#REF!</definedName>
    <definedName name="Z_2E85AAC3_6E0B_435E_A24E_6A10EC928F4B_.wvu.PrintArea" hidden="1">#REF!</definedName>
    <definedName name="Z_40A4F605_8405_423A_930A_0F336497F197_.wvu.Cols" hidden="1">#REF!,#REF!,#REF!</definedName>
    <definedName name="Z_40A4F605_8405_423A_930A_0F336497F197_.wvu.PrintArea" hidden="1">#REF!</definedName>
    <definedName name="Z_46736985_C9E0_483B_8FD4_B007E3EAEDF5_.wvu.Cols" hidden="1">#REF!,#REF!,#REF!</definedName>
    <definedName name="Z_46736985_C9E0_483B_8FD4_B007E3EAEDF5_.wvu.FilterData" hidden="1">#REF!</definedName>
    <definedName name="Z_46736985_C9E0_483B_8FD4_B007E3EAEDF5_.wvu.PrintTitles" hidden="1">#REF!</definedName>
    <definedName name="Z_4808CB08_DBC0_4874_812A_ADEE761CDBD4_.wvu.FilterData" hidden="1">#REF!</definedName>
    <definedName name="Z_495124C1_1982_48F9_B11C_7E66F49987BA_.wvu.Cols" hidden="1">#REF!</definedName>
    <definedName name="Z_495124C1_1982_48F9_B11C_7E66F49987BA_.wvu.FilterData" hidden="1">#REF!</definedName>
    <definedName name="Z_495124C1_1982_48F9_B11C_7E66F49987BA_.wvu.PrintArea" hidden="1">#REF!</definedName>
    <definedName name="Z_495124C1_1982_48F9_B11C_7E66F49987BA_.wvu.PrintTitles" hidden="1">#REF!</definedName>
    <definedName name="Z_495124C1_1982_48F9_B11C_7E66F49987BA_.wvu.Rows" hidden="1">#REF!</definedName>
    <definedName name="Z_4999CF3B_7DEB_4CB5_A01D_4DB9AF248FF1_.wvu.Cols" hidden="1">#REF!,#REF!</definedName>
    <definedName name="Z_4999CF3B_7DEB_4CB5_A01D_4DB9AF248FF1_.wvu.Rows" hidden="1">#REF!,#REF!,#REF!,#REF!,#REF!,#REF!,#REF!,#REF!,#REF!,#REF!,#REF!,#REF!,#REF!</definedName>
    <definedName name="Z_4C7B2C1C_EB51_42E4_8F5A_4A68F0B6E5AB_.wvu.FilterData" hidden="1">#REF!</definedName>
    <definedName name="Z_4C7B2C1C_EB51_42E4_8F5A_4A68F0B6E5AB_.wvu.PrintArea" hidden="1">#REF!</definedName>
    <definedName name="Z_4FEE6320_E2D4_42F2_AE33_EB2B6AA184C0_.wvu.FilterData" hidden="1">#REF!</definedName>
    <definedName name="Z_4FEE6320_E2D4_42F2_AE33_EB2B6AA184C0_.wvu.PrintArea" hidden="1">#REF!</definedName>
    <definedName name="Z_4FEE6320_E2D4_42F2_AE33_EB2B6AA184C0_.wvu.Rows" hidden="1">#REF!,#REF!,#REF!</definedName>
    <definedName name="Z_50C20AE6_DCD0_11D5_AE8F_00B0D040439A_.wvu.Rows" hidden="1">#REF!,#REF!,#REF!</definedName>
    <definedName name="Z_51E71751_E4C8_4326_B8F5_9124454FB1D1_.wvu.Cols" hidden="1">#REF!</definedName>
    <definedName name="Z_51E71751_E4C8_4326_B8F5_9124454FB1D1_.wvu.PrintArea" hidden="1">#REF!</definedName>
    <definedName name="Z_54413F47_F8C3_4618_B998_9B088E9E4AC3_.wvu.Cols" hidden="1">#REF!</definedName>
    <definedName name="Z_54413F47_F8C3_4618_B998_9B088E9E4AC3_.wvu.PrintArea" hidden="1">#REF!</definedName>
    <definedName name="Z_54413F47_F8C3_4618_B998_9B088E9E4AC3_.wvu.Rows" hidden="1">#REF!</definedName>
    <definedName name="Z_556C9DAB_4278_4A4A_9175_A5496D6E07B9_.wvu.Rows" hidden="1">#REF!,#REF!,#REF!,#REF!,#REF!,#REF!,#REF!</definedName>
    <definedName name="Z_5D821F34_E35E_4FD6_90BF_036D11B788F7_.wvu.FilterData" hidden="1">#REF!</definedName>
    <definedName name="Z_5D821F34_E35E_4FD6_90BF_036D11B788F7_.wvu.PrintArea" hidden="1">#REF!</definedName>
    <definedName name="Z_5D821F34_E35E_4FD6_90BF_036D11B788F7_.wvu.Rows" hidden="1">#REF!,#REF!,#REF!,#REF!,#REF!,#REF!,#REF!</definedName>
    <definedName name="Z_5DDFC5D6_DA71_45E1_B85A_348A7A900440_.wvu.FilterData" hidden="1">#REF!</definedName>
    <definedName name="Z_608C76C7_8DF0_46D8_98B7_8F31D27BB28A_.wvu.FilterData" hidden="1">#REF!</definedName>
    <definedName name="Z_608C76C7_8DF0_46D8_98B7_8F31D27BB28A_.wvu.PrintArea" hidden="1">#REF!</definedName>
    <definedName name="Z_62570EF0_2A8B_4616_AB88_99332B2385B1_.wvu.Cols" hidden="1">#REF!</definedName>
    <definedName name="Z_62570EF0_2A8B_4616_AB88_99332B2385B1_.wvu.PrintArea" hidden="1">#REF!</definedName>
    <definedName name="Z_62570EF0_2A8B_4616_AB88_99332B2385B1_.wvu.Rows" hidden="1">#REF!</definedName>
    <definedName name="Z_67B06240_72C5_46D7_BB10_3D6A89967F48_.wvu.FilterData" hidden="1">#REF!</definedName>
    <definedName name="Z_6C3F89CA_B38D_4B69_ABD5_C09E3CC43BF4_.wvu.FilterData" hidden="1">#REF!</definedName>
    <definedName name="Z_6C3F89CA_B38D_4B69_ABD5_C09E3CC43BF4_.wvu.PrintArea" hidden="1">#REF!</definedName>
    <definedName name="Z_6C7D9B8E_E236_4AAB_9CFA_2468E0E46935_.wvu.PrintArea" hidden="1">#REF!</definedName>
    <definedName name="Z_75D039F0_2D0D_4A49_B6CF_4B0DD43386E4_.wvu.Cols" hidden="1">#REF!,#REF!,#REF!</definedName>
    <definedName name="Z_75D039F0_2D0D_4A49_B6CF_4B0DD43386E4_.wvu.PrintArea" hidden="1">#REF!</definedName>
    <definedName name="Z_75D039F0_2D0D_4A49_B6CF_4B0DD43386E4_.wvu.Rows" hidden="1">#REF!</definedName>
    <definedName name="Z_79F36A35_7F74_4F76_9281_4F6C8BFD6461_.wvu.FilterData" hidden="1">#REF!</definedName>
    <definedName name="Z_79F36A35_7F74_4F76_9281_4F6C8BFD6461_.wvu.PrintArea" hidden="1">#REF!</definedName>
    <definedName name="Z_82770500_9B7F_4129_8225_0E1C8205EDBA_.wvu.FilterData" hidden="1">#REF!</definedName>
    <definedName name="Z_837129F4_1BE0_4FC8_AB0A_EEF52165424C_.wvu.PrintArea" hidden="1">#REF!</definedName>
    <definedName name="Z_8AEFFCCD_BBB0_43D5_8477_54F36DF7EF08_.wvu.Rows" hidden="1">#REF!,#REF!,#REF!,#REF!,#REF!,#REF!,#REF!</definedName>
    <definedName name="Z_91DADA98_0EC5_4FB5_986D_DFDBE3D25E8B_.wvu.PrintArea" hidden="1">#REF!</definedName>
    <definedName name="Z_9771A54E_68E2_4C67_8F41_C79904EA4E0D_.wvu.PrintArea" hidden="1">#REF!</definedName>
    <definedName name="Z_A5445831_8E91_49E5_AC58_4E703549E6B2_.wvu.PrintArea" hidden="1">#REF!</definedName>
    <definedName name="Z_A62D3D50_BECC_4221_9BF5_8844773A953C_.wvu.PrintArea" hidden="1">#REF!</definedName>
    <definedName name="Z_B5DED017_78FD_4E52_9EB8_EDE61EB3D2DA_.wvu.FilterData" hidden="1">#REF!</definedName>
    <definedName name="Z_B68CF227_4B8C_4A80_899D_0F46C30FA38D_.wvu.Cols" hidden="1">#REF!</definedName>
    <definedName name="Z_B68CF227_4B8C_4A80_899D_0F46C30FA38D_.wvu.PrintArea" hidden="1">#REF!</definedName>
    <definedName name="Z_B68CF227_4B8C_4A80_899D_0F46C30FA38D_.wvu.Rows" hidden="1">#REF!</definedName>
    <definedName name="Z_BD1B612E_7EB1_4E19_920D_D886E886B084_.wvu.Cols" hidden="1">#REF!</definedName>
    <definedName name="Z_C18BB842_C48A_4C19_ADCC_EE05DCAD9996_.wvu.Rows" hidden="1">#REF!,#REF!,#REF!,#REF!,#REF!,#REF!,#REF!</definedName>
    <definedName name="Z_C1AF3723_5E2D_43E7_83FC_134B9968E442_.wvu.Rows" hidden="1">#REF!,#REF!,#REF!,#REF!,#REF!,#REF!,#REF!</definedName>
    <definedName name="Z_C5879514_AB71_4505_878A_989004714A60_.wvu.PrintArea" hidden="1">#REF!</definedName>
    <definedName name="Z_C5879514_AB71_4505_878A_989004714A60_.wvu.Rows" hidden="1">#REF!</definedName>
    <definedName name="Z_CEC67DC8_D965_43C9_9712_6C367EA34FC1_.wvu.PrintArea" hidden="1">#REF!</definedName>
    <definedName name="Z_D26A6D9E_8300_475B_8B99_FB2BC936125C_.wvu.Cols" hidden="1">#REF!</definedName>
    <definedName name="Z_D26A6D9E_8300_475B_8B99_FB2BC936125C_.wvu.FilterData" hidden="1">#REF!</definedName>
    <definedName name="Z_D32FFCD9_4DD9_4EA4_8E11_7AB16A5FF0C0_.wvu.FilterData" hidden="1">#REF!</definedName>
    <definedName name="Z_D32FFCD9_4DD9_4EA4_8E11_7AB16A5FF0C0_.wvu.PrintArea" hidden="1">#REF!</definedName>
    <definedName name="Z_D7930118_F9AB_47ED_A5E4_3A6D983B1E26_.wvu.PrintArea" hidden="1">#REF!</definedName>
    <definedName name="Z_DE34F933_DDF8_4889_825C_C7EA08A727D7_.wvu.PrintArea" hidden="1">#REF!</definedName>
    <definedName name="Z_E283BE31_7A90_4BE6_9BEF_2FE0FF25B39E_.wvu.FilterData" hidden="1">#REF!</definedName>
    <definedName name="Z_E283BE31_7A90_4BE6_9BEF_2FE0FF25B39E_.wvu.PrintArea" hidden="1">#REF!</definedName>
    <definedName name="Z_E642C622_7D5D_41E5_AFB0_AD93E3EB4E2F_.wvu.FilterData" hidden="1">#REF!</definedName>
    <definedName name="Z_E642C622_7D5D_41E5_AFB0_AD93E3EB4E2F_.wvu.PrintArea" hidden="1">#REF!</definedName>
    <definedName name="Z_E67AC010_E4C4_4904_8731_CFEF56589C29_.wvu.PrintArea" hidden="1">#REF!</definedName>
    <definedName name="Z_EA259D31_77AB_4B5E_873F_B1E3D93B9B3A_.wvu.PrintArea" hidden="1">#REF!</definedName>
    <definedName name="Z_EA259D31_77AB_4B5E_873F_B1E3D93B9B3A_.wvu.Rows" hidden="1">#REF!,#REF!,#REF!,#REF!,#REF!,#REF!,#REF!</definedName>
    <definedName name="Z_EB9E27DD_D24B_48D0_AC0C_5BAA1EA33DBC_.wvu.PrintArea" hidden="1">#REF!</definedName>
    <definedName name="Z_EDF4D96E_3275_4B5C_B871_2C6586613335_.wvu.Cols" hidden="1">#REF!,#REF!</definedName>
    <definedName name="Z_EF011C65_8AD2_49B4_B4E7_28F0C551BB52_.wvu.Cols" hidden="1">#REF!,#REF!,#REF!,#REF!,#REF!,#REF!,#REF!,#REF!,#REF!,#REF!,#REF!,#REF!,#REF!,#REF!,#REF!,#REF!,#REF!,#REF!,#REF!,#REF!,#REF!,#REF!,#REF!,#REF!,#REF!,#REF!,#REF!,#REF!,#REF!,#REF!,#REF!,#REF!,#REF!,#REF!,#REF!,#REF!</definedName>
    <definedName name="Z_EF011C65_8AD2_49B4_B4E7_28F0C551BB52_.wvu.FilterData" hidden="1">#REF!</definedName>
    <definedName name="Z_EF011C65_8AD2_49B4_B4E7_28F0C551BB52_.wvu.PrintArea" hidden="1">#REF!</definedName>
    <definedName name="Z_EF011C65_8AD2_49B4_B4E7_28F0C551BB52_.wvu.Rows" hidden="1">#REF!</definedName>
    <definedName name="Z_EF306555_6559_419B_86A0_519EE02F7546_.wvu.Cols" hidden="1">#REF!</definedName>
    <definedName name="Z_EF306555_6559_419B_86A0_519EE02F7546_.wvu.FilterData" hidden="1">#REF!</definedName>
    <definedName name="Z_F06D8164_C232_11D5_BBE2_000629F56F92_.wvu.PrintArea" hidden="1">#REF!</definedName>
    <definedName name="Z_F26B375B_F558_4F51_84F9_F22B55637322_.wvu.Cols" hidden="1">#REF!</definedName>
    <definedName name="Z_F26B375B_F558_4F51_84F9_F22B55637322_.wvu.FilterData" hidden="1">#REF!</definedName>
    <definedName name="Z_FBAC7267_AAC2_41E4_B4B8_3C859730A303_.wvu.PrintArea" hidden="1">#REF!</definedName>
    <definedName name="Z_FBAC7267_AAC2_41E4_B4B8_3C859730A303_.wvu.PrintTitles" hidden="1">#REF!</definedName>
    <definedName name="Z_FCC5F366_5617_462B_A541_ADEC743631B5_.wvu.FilterData" hidden="1">#REF!</definedName>
    <definedName name="Z_FDFBAF35_78D7_41D5_8CBE_0B11A153FAF7_.wvu.PrintArea" hidden="1">#REF!</definedName>
    <definedName name="za" hidden="1">{"'Broadway ML#4'!$J$7:$N$490"}</definedName>
    <definedName name="zkdkd" hidden="1">{"one (KEY)",#N/A,FALSE,"P&amp;L"}</definedName>
    <definedName name="zmncvvb" hidden="1">{"one (KEY)",#N/A,FALSE,"P&amp;L"}</definedName>
    <definedName name="zonat" hidden="1">{"one (KEY)",#N/A,FALSE,"P&amp;L"}</definedName>
    <definedName name="zonot" hidden="1">{#N/A,#N/A,FALSE,"Contents";#N/A,#N/A,FALSE,"FC_vs_Report";#N/A,#N/A,FALSE,"Cumulated_Report";#N/A,#N/A,FALSE,"Inv. turns acc. to Vienna";#N/A,#N/A,FALSE,"Inv. turns. acc. to GM top ind."}</definedName>
    <definedName name="zs" hidden="1">{#N/A,#N/A,FALSE,"Summary";#N/A,#N/A,FALSE,"Service";#N/A,#N/A,FALSE,"Carriage";#N/A,#N/A,FALSE,"Backbone"}</definedName>
    <definedName name="zx" hidden="1">{"'Broadway ML#4'!$J$7:$N$490"}</definedName>
    <definedName name="zxc" hidden="1">{"Annual",#N/A,FALSE,"Sales &amp; Market";"Quarterly",#N/A,FALSE,"Sales &amp; Market"}</definedName>
    <definedName name="zxcs" hidden="1">{"Annual",#N/A,FALSE,"Sales &amp; Market";"Quarterly",#N/A,FALSE,"Sales &amp; Market"}</definedName>
    <definedName name="zxcss" hidden="1">{"'B-S Accounts Translation'!$A$1:$G$190"}</definedName>
    <definedName name="zxd" hidden="1">{"'B-S Accounts Translation'!$A$1:$G$190"}</definedName>
    <definedName name="zxf" hidden="1">{"'Broadway ML#4'!$J$7:$N$490"}</definedName>
    <definedName name="zz" localSheetId="1">balance sheet send</definedName>
    <definedName name="zz">balance sheet send</definedName>
    <definedName name="ZZ_EVCOMOPTS" hidden="1">5</definedName>
    <definedName name="zzz">#REF!</definedName>
    <definedName name="zzzzzzzzzzz" hidden="1">{"'Edit'!$A$1:$V$2277"}</definedName>
    <definedName name="ZZZZZZZZZZZZZZZZZZZZ">balance sheet send</definedName>
    <definedName name="מיכל" hidden="1">{#N/A,#N/A,FALSE,"Contents";#N/A,#N/A,FALSE,"FC_vs_Report";#N/A,#N/A,FALSE,"Cumulated_Report";#N/A,#N/A,FALSE,"Inv. turns acc. to Vienna";#N/A,#N/A,FALSE,"Inv. turns. acc. to GM top ind."}</definedName>
    <definedName name="루" hidden="1">{"'Broadway ML#4'!$J$7:$N$490"}</definedName>
    <definedName name="ㅁ" hidden="1">{"'Broadway ML#4'!$J$7:$N$490"}</definedName>
    <definedName name="몰라" hidden="1">#REF!</definedName>
    <definedName name="박" hidden="1">{#N/A,#N/A,FALSE,"Summary";#N/A,#N/A,FALSE,"Service";#N/A,#N/A,FALSE,"Carriage";#N/A,#N/A,FALSE,"Backbone"}</definedName>
    <definedName name="신" hidden="1">{"'Broadway ML#4'!$J$7:$N$490"}</definedName>
    <definedName name="신흥" hidden="1">{"'Broadway ML#4'!$J$7:$N$490"}</definedName>
    <definedName name="ㅇ" hidden="1">{"'Broadway ML#4'!$J$7:$N$490"}</definedName>
    <definedName name="에이텍" hidden="1">{"'Broadway ML#4'!$J$7:$N$490"}</definedName>
    <definedName name="장원" hidden="1">{"'Broadway ML#4'!$J$7:$N$490"}</definedName>
    <definedName name="화ㅓㅘㅓ" hidden="1">{"'Broadway ML#4'!$J$7:$N$490"}</definedName>
    <definedName name="中文">#REF!</definedName>
    <definedName name="樓層參考表">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50" l="1"/>
  <c r="R1022" i="28"/>
  <c r="R1023" i="28"/>
  <c r="R1420" i="28"/>
  <c r="R1421" i="28"/>
  <c r="R238" i="28"/>
  <c r="S238" i="28" s="1"/>
  <c r="R562" i="28"/>
  <c r="S562" i="28" s="1"/>
  <c r="R1308" i="28" l="1"/>
  <c r="S1308" i="28" s="1"/>
  <c r="R6" i="28"/>
  <c r="S6" i="28" s="1"/>
  <c r="R348" i="28"/>
  <c r="S348" i="28" s="1"/>
  <c r="R1206" i="28"/>
  <c r="S1206" i="28" s="1"/>
  <c r="R1130" i="28"/>
  <c r="S1130" i="28" s="1"/>
  <c r="R1049" i="28"/>
  <c r="S1049" i="28" s="1"/>
  <c r="R766" i="28"/>
  <c r="S766" i="28" s="1"/>
  <c r="R3" i="28"/>
  <c r="S3" i="28" s="1"/>
  <c r="R1437" i="28"/>
  <c r="S1437" i="28" s="1"/>
  <c r="R1159" i="28"/>
  <c r="S1159" i="28" s="1"/>
  <c r="R795" i="28"/>
  <c r="S795" i="28" s="1"/>
  <c r="R796" i="28"/>
  <c r="S796" i="28" s="1"/>
  <c r="R1290" i="28"/>
  <c r="S1290" i="28" s="1"/>
  <c r="R1295" i="28"/>
  <c r="S1295" i="28" s="1"/>
  <c r="R72" i="28"/>
  <c r="S72" i="28" s="1"/>
  <c r="R349" i="28"/>
  <c r="S349" i="28" s="1"/>
  <c r="R1050" i="28"/>
  <c r="S1050" i="28" s="1"/>
  <c r="R59" i="28"/>
  <c r="S59" i="28" s="1"/>
  <c r="R259" i="28"/>
  <c r="S259" i="28" s="1"/>
  <c r="R856" i="28"/>
  <c r="S856" i="28" s="1"/>
  <c r="R192" i="28"/>
  <c r="S192" i="28" s="1"/>
  <c r="R987" i="28"/>
  <c r="S987" i="28" s="1"/>
  <c r="R306" i="28"/>
  <c r="S306" i="28" s="1"/>
  <c r="R415" i="28"/>
  <c r="S415" i="28" s="1"/>
  <c r="R350" i="28"/>
  <c r="S350" i="28" s="1"/>
  <c r="R993" i="28"/>
  <c r="S993" i="28" s="1"/>
  <c r="R351" i="28"/>
  <c r="S351" i="28" s="1"/>
  <c r="R1309" i="28"/>
  <c r="S1309" i="28" s="1"/>
  <c r="R939" i="28"/>
  <c r="S939" i="28" s="1"/>
  <c r="R734" i="28"/>
  <c r="S734" i="28" s="1"/>
  <c r="R1051" i="28"/>
  <c r="S1051" i="28" s="1"/>
  <c r="R788" i="28"/>
  <c r="S788" i="28" s="1"/>
  <c r="R529" i="28"/>
  <c r="S529" i="28" s="1"/>
  <c r="R1178" i="28"/>
  <c r="S1178" i="28" s="1"/>
  <c r="R512" i="28"/>
  <c r="S512" i="28" s="1"/>
  <c r="R448" i="28"/>
  <c r="S448" i="28" s="1"/>
  <c r="R315" i="28"/>
  <c r="S315" i="28" s="1"/>
  <c r="R1378" i="28"/>
  <c r="S1378" i="28" s="1"/>
  <c r="R605" i="28"/>
  <c r="S605" i="28" s="1"/>
  <c r="R563" i="28"/>
  <c r="S563" i="28" s="1"/>
  <c r="R102" i="28"/>
  <c r="S102" i="28" s="1"/>
  <c r="R844" i="28"/>
  <c r="S844" i="28" s="1"/>
  <c r="R260" i="28"/>
  <c r="S260" i="28" s="1"/>
  <c r="R1306" i="28"/>
  <c r="S1306" i="28" s="1"/>
  <c r="R299" i="28"/>
  <c r="S299" i="28" s="1"/>
  <c r="R534" i="28"/>
  <c r="S534" i="28" s="1"/>
  <c r="R695" i="28"/>
  <c r="S695" i="28" s="1"/>
  <c r="R1052" i="28"/>
  <c r="S1052" i="28" s="1"/>
  <c r="R767" i="28"/>
  <c r="S767" i="28" s="1"/>
  <c r="R1053" i="28"/>
  <c r="S1053" i="28" s="1"/>
  <c r="R682" i="28"/>
  <c r="S682" i="28" s="1"/>
  <c r="R845" i="28"/>
  <c r="S845" i="28" s="1"/>
  <c r="R694" i="28"/>
  <c r="S694" i="28" s="1"/>
  <c r="R254" i="28"/>
  <c r="S254" i="28" s="1"/>
  <c r="R683" i="28"/>
  <c r="S683" i="28" s="1"/>
  <c r="R566" i="28"/>
  <c r="S566" i="28" s="1"/>
  <c r="R261" i="28"/>
  <c r="S261" i="28" s="1"/>
  <c r="R705" i="28"/>
  <c r="S705" i="28" s="1"/>
  <c r="R340" i="28"/>
  <c r="S340" i="28" s="1"/>
  <c r="R1016" i="28"/>
  <c r="S1016" i="28" s="1"/>
  <c r="R240" i="28"/>
  <c r="S240" i="28" s="1"/>
  <c r="R706" i="28"/>
  <c r="S706" i="28" s="1"/>
  <c r="R929" i="28"/>
  <c r="S929" i="28" s="1"/>
  <c r="R639" i="28"/>
  <c r="S639" i="28" s="1"/>
  <c r="R930" i="28"/>
  <c r="S930" i="28" s="1"/>
  <c r="R1156" i="28"/>
  <c r="S1156" i="28" s="1"/>
  <c r="R1004" i="28"/>
  <c r="S1004" i="28" s="1"/>
  <c r="R707" i="28"/>
  <c r="S707" i="28" s="1"/>
  <c r="R283" i="28"/>
  <c r="S283" i="28" s="1"/>
  <c r="R1299" i="28"/>
  <c r="S1299" i="28" s="1"/>
  <c r="R1438" i="28"/>
  <c r="S1438" i="28" s="1"/>
  <c r="R1439" i="28"/>
  <c r="S1439" i="28" s="1"/>
  <c r="R1384" i="28"/>
  <c r="S1384" i="28" s="1"/>
  <c r="R67" i="28"/>
  <c r="S67" i="28" s="1"/>
  <c r="R575" i="28"/>
  <c r="S575" i="28" s="1"/>
  <c r="R989" i="28"/>
  <c r="S989" i="28" s="1"/>
  <c r="R267" i="28"/>
  <c r="S267" i="28" s="1"/>
  <c r="R316" i="28"/>
  <c r="S316" i="28" s="1"/>
  <c r="R606" i="28"/>
  <c r="S606" i="28" s="1"/>
  <c r="R341" i="28"/>
  <c r="S341" i="28" s="1"/>
  <c r="R717" i="28"/>
  <c r="S717" i="28" s="1"/>
  <c r="R268" i="28"/>
  <c r="S268" i="28" s="1"/>
  <c r="R273" i="28"/>
  <c r="S273" i="28" s="1"/>
  <c r="R554" i="28"/>
  <c r="S554" i="28" s="1"/>
  <c r="R768" i="28"/>
  <c r="S768" i="28" s="1"/>
  <c r="R535" i="28"/>
  <c r="S535" i="28" s="1"/>
  <c r="R269" i="28"/>
  <c r="S269" i="28" s="1"/>
  <c r="R853" i="28"/>
  <c r="S853" i="28" s="1"/>
  <c r="R1000" i="28"/>
  <c r="S1000" i="28" s="1"/>
  <c r="R1291" i="28"/>
  <c r="S1291" i="28" s="1"/>
  <c r="R1141" i="28"/>
  <c r="S1141" i="28" s="1"/>
  <c r="R831" i="28"/>
  <c r="S831" i="28" s="1"/>
  <c r="R1422" i="28"/>
  <c r="S1422" i="28" s="1"/>
  <c r="R891" i="28"/>
  <c r="S891" i="28" s="1"/>
  <c r="R718" i="28"/>
  <c r="S718" i="28" s="1"/>
  <c r="R1107" i="28"/>
  <c r="S1107" i="28" s="1"/>
  <c r="R284" i="28"/>
  <c r="S284" i="28" s="1"/>
  <c r="R708" i="28"/>
  <c r="S708" i="28" s="1"/>
  <c r="R536" i="28"/>
  <c r="S536" i="28" s="1"/>
  <c r="R769" i="28"/>
  <c r="S769" i="28" s="1"/>
  <c r="R537" i="28"/>
  <c r="S537" i="28" s="1"/>
  <c r="R1174" i="28"/>
  <c r="S1174" i="28" s="1"/>
  <c r="R538" i="28"/>
  <c r="S538" i="28" s="1"/>
  <c r="R576" i="28"/>
  <c r="S576" i="28" s="1"/>
  <c r="R241" i="28"/>
  <c r="S241" i="28" s="1"/>
  <c r="R719" i="28"/>
  <c r="S719" i="28" s="1"/>
  <c r="R577" i="28"/>
  <c r="S577" i="28" s="1"/>
  <c r="R285" i="28"/>
  <c r="S285" i="28" s="1"/>
  <c r="R1282" i="28"/>
  <c r="S1282" i="28" s="1"/>
  <c r="R286" i="28"/>
  <c r="S286" i="28" s="1"/>
  <c r="R255" i="28"/>
  <c r="S255" i="28" s="1"/>
  <c r="R539" i="28"/>
  <c r="S539" i="28" s="1"/>
  <c r="R247" i="28"/>
  <c r="S247" i="28" s="1"/>
  <c r="R274" i="28"/>
  <c r="S274" i="28" s="1"/>
  <c r="R1419" i="28"/>
  <c r="S1419" i="28" s="1"/>
  <c r="R540" i="28"/>
  <c r="S540" i="28" s="1"/>
  <c r="R1440" i="28"/>
  <c r="S1440" i="28" s="1"/>
  <c r="R640" i="28"/>
  <c r="S640" i="28" s="1"/>
  <c r="R193" i="28"/>
  <c r="S193" i="28" s="1"/>
  <c r="R940" i="28"/>
  <c r="S940" i="28" s="1"/>
  <c r="R641" i="28"/>
  <c r="S641" i="28" s="1"/>
  <c r="R720" i="28"/>
  <c r="S720" i="28" s="1"/>
  <c r="R1389" i="28"/>
  <c r="S1389" i="28" s="1"/>
  <c r="R637" i="28"/>
  <c r="S637" i="28" s="1"/>
  <c r="R1113" i="28"/>
  <c r="S1113" i="28" s="1"/>
  <c r="R342" i="28"/>
  <c r="S342" i="28" s="1"/>
  <c r="R275" i="28"/>
  <c r="S275" i="28" s="1"/>
  <c r="R690" i="28"/>
  <c r="S690" i="28" s="1"/>
  <c r="R541" i="28"/>
  <c r="S541" i="28" s="1"/>
  <c r="R1366" i="28"/>
  <c r="S1366" i="28" s="1"/>
  <c r="R256" i="28"/>
  <c r="S256" i="28" s="1"/>
  <c r="R1385" i="28"/>
  <c r="S1385" i="28" s="1"/>
  <c r="R287" i="28"/>
  <c r="S287" i="28" s="1"/>
  <c r="R638" i="28"/>
  <c r="S638" i="28" s="1"/>
  <c r="R215" i="28"/>
  <c r="S215" i="28" s="1"/>
  <c r="R416" i="28"/>
  <c r="S416" i="28" s="1"/>
  <c r="R1292" i="28"/>
  <c r="S1292" i="28" s="1"/>
  <c r="R1293" i="28"/>
  <c r="S1293" i="28" s="1"/>
  <c r="R343" i="28"/>
  <c r="S343" i="28" s="1"/>
  <c r="R1166" i="28"/>
  <c r="S1166" i="28" s="1"/>
  <c r="R257" i="28"/>
  <c r="S257" i="28" s="1"/>
  <c r="R242" i="28"/>
  <c r="S242" i="28" s="1"/>
  <c r="R494" i="28"/>
  <c r="S494" i="28" s="1"/>
  <c r="R542" i="28"/>
  <c r="S542" i="28" s="1"/>
  <c r="R726" i="28"/>
  <c r="S726" i="28" s="1"/>
  <c r="R1379" i="28"/>
  <c r="S1379" i="28" s="1"/>
  <c r="R543" i="28"/>
  <c r="S543" i="28" s="1"/>
  <c r="R588" i="28"/>
  <c r="S588" i="28" s="1"/>
  <c r="R64" i="28"/>
  <c r="S64" i="28" s="1"/>
  <c r="R288" i="28"/>
  <c r="S288" i="28" s="1"/>
  <c r="R642" i="28"/>
  <c r="S642" i="28" s="1"/>
  <c r="R1207" i="28"/>
  <c r="S1207" i="28" s="1"/>
  <c r="R289" i="28"/>
  <c r="S289" i="28" s="1"/>
  <c r="R770" i="28"/>
  <c r="S770" i="28" s="1"/>
  <c r="R771" i="28"/>
  <c r="S771" i="28" s="1"/>
  <c r="R300" i="28"/>
  <c r="S300" i="28" s="1"/>
  <c r="R643" i="28"/>
  <c r="S643" i="28" s="1"/>
  <c r="R1129" i="28"/>
  <c r="S1129" i="28" s="1"/>
  <c r="R941" i="28"/>
  <c r="S941" i="28" s="1"/>
  <c r="R301" i="28"/>
  <c r="S301" i="28" s="1"/>
  <c r="R1365" i="28"/>
  <c r="S1365" i="28" s="1"/>
  <c r="R644" i="28"/>
  <c r="S644" i="28" s="1"/>
  <c r="R332" i="28"/>
  <c r="S332" i="28" s="1"/>
  <c r="R721" i="28"/>
  <c r="S721" i="28" s="1"/>
  <c r="R276" i="28"/>
  <c r="S276" i="28" s="1"/>
  <c r="R1367" i="28"/>
  <c r="S1367" i="28" s="1"/>
  <c r="R668" i="28"/>
  <c r="S668" i="28" s="1"/>
  <c r="R677" i="28"/>
  <c r="S677" i="28" s="1"/>
  <c r="R322" i="28"/>
  <c r="S322" i="28" s="1"/>
  <c r="R645" i="28"/>
  <c r="S645" i="28" s="1"/>
  <c r="R931" i="28"/>
  <c r="S931" i="28" s="1"/>
  <c r="R1167" i="28"/>
  <c r="S1167" i="28" s="1"/>
  <c r="R646" i="28"/>
  <c r="S646" i="28" s="1"/>
  <c r="R772" i="28"/>
  <c r="S772" i="28" s="1"/>
  <c r="R544" i="28"/>
  <c r="S544" i="28" s="1"/>
  <c r="R1386" i="28"/>
  <c r="S1386" i="28" s="1"/>
  <c r="R545" i="28"/>
  <c r="S545" i="28" s="1"/>
  <c r="R647" i="28"/>
  <c r="S647" i="28" s="1"/>
  <c r="R648" i="28"/>
  <c r="S648" i="28" s="1"/>
  <c r="R546" i="28"/>
  <c r="S546" i="28" s="1"/>
  <c r="R773" i="28"/>
  <c r="S773" i="28" s="1"/>
  <c r="R730" i="28"/>
  <c r="S730" i="28" s="1"/>
  <c r="R1387" i="28"/>
  <c r="S1387" i="28" s="1"/>
  <c r="R774" i="28"/>
  <c r="S774" i="28" s="1"/>
  <c r="R1168" i="28"/>
  <c r="S1168" i="28" s="1"/>
  <c r="R1005" i="28"/>
  <c r="S1005" i="28" s="1"/>
  <c r="R932" i="28"/>
  <c r="S932" i="28" s="1"/>
  <c r="R531" i="28"/>
  <c r="S531" i="28" s="1"/>
  <c r="R709" i="28"/>
  <c r="S709" i="28" s="1"/>
  <c r="R828" i="28"/>
  <c r="S828" i="28" s="1"/>
  <c r="R649" i="28"/>
  <c r="S649" i="28" s="1"/>
  <c r="R942" i="28"/>
  <c r="S942" i="28" s="1"/>
  <c r="R414" i="28"/>
  <c r="S414" i="28" s="1"/>
  <c r="R290" i="28"/>
  <c r="S290" i="28" s="1"/>
  <c r="R243" i="28"/>
  <c r="S243" i="28" s="1"/>
  <c r="R1423" i="28"/>
  <c r="S1423" i="28" s="1"/>
  <c r="R846" i="28"/>
  <c r="S846" i="28" s="1"/>
  <c r="R775" i="28"/>
  <c r="S775" i="28" s="1"/>
  <c r="R650" i="28"/>
  <c r="S650" i="28" s="1"/>
  <c r="R312" i="28"/>
  <c r="S312" i="28" s="1"/>
  <c r="R847" i="28"/>
  <c r="S847" i="28" s="1"/>
  <c r="R317" i="28"/>
  <c r="S317" i="28" s="1"/>
  <c r="R318" i="28"/>
  <c r="S318" i="28" s="1"/>
  <c r="R244" i="28"/>
  <c r="S244" i="28" s="1"/>
  <c r="R896" i="28"/>
  <c r="S896" i="28" s="1"/>
  <c r="R567" i="28"/>
  <c r="S567" i="28" s="1"/>
  <c r="R1449" i="28"/>
  <c r="S1449" i="28" s="1"/>
  <c r="R1450" i="28"/>
  <c r="S1450" i="28" s="1"/>
  <c r="R578" i="28"/>
  <c r="S578" i="28" s="1"/>
  <c r="R313" i="28"/>
  <c r="S313" i="28" s="1"/>
  <c r="R248" i="28"/>
  <c r="S248" i="28" s="1"/>
  <c r="R1388" i="28"/>
  <c r="S1388" i="28" s="1"/>
  <c r="R1048" i="28"/>
  <c r="S1048" i="28" s="1"/>
  <c r="R262" i="28"/>
  <c r="S262" i="28" s="1"/>
  <c r="R943" i="28"/>
  <c r="S943" i="28" s="1"/>
  <c r="R263" i="28"/>
  <c r="S263" i="28" s="1"/>
  <c r="R1390" i="28"/>
  <c r="S1390" i="28" s="1"/>
  <c r="R651" i="28"/>
  <c r="S651" i="28" s="1"/>
  <c r="R547" i="28"/>
  <c r="S547" i="28" s="1"/>
  <c r="R1283" i="28"/>
  <c r="S1283" i="28" s="1"/>
  <c r="R291" i="28"/>
  <c r="S291" i="28" s="1"/>
  <c r="R264" i="28"/>
  <c r="S264" i="28" s="1"/>
  <c r="R1284" i="28"/>
  <c r="S1284" i="28" s="1"/>
  <c r="R1391" i="28"/>
  <c r="S1391" i="28" s="1"/>
  <c r="R548" i="28"/>
  <c r="S548" i="28" s="1"/>
  <c r="R549" i="28"/>
  <c r="S549" i="28" s="1"/>
  <c r="R776" i="28"/>
  <c r="S776" i="28" s="1"/>
  <c r="R550" i="28"/>
  <c r="S550" i="28" s="1"/>
  <c r="R727" i="28"/>
  <c r="S727" i="28" s="1"/>
  <c r="R691" i="28"/>
  <c r="S691" i="28" s="1"/>
  <c r="R848" i="28"/>
  <c r="S848" i="28" s="1"/>
  <c r="R249" i="28"/>
  <c r="S249" i="28" s="1"/>
  <c r="R589" i="28"/>
  <c r="S589" i="28" s="1"/>
  <c r="R579" i="28"/>
  <c r="S579" i="28" s="1"/>
  <c r="R1451" i="28"/>
  <c r="S1451" i="28" s="1"/>
  <c r="R1433" i="28"/>
  <c r="S1433" i="28" s="1"/>
  <c r="R590" i="28"/>
  <c r="S590" i="28" s="1"/>
  <c r="R1006" i="28"/>
  <c r="S1006" i="28" s="1"/>
  <c r="R944" i="28"/>
  <c r="S944" i="28" s="1"/>
  <c r="R213" i="28"/>
  <c r="S213" i="28" s="1"/>
  <c r="R1392" i="28"/>
  <c r="S1392" i="28" s="1"/>
  <c r="R302" i="28"/>
  <c r="S302" i="28" s="1"/>
  <c r="R417" i="28"/>
  <c r="S417" i="28" s="1"/>
  <c r="R532" i="28"/>
  <c r="S532" i="28" s="1"/>
  <c r="R591" i="28"/>
  <c r="S591" i="28" s="1"/>
  <c r="R652" i="28"/>
  <c r="S652" i="28" s="1"/>
  <c r="R319" i="28"/>
  <c r="S319" i="28" s="1"/>
  <c r="R61" i="28"/>
  <c r="S61" i="28" s="1"/>
  <c r="R214" i="28"/>
  <c r="S214" i="28" s="1"/>
  <c r="R1274" i="28"/>
  <c r="S1274" i="28" s="1"/>
  <c r="R580" i="28"/>
  <c r="S580" i="28" s="1"/>
  <c r="R859" i="28"/>
  <c r="S859" i="28" s="1"/>
  <c r="R945" i="28"/>
  <c r="S945" i="28" s="1"/>
  <c r="R551" i="28"/>
  <c r="S551" i="28" s="1"/>
  <c r="R653" i="28"/>
  <c r="S653" i="28" s="1"/>
  <c r="R495" i="28"/>
  <c r="S495" i="28" s="1"/>
  <c r="R344" i="28"/>
  <c r="S344" i="28" s="1"/>
  <c r="R946" i="28"/>
  <c r="S946" i="28" s="1"/>
  <c r="R947" i="28"/>
  <c r="S947" i="28" s="1"/>
  <c r="R948" i="28"/>
  <c r="S948" i="28" s="1"/>
  <c r="R654" i="28"/>
  <c r="S654" i="28" s="1"/>
  <c r="R655" i="28"/>
  <c r="S655" i="28" s="1"/>
  <c r="R777" i="28"/>
  <c r="S777" i="28" s="1"/>
  <c r="R656" i="28"/>
  <c r="S656" i="28" s="1"/>
  <c r="R581" i="28"/>
  <c r="S581" i="28" s="1"/>
  <c r="R829" i="28"/>
  <c r="S829" i="28" s="1"/>
  <c r="R949" i="28"/>
  <c r="S949" i="28" s="1"/>
  <c r="R860" i="28"/>
  <c r="S860" i="28" s="1"/>
  <c r="R47" i="28"/>
  <c r="S47" i="28" s="1"/>
  <c r="R1307" i="28"/>
  <c r="S1307" i="28" s="1"/>
  <c r="R996" i="28"/>
  <c r="S996" i="28" s="1"/>
  <c r="R552" i="28"/>
  <c r="S552" i="28" s="1"/>
  <c r="R553" i="28"/>
  <c r="S553" i="28" s="1"/>
  <c r="R245" i="28"/>
  <c r="S245" i="28" s="1"/>
  <c r="R320" i="28"/>
  <c r="S320" i="28" s="1"/>
  <c r="R1169" i="28"/>
  <c r="S1169" i="28" s="1"/>
  <c r="R418" i="28"/>
  <c r="S418" i="28" s="1"/>
  <c r="R1114" i="28"/>
  <c r="S1114" i="28" s="1"/>
  <c r="R1275" i="28"/>
  <c r="S1275" i="28" s="1"/>
  <c r="R849" i="28"/>
  <c r="S849" i="28" s="1"/>
  <c r="R1115" i="28"/>
  <c r="S1115" i="28" s="1"/>
  <c r="R496" i="28"/>
  <c r="S496" i="28" s="1"/>
  <c r="R657" i="28"/>
  <c r="S657" i="28" s="1"/>
  <c r="R345" i="28"/>
  <c r="S345" i="28" s="1"/>
  <c r="R68" i="28"/>
  <c r="S68" i="28" s="1"/>
  <c r="R892" i="28"/>
  <c r="S892" i="28" s="1"/>
  <c r="R950" i="28"/>
  <c r="S950" i="28" s="1"/>
  <c r="R951" i="28"/>
  <c r="S951" i="28" s="1"/>
  <c r="R592" i="28"/>
  <c r="S592" i="28" s="1"/>
  <c r="R1285" i="28"/>
  <c r="S1285" i="28" s="1"/>
  <c r="R1142" i="28"/>
  <c r="S1142" i="28" s="1"/>
  <c r="R684" i="28"/>
  <c r="S684" i="28" s="1"/>
  <c r="R658" i="28"/>
  <c r="S658" i="28" s="1"/>
  <c r="R1393" i="28"/>
  <c r="S1393" i="28" s="1"/>
  <c r="R710" i="28"/>
  <c r="S710" i="28" s="1"/>
  <c r="R851" i="28"/>
  <c r="S851" i="28" s="1"/>
  <c r="R729" i="28"/>
  <c r="S729" i="28" s="1"/>
  <c r="R1304" i="28"/>
  <c r="S1304" i="28" s="1"/>
  <c r="R852" i="28"/>
  <c r="S852" i="28" s="1"/>
  <c r="R1110" i="28"/>
  <c r="S1110" i="28" s="1"/>
  <c r="R314" i="28"/>
  <c r="S314" i="28" s="1"/>
  <c r="R346" i="28"/>
  <c r="S346" i="28" s="1"/>
  <c r="R854" i="28"/>
  <c r="S854" i="28" s="1"/>
  <c r="R1425" i="28"/>
  <c r="S1425" i="28" s="1"/>
  <c r="R347" i="28"/>
  <c r="S347" i="28" s="1"/>
  <c r="R1444" i="28"/>
  <c r="S1444" i="28" s="1"/>
  <c r="R685" i="28"/>
  <c r="S685" i="28" s="1"/>
  <c r="R216" i="28"/>
  <c r="S216" i="28" s="1"/>
  <c r="R292" i="28"/>
  <c r="S292" i="28" s="1"/>
  <c r="R420" i="28"/>
  <c r="S420" i="28" s="1"/>
  <c r="R711" i="28"/>
  <c r="S711" i="28" s="1"/>
  <c r="R1128" i="28"/>
  <c r="S1128" i="28" s="1"/>
  <c r="R1208" i="28"/>
  <c r="S1208" i="28" s="1"/>
  <c r="R593" i="28"/>
  <c r="S593" i="28" s="1"/>
  <c r="R825" i="28"/>
  <c r="S825" i="28" s="1"/>
  <c r="R1286" i="28"/>
  <c r="S1286" i="28" s="1"/>
  <c r="R217" i="28"/>
  <c r="S217" i="28" s="1"/>
  <c r="R994" i="28"/>
  <c r="S994" i="28" s="1"/>
  <c r="R1300" i="28"/>
  <c r="S1300" i="28" s="1"/>
  <c r="R778" i="28"/>
  <c r="S778" i="28" s="1"/>
  <c r="R594" i="28"/>
  <c r="S594" i="28" s="1"/>
  <c r="R530" i="28"/>
  <c r="S530" i="28" s="1"/>
  <c r="R449" i="28"/>
  <c r="S449" i="28" s="1"/>
  <c r="R1426" i="28"/>
  <c r="S1426" i="28" s="1"/>
  <c r="R246" i="28"/>
  <c r="S246" i="28" s="1"/>
  <c r="R277" i="28"/>
  <c r="S277" i="28" s="1"/>
  <c r="R251" i="28"/>
  <c r="S251" i="28" s="1"/>
  <c r="R440" i="28"/>
  <c r="S440" i="28" s="1"/>
  <c r="R1131" i="28"/>
  <c r="S1131" i="28" s="1"/>
  <c r="R669" i="28"/>
  <c r="S669" i="28" s="1"/>
  <c r="R1418" i="28"/>
  <c r="S1418" i="28" s="1"/>
  <c r="R450" i="28"/>
  <c r="S450" i="28" s="1"/>
  <c r="R850" i="28"/>
  <c r="S850" i="28" s="1"/>
  <c r="R678" i="28"/>
  <c r="S678" i="28" s="1"/>
  <c r="R1108" i="28"/>
  <c r="S1108" i="28" s="1"/>
  <c r="R1380" i="28"/>
  <c r="S1380" i="28" s="1"/>
  <c r="R1276" i="28"/>
  <c r="S1276" i="28" s="1"/>
  <c r="R334" i="28"/>
  <c r="S334" i="28" s="1"/>
  <c r="R1368" i="28"/>
  <c r="S1368" i="28" s="1"/>
  <c r="R327" i="28"/>
  <c r="S327" i="28" s="1"/>
  <c r="R337" i="28"/>
  <c r="S337" i="28" s="1"/>
  <c r="R353" i="28"/>
  <c r="S353" i="28" s="1"/>
  <c r="R1400" i="28"/>
  <c r="S1400" i="28" s="1"/>
  <c r="R1445" i="28"/>
  <c r="S1445" i="28" s="1"/>
  <c r="R659" i="28"/>
  <c r="S659" i="28" s="1"/>
  <c r="R1369" i="28"/>
  <c r="S1369" i="28" s="1"/>
  <c r="R1310" i="28"/>
  <c r="S1310" i="28" s="1"/>
  <c r="R1017" i="28"/>
  <c r="S1017" i="28" s="1"/>
  <c r="R712" i="28"/>
  <c r="S712" i="28" s="1"/>
  <c r="R1134" i="28"/>
  <c r="S1134" i="28" s="1"/>
  <c r="R513" i="28"/>
  <c r="S513" i="28" s="1"/>
  <c r="R1007" i="28"/>
  <c r="S1007" i="28" s="1"/>
  <c r="R1311" i="28"/>
  <c r="S1311" i="28" s="1"/>
  <c r="R1018" i="28"/>
  <c r="S1018" i="28" s="1"/>
  <c r="R338" i="28"/>
  <c r="S338" i="28" s="1"/>
  <c r="R1312" i="28"/>
  <c r="S1312" i="28" s="1"/>
  <c r="R1067" i="28"/>
  <c r="S1067" i="28" s="1"/>
  <c r="R104" i="28"/>
  <c r="S104" i="28" s="1"/>
  <c r="R595" i="28"/>
  <c r="S595" i="28" s="1"/>
  <c r="R218" i="28"/>
  <c r="S218" i="28" s="1"/>
  <c r="R596" i="28"/>
  <c r="S596" i="28" s="1"/>
  <c r="R779" i="28"/>
  <c r="S779" i="28" s="1"/>
  <c r="R1372" i="28"/>
  <c r="S1372" i="28" s="1"/>
  <c r="R258" i="28"/>
  <c r="S258" i="28" s="1"/>
  <c r="R514" i="28"/>
  <c r="S514" i="28" s="1"/>
  <c r="R307" i="28"/>
  <c r="S307" i="28" s="1"/>
  <c r="R352" i="28"/>
  <c r="S352" i="28" s="1"/>
  <c r="R901" i="28"/>
  <c r="S901" i="28" s="1"/>
  <c r="R58" i="28"/>
  <c r="S58" i="28" s="1"/>
  <c r="R962" i="28"/>
  <c r="S962" i="28" s="1"/>
  <c r="R219" i="28"/>
  <c r="S219" i="28" s="1"/>
  <c r="R105" i="28"/>
  <c r="S105" i="28" s="1"/>
  <c r="R106" i="28"/>
  <c r="S106" i="28" s="1"/>
  <c r="R160" i="28"/>
  <c r="S160" i="28" s="1"/>
  <c r="R670" i="28"/>
  <c r="S670" i="28" s="1"/>
  <c r="R713" i="28"/>
  <c r="S713" i="28" s="1"/>
  <c r="R220" i="28"/>
  <c r="S220" i="28" s="1"/>
  <c r="R1024" i="28"/>
  <c r="S1024" i="28" s="1"/>
  <c r="R597" i="28"/>
  <c r="S597" i="28" s="1"/>
  <c r="R419" i="28"/>
  <c r="S419" i="28" s="1"/>
  <c r="R1132" i="28"/>
  <c r="S1132" i="28" s="1"/>
  <c r="R239" i="28"/>
  <c r="S239" i="28" s="1"/>
  <c r="R324" i="28"/>
  <c r="S324" i="28" s="1"/>
  <c r="R48" i="28"/>
  <c r="S48" i="28" s="1"/>
  <c r="R897" i="28"/>
  <c r="S897" i="28" s="1"/>
  <c r="R304" i="28"/>
  <c r="S304" i="28" s="1"/>
  <c r="R7" i="28"/>
  <c r="S7" i="28" s="1"/>
  <c r="R826" i="28"/>
  <c r="S826" i="28" s="1"/>
  <c r="R952" i="28"/>
  <c r="S952" i="28" s="1"/>
  <c r="R857" i="28"/>
  <c r="S857" i="28" s="1"/>
  <c r="R1163" i="28"/>
  <c r="S1163" i="28" s="1"/>
  <c r="R1313" i="28"/>
  <c r="S1313" i="28" s="1"/>
  <c r="R714" i="28"/>
  <c r="S714" i="28" s="1"/>
  <c r="R607" i="28"/>
  <c r="S607" i="28" s="1"/>
  <c r="R1296" i="28"/>
  <c r="S1296" i="28" s="1"/>
  <c r="R780" i="28"/>
  <c r="S780" i="28" s="1"/>
  <c r="R963" i="28"/>
  <c r="S963" i="28" s="1"/>
  <c r="R271" i="28"/>
  <c r="S271" i="28" s="1"/>
  <c r="R1056" i="28"/>
  <c r="S1056" i="28" s="1"/>
  <c r="R515" i="28"/>
  <c r="S515" i="28" s="1"/>
  <c r="R441" i="28"/>
  <c r="S441" i="28" s="1"/>
  <c r="R354" i="28"/>
  <c r="S354" i="28" s="1"/>
  <c r="R1427" i="28"/>
  <c r="S1427" i="28" s="1"/>
  <c r="R88" i="28"/>
  <c r="S88" i="28" s="1"/>
  <c r="R73" i="28"/>
  <c r="S73" i="28" s="1"/>
  <c r="R355" i="28"/>
  <c r="S355" i="28" s="1"/>
  <c r="R1109" i="28"/>
  <c r="S1109" i="28" s="1"/>
  <c r="R1370" i="28"/>
  <c r="S1370" i="28" s="1"/>
  <c r="R679" i="28"/>
  <c r="S679" i="28" s="1"/>
  <c r="R221" i="28"/>
  <c r="S221" i="28" s="1"/>
  <c r="R1314" i="28"/>
  <c r="S1314" i="28" s="1"/>
  <c r="R497" i="28"/>
  <c r="S497" i="28" s="1"/>
  <c r="R421" i="28"/>
  <c r="S421" i="28" s="1"/>
  <c r="R866" i="28"/>
  <c r="S866" i="28" s="1"/>
  <c r="R701" i="28"/>
  <c r="S701" i="28" s="1"/>
  <c r="R516" i="28"/>
  <c r="S516" i="28" s="1"/>
  <c r="R1009" i="28"/>
  <c r="S1009" i="28" s="1"/>
  <c r="R953" i="28"/>
  <c r="S953" i="28" s="1"/>
  <c r="R858" i="28"/>
  <c r="S858" i="28" s="1"/>
  <c r="R107" i="28"/>
  <c r="S107" i="28" s="1"/>
  <c r="R1407" i="28"/>
  <c r="S1407" i="28" s="1"/>
  <c r="R1143" i="28"/>
  <c r="S1143" i="28" s="1"/>
  <c r="R194" i="28"/>
  <c r="S194" i="28" s="1"/>
  <c r="R722" i="28"/>
  <c r="S722" i="28" s="1"/>
  <c r="R1287" i="28"/>
  <c r="S1287" i="28" s="1"/>
  <c r="R1157" i="28"/>
  <c r="S1157" i="28" s="1"/>
  <c r="R1277" i="28"/>
  <c r="S1277" i="28" s="1"/>
  <c r="R1001" i="28"/>
  <c r="S1001" i="28" s="1"/>
  <c r="R832" i="28"/>
  <c r="S832" i="28" s="1"/>
  <c r="R888" i="28"/>
  <c r="S888" i="28" s="1"/>
  <c r="R70" i="28"/>
  <c r="S70" i="28" s="1"/>
  <c r="R1170" i="28"/>
  <c r="S1170" i="28" s="1"/>
  <c r="R781" i="28"/>
  <c r="S781" i="28" s="1"/>
  <c r="R687" i="28"/>
  <c r="S687" i="28" s="1"/>
  <c r="R451" i="28"/>
  <c r="S451" i="28" s="1"/>
  <c r="R1278" i="28"/>
  <c r="S1278" i="28" s="1"/>
  <c r="R1171" i="28"/>
  <c r="S1171" i="28" s="1"/>
  <c r="R75" i="28"/>
  <c r="S75" i="28" s="1"/>
  <c r="R1158" i="28"/>
  <c r="S1158" i="28" s="1"/>
  <c r="R270" i="28"/>
  <c r="S270" i="28" s="1"/>
  <c r="R333" i="28"/>
  <c r="S333" i="28" s="1"/>
  <c r="R1395" i="28"/>
  <c r="S1395" i="28" s="1"/>
  <c r="R608" i="28"/>
  <c r="S608" i="28" s="1"/>
  <c r="R278" i="28"/>
  <c r="S278" i="28" s="1"/>
  <c r="R517" i="28"/>
  <c r="S517" i="28" s="1"/>
  <c r="R321" i="28"/>
  <c r="S321" i="28" s="1"/>
  <c r="R1441" i="28"/>
  <c r="S1441" i="28" s="1"/>
  <c r="R636" i="28"/>
  <c r="S636" i="28" s="1"/>
  <c r="R498" i="28"/>
  <c r="S498" i="28" s="1"/>
  <c r="R1381" i="28"/>
  <c r="S1381" i="28" s="1"/>
  <c r="R1434" i="28"/>
  <c r="S1434" i="28" s="1"/>
  <c r="R1172" i="28"/>
  <c r="S1172" i="28" s="1"/>
  <c r="R835" i="28"/>
  <c r="S835" i="28" s="1"/>
  <c r="R279" i="28"/>
  <c r="S279" i="28" s="1"/>
  <c r="R1397" i="28"/>
  <c r="S1397" i="28" s="1"/>
  <c r="R1382" i="28"/>
  <c r="S1382" i="28" s="1"/>
  <c r="R1147" i="28"/>
  <c r="S1147" i="28" s="1"/>
  <c r="R293" i="28"/>
  <c r="S293" i="28" s="1"/>
  <c r="R1405" i="28"/>
  <c r="S1405" i="28" s="1"/>
  <c r="R71" i="28"/>
  <c r="S71" i="28" s="1"/>
  <c r="R671" i="28"/>
  <c r="S671" i="28" s="1"/>
  <c r="R1288" i="28"/>
  <c r="S1288" i="28" s="1"/>
  <c r="R356" i="28"/>
  <c r="S356" i="28" s="1"/>
  <c r="R1394" i="28"/>
  <c r="S1394" i="28" s="1"/>
  <c r="R564" i="28"/>
  <c r="S564" i="28" s="1"/>
  <c r="R703" i="28"/>
  <c r="S703" i="28" s="1"/>
  <c r="R555" i="28"/>
  <c r="S555" i="28" s="1"/>
  <c r="R782" i="28"/>
  <c r="S782" i="28" s="1"/>
  <c r="R76" i="28"/>
  <c r="S76" i="28" s="1"/>
  <c r="R1057" i="28"/>
  <c r="S1057" i="28" s="1"/>
  <c r="R89" i="28"/>
  <c r="S89" i="28" s="1"/>
  <c r="R422" i="28"/>
  <c r="S422" i="28" s="1"/>
  <c r="R222" i="28"/>
  <c r="S222" i="28" s="1"/>
  <c r="R49" i="28"/>
  <c r="S49" i="28" s="1"/>
  <c r="R1144" i="28"/>
  <c r="S1144" i="28" s="1"/>
  <c r="R423" i="28"/>
  <c r="S423" i="28" s="1"/>
  <c r="R1297" i="28"/>
  <c r="S1297" i="28" s="1"/>
  <c r="R1398" i="28"/>
  <c r="S1398" i="28" s="1"/>
  <c r="R556" i="28"/>
  <c r="S556" i="28" s="1"/>
  <c r="R893" i="28"/>
  <c r="S893" i="28" s="1"/>
  <c r="R783" i="28"/>
  <c r="S783" i="28" s="1"/>
  <c r="R568" i="28"/>
  <c r="S568" i="28" s="1"/>
  <c r="R8" i="28"/>
  <c r="S8" i="28" s="1"/>
  <c r="R1010" i="28"/>
  <c r="S1010" i="28" s="1"/>
  <c r="R357" i="28"/>
  <c r="S357" i="28" s="1"/>
  <c r="R784" i="28"/>
  <c r="S784" i="28" s="1"/>
  <c r="R836" i="28"/>
  <c r="S836" i="28" s="1"/>
  <c r="R499" i="28"/>
  <c r="S499" i="28" s="1"/>
  <c r="R598" i="28"/>
  <c r="S598" i="28" s="1"/>
  <c r="R1058" i="28"/>
  <c r="S1058" i="28" s="1"/>
  <c r="R731" i="28"/>
  <c r="S731" i="28" s="1"/>
  <c r="R442" i="28"/>
  <c r="S442" i="28" s="1"/>
  <c r="R1145" i="28"/>
  <c r="S1145" i="28" s="1"/>
  <c r="R964" i="28"/>
  <c r="S964" i="28" s="1"/>
  <c r="R672" i="28"/>
  <c r="S672" i="28" s="1"/>
  <c r="R1209" i="28"/>
  <c r="S1209" i="28" s="1"/>
  <c r="R424" i="28"/>
  <c r="S424" i="28" s="1"/>
  <c r="R837" i="28"/>
  <c r="S837" i="28" s="1"/>
  <c r="R294" i="28"/>
  <c r="S294" i="28" s="1"/>
  <c r="R735" i="28"/>
  <c r="S735" i="28" s="1"/>
  <c r="R358" i="28"/>
  <c r="S358" i="28" s="1"/>
  <c r="R1210" i="28"/>
  <c r="S1210" i="28" s="1"/>
  <c r="R1116" i="28"/>
  <c r="S1116" i="28" s="1"/>
  <c r="R965" i="28"/>
  <c r="S965" i="28" s="1"/>
  <c r="R1315" i="28"/>
  <c r="S1315" i="28" s="1"/>
  <c r="R1173" i="28"/>
  <c r="S1173" i="28" s="1"/>
  <c r="R582" i="28"/>
  <c r="S582" i="28" s="1"/>
  <c r="R1411" i="28"/>
  <c r="S1411" i="28" s="1"/>
  <c r="R265" i="28"/>
  <c r="S265" i="28" s="1"/>
  <c r="R599" i="28"/>
  <c r="S599" i="28" s="1"/>
  <c r="R9" i="28"/>
  <c r="S9" i="28" s="1"/>
  <c r="R359" i="28"/>
  <c r="S359" i="28" s="1"/>
  <c r="R736" i="28"/>
  <c r="S736" i="28" s="1"/>
  <c r="R1430" i="28"/>
  <c r="S1430" i="28" s="1"/>
  <c r="R79" i="28"/>
  <c r="S79" i="28" s="1"/>
  <c r="R1059" i="28"/>
  <c r="S1059" i="28" s="1"/>
  <c r="R455" i="28"/>
  <c r="S455" i="28" s="1"/>
  <c r="R80" i="28"/>
  <c r="S80" i="28" s="1"/>
  <c r="R954" i="28"/>
  <c r="S954" i="28" s="1"/>
  <c r="R862" i="28"/>
  <c r="S862" i="28" s="1"/>
  <c r="R108" i="28"/>
  <c r="S108" i="28" s="1"/>
  <c r="R660" i="28"/>
  <c r="S660" i="28" s="1"/>
  <c r="R737" i="28"/>
  <c r="S737" i="28" s="1"/>
  <c r="R518" i="28"/>
  <c r="S518" i="28" s="1"/>
  <c r="R838" i="28"/>
  <c r="S838" i="28" s="1"/>
  <c r="R500" i="28"/>
  <c r="S500" i="28" s="1"/>
  <c r="R1211" i="28"/>
  <c r="S1211" i="28" s="1"/>
  <c r="R309" i="28"/>
  <c r="S309" i="28" s="1"/>
  <c r="R456" i="28"/>
  <c r="S456" i="28" s="1"/>
  <c r="R457" i="28"/>
  <c r="S457" i="28" s="1"/>
  <c r="R325" i="28"/>
  <c r="S325" i="28" s="1"/>
  <c r="R81" i="28"/>
  <c r="S81" i="28" s="1"/>
  <c r="R519" i="28"/>
  <c r="S519" i="28" s="1"/>
  <c r="R988" i="28"/>
  <c r="S988" i="28" s="1"/>
  <c r="R360" i="28"/>
  <c r="S360" i="28" s="1"/>
  <c r="R1002" i="28"/>
  <c r="S1002" i="28" s="1"/>
  <c r="R1179" i="28"/>
  <c r="S1179" i="28" s="1"/>
  <c r="R1373" i="28"/>
  <c r="S1373" i="28" s="1"/>
  <c r="R661" i="28"/>
  <c r="S661" i="28" s="1"/>
  <c r="R295" i="28"/>
  <c r="S295" i="28" s="1"/>
  <c r="R326" i="28"/>
  <c r="S326" i="28" s="1"/>
  <c r="R161" i="28"/>
  <c r="S161" i="28" s="1"/>
  <c r="R696" i="28"/>
  <c r="S696" i="28" s="1"/>
  <c r="R1408" i="28"/>
  <c r="S1408" i="28" s="1"/>
  <c r="R520" i="28"/>
  <c r="S520" i="28" s="1"/>
  <c r="R195" i="28"/>
  <c r="S195" i="28" s="1"/>
  <c r="R1060" i="28"/>
  <c r="S1060" i="28" s="1"/>
  <c r="R223" i="28"/>
  <c r="S223" i="28" s="1"/>
  <c r="R955" i="28"/>
  <c r="S955" i="28" s="1"/>
  <c r="R839" i="28"/>
  <c r="S839" i="28" s="1"/>
  <c r="R612" i="28"/>
  <c r="S612" i="28" s="1"/>
  <c r="R1316" i="28"/>
  <c r="S1316" i="28" s="1"/>
  <c r="R1061" i="28"/>
  <c r="S1061" i="28" s="1"/>
  <c r="R109" i="28"/>
  <c r="S109" i="28" s="1"/>
  <c r="R600" i="28"/>
  <c r="S600" i="28" s="1"/>
  <c r="R601" i="28"/>
  <c r="S601" i="28" s="1"/>
  <c r="R224" i="28"/>
  <c r="S224" i="28" s="1"/>
  <c r="R738" i="28"/>
  <c r="S738" i="28" s="1"/>
  <c r="R521" i="28"/>
  <c r="S521" i="28" s="1"/>
  <c r="R1111" i="28"/>
  <c r="S1111" i="28" s="1"/>
  <c r="R522" i="28"/>
  <c r="S522" i="28" s="1"/>
  <c r="R1212" i="28"/>
  <c r="S1212" i="28" s="1"/>
  <c r="R662" i="28"/>
  <c r="S662" i="28" s="1"/>
  <c r="R797" i="28"/>
  <c r="S797" i="28" s="1"/>
  <c r="R1062" i="28"/>
  <c r="S1062" i="28" s="1"/>
  <c r="R1019" i="28"/>
  <c r="S1019" i="28" s="1"/>
  <c r="R723" i="28"/>
  <c r="S723" i="28" s="1"/>
  <c r="R62" i="28"/>
  <c r="S62" i="28" s="1"/>
  <c r="R103" i="28"/>
  <c r="S103" i="28" s="1"/>
  <c r="R613" i="28"/>
  <c r="S613" i="28" s="1"/>
  <c r="R162" i="28"/>
  <c r="S162" i="28" s="1"/>
  <c r="R1180" i="28"/>
  <c r="S1180" i="28" s="1"/>
  <c r="R902" i="28"/>
  <c r="S902" i="28" s="1"/>
  <c r="R1317" i="28"/>
  <c r="S1317" i="28" s="1"/>
  <c r="R1318" i="28"/>
  <c r="S1318" i="28" s="1"/>
  <c r="R732" i="28"/>
  <c r="S732" i="28" s="1"/>
  <c r="R692" i="28"/>
  <c r="S692" i="28" s="1"/>
  <c r="R789" i="28"/>
  <c r="S789" i="28" s="1"/>
  <c r="R956" i="28"/>
  <c r="S956" i="28" s="1"/>
  <c r="R361" i="28"/>
  <c r="S361" i="28" s="1"/>
  <c r="R1063" i="28"/>
  <c r="S1063" i="28" s="1"/>
  <c r="R1164" i="28"/>
  <c r="S1164" i="28" s="1"/>
  <c r="R673" i="28"/>
  <c r="S673" i="28" s="1"/>
  <c r="R362" i="28"/>
  <c r="S362" i="28" s="1"/>
  <c r="R1213" i="28"/>
  <c r="S1213" i="28" s="1"/>
  <c r="R798" i="28"/>
  <c r="S798" i="28" s="1"/>
  <c r="R614" i="28"/>
  <c r="S614" i="28" s="1"/>
  <c r="R1064" i="28"/>
  <c r="S1064" i="28" s="1"/>
  <c r="R1065" i="28"/>
  <c r="S1065" i="28" s="1"/>
  <c r="R1374" i="28"/>
  <c r="S1374" i="28" s="1"/>
  <c r="R191" i="28"/>
  <c r="S191" i="28" s="1"/>
  <c r="R1319" i="28"/>
  <c r="S1319" i="28" s="1"/>
  <c r="R1455" i="28"/>
  <c r="S1455" i="28" s="1"/>
  <c r="R867" i="28"/>
  <c r="S867" i="28" s="1"/>
  <c r="R50" i="28"/>
  <c r="S50" i="28" s="1"/>
  <c r="R615" i="28"/>
  <c r="S615" i="28" s="1"/>
  <c r="R557" i="28"/>
  <c r="S557" i="28" s="1"/>
  <c r="R425" i="28"/>
  <c r="S425" i="28" s="1"/>
  <c r="R458" i="28"/>
  <c r="S458" i="28" s="1"/>
  <c r="R1320" i="28"/>
  <c r="S1320" i="28" s="1"/>
  <c r="R426" i="28"/>
  <c r="S426" i="28" s="1"/>
  <c r="R1181" i="28"/>
  <c r="S1181" i="28" s="1"/>
  <c r="R739" i="28"/>
  <c r="S739" i="28" s="1"/>
  <c r="R459" i="28"/>
  <c r="S459" i="28" s="1"/>
  <c r="R77" i="28"/>
  <c r="S77" i="28" s="1"/>
  <c r="R1214" i="28"/>
  <c r="S1214" i="28" s="1"/>
  <c r="R110" i="28"/>
  <c r="S110" i="28" s="1"/>
  <c r="R1066" i="28"/>
  <c r="S1066" i="28" s="1"/>
  <c r="R74" i="28"/>
  <c r="S74" i="28" s="1"/>
  <c r="R363" i="28"/>
  <c r="S363" i="28" s="1"/>
  <c r="R1321" i="28"/>
  <c r="S1321" i="28" s="1"/>
  <c r="R840" i="28"/>
  <c r="S840" i="28" s="1"/>
  <c r="R663" i="28"/>
  <c r="S663" i="28" s="1"/>
  <c r="R252" i="28"/>
  <c r="S252" i="28" s="1"/>
  <c r="R1135" i="28"/>
  <c r="S1135" i="28" s="1"/>
  <c r="R1182" i="28"/>
  <c r="S1182" i="28" s="1"/>
  <c r="R1371" i="28"/>
  <c r="S1371" i="28" s="1"/>
  <c r="R991" i="28"/>
  <c r="S991" i="28" s="1"/>
  <c r="R1301" i="28"/>
  <c r="S1301" i="28" s="1"/>
  <c r="R1149" i="28"/>
  <c r="S1149" i="28" s="1"/>
  <c r="R90" i="28"/>
  <c r="S90" i="28" s="1"/>
  <c r="R111" i="28"/>
  <c r="S111" i="28" s="1"/>
  <c r="R427" i="28"/>
  <c r="S427" i="28" s="1"/>
  <c r="R225" i="28"/>
  <c r="S225" i="28" s="1"/>
  <c r="R428" i="28"/>
  <c r="S428" i="28" s="1"/>
  <c r="R616" i="28"/>
  <c r="S616" i="28" s="1"/>
  <c r="R740" i="28"/>
  <c r="S740" i="28" s="1"/>
  <c r="R741" i="28"/>
  <c r="S741" i="28" s="1"/>
  <c r="R617" i="28"/>
  <c r="S617" i="28" s="1"/>
  <c r="R1069" i="28"/>
  <c r="S1069" i="28" s="1"/>
  <c r="R903" i="28"/>
  <c r="S903" i="28" s="1"/>
  <c r="R51" i="28"/>
  <c r="S51" i="28" s="1"/>
  <c r="R1322" i="28"/>
  <c r="S1322" i="28" s="1"/>
  <c r="R742" i="28"/>
  <c r="S742" i="28" s="1"/>
  <c r="R196" i="28"/>
  <c r="S196" i="28" s="1"/>
  <c r="R680" i="28"/>
  <c r="S680" i="28" s="1"/>
  <c r="R1025" i="28"/>
  <c r="S1025" i="28" s="1"/>
  <c r="R65" i="28"/>
  <c r="S65" i="28" s="1"/>
  <c r="R1026" i="28"/>
  <c r="S1026" i="28" s="1"/>
  <c r="R1165" i="28"/>
  <c r="S1165" i="28" s="1"/>
  <c r="R10" i="28"/>
  <c r="S10" i="28" s="1"/>
  <c r="R1008" i="28"/>
  <c r="S1008" i="28" s="1"/>
  <c r="R1027" i="28"/>
  <c r="S1027" i="28" s="1"/>
  <c r="R163" i="28"/>
  <c r="S163" i="28" s="1"/>
  <c r="R1133" i="28"/>
  <c r="S1133" i="28" s="1"/>
  <c r="R1028" i="28"/>
  <c r="S1028" i="28" s="1"/>
  <c r="R272" i="28"/>
  <c r="S272" i="28" s="1"/>
  <c r="R1054" i="28"/>
  <c r="S1054" i="28" s="1"/>
  <c r="R112" i="28"/>
  <c r="S112" i="28" s="1"/>
  <c r="R364" i="28"/>
  <c r="S364" i="28" s="1"/>
  <c r="R164" i="28"/>
  <c r="S164" i="28" s="1"/>
  <c r="R1146" i="28"/>
  <c r="S1146" i="28" s="1"/>
  <c r="R1215" i="28"/>
  <c r="S1215" i="28" s="1"/>
  <c r="R1029" i="28"/>
  <c r="S1029" i="28" s="1"/>
  <c r="R1415" i="28"/>
  <c r="S1415" i="28" s="1"/>
  <c r="R1446" i="28"/>
  <c r="S1446" i="28" s="1"/>
  <c r="R1070" i="28"/>
  <c r="S1070" i="28" s="1"/>
  <c r="R1071" i="28"/>
  <c r="S1071" i="28" s="1"/>
  <c r="R197" i="28"/>
  <c r="S197" i="28" s="1"/>
  <c r="R841" i="28"/>
  <c r="S841" i="28" s="1"/>
  <c r="R1216" i="28"/>
  <c r="S1216" i="28" s="1"/>
  <c r="R113" i="28"/>
  <c r="S113" i="28" s="1"/>
  <c r="R226" i="28"/>
  <c r="S226" i="28" s="1"/>
  <c r="R1217" i="28"/>
  <c r="S1217" i="28" s="1"/>
  <c r="R1072" i="28"/>
  <c r="S1072" i="28" s="1"/>
  <c r="R898" i="28"/>
  <c r="S898" i="28" s="1"/>
  <c r="R52" i="28"/>
  <c r="S52" i="28" s="1"/>
  <c r="R511" i="28"/>
  <c r="S511" i="28" s="1"/>
  <c r="R743" i="28"/>
  <c r="S743" i="28" s="1"/>
  <c r="R724" i="28"/>
  <c r="S724" i="28" s="1"/>
  <c r="R583" i="28"/>
  <c r="S583" i="28" s="1"/>
  <c r="R114" i="28"/>
  <c r="S114" i="28" s="1"/>
  <c r="R1117" i="28"/>
  <c r="S1117" i="28" s="1"/>
  <c r="R790" i="28"/>
  <c r="S790" i="28" s="1"/>
  <c r="R365" i="28"/>
  <c r="S365" i="28" s="1"/>
  <c r="R799" i="28"/>
  <c r="S799" i="28" s="1"/>
  <c r="R744" i="28"/>
  <c r="S744" i="28" s="1"/>
  <c r="R899" i="28"/>
  <c r="S899" i="28" s="1"/>
  <c r="R889" i="28"/>
  <c r="S889" i="28" s="1"/>
  <c r="R1298" i="28"/>
  <c r="S1298" i="28" s="1"/>
  <c r="R1323" i="28"/>
  <c r="S1323" i="28" s="1"/>
  <c r="R618" i="28"/>
  <c r="S618" i="28" s="1"/>
  <c r="R429" i="28"/>
  <c r="S429" i="28" s="1"/>
  <c r="R82" i="28"/>
  <c r="S82" i="28" s="1"/>
  <c r="R443" i="28"/>
  <c r="S443" i="28" s="1"/>
  <c r="R895" i="28"/>
  <c r="S895" i="28" s="1"/>
  <c r="R508" i="28"/>
  <c r="S508" i="28" s="1"/>
  <c r="R1263" i="28"/>
  <c r="S1263" i="28" s="1"/>
  <c r="R11" i="28"/>
  <c r="S11" i="28" s="1"/>
  <c r="R558" i="28"/>
  <c r="S558" i="28" s="1"/>
  <c r="R198" i="28"/>
  <c r="S198" i="28" s="1"/>
  <c r="R460" i="28"/>
  <c r="S460" i="28" s="1"/>
  <c r="R1447" i="28"/>
  <c r="S1447" i="28" s="1"/>
  <c r="R501" i="28"/>
  <c r="S501" i="28" s="1"/>
  <c r="R681" i="28"/>
  <c r="S681" i="28" s="1"/>
  <c r="R1073" i="28"/>
  <c r="S1073" i="28" s="1"/>
  <c r="R1324" i="28"/>
  <c r="S1324" i="28" s="1"/>
  <c r="R199" i="28"/>
  <c r="S199" i="28" s="1"/>
  <c r="R227" i="28"/>
  <c r="S227" i="28" s="1"/>
  <c r="R1218" i="28"/>
  <c r="S1218" i="28" s="1"/>
  <c r="R745" i="28"/>
  <c r="S745" i="28" s="1"/>
  <c r="R523" i="28"/>
  <c r="S523" i="28" s="1"/>
  <c r="R115" i="28"/>
  <c r="S115" i="28" s="1"/>
  <c r="R966" i="28"/>
  <c r="S966" i="28" s="1"/>
  <c r="R116" i="28"/>
  <c r="S116" i="28" s="1"/>
  <c r="R569" i="28"/>
  <c r="S569" i="28" s="1"/>
  <c r="R863" i="28"/>
  <c r="S863" i="28" s="1"/>
  <c r="R1011" i="28"/>
  <c r="S1011" i="28" s="1"/>
  <c r="R200" i="28"/>
  <c r="S200" i="28" s="1"/>
  <c r="R570" i="28"/>
  <c r="S570" i="28" s="1"/>
  <c r="R1183" i="28"/>
  <c r="S1183" i="28" s="1"/>
  <c r="R1456" i="28"/>
  <c r="S1456" i="28" s="1"/>
  <c r="R1325" i="28"/>
  <c r="S1325" i="28" s="1"/>
  <c r="R1136" i="28"/>
  <c r="S1136" i="28" s="1"/>
  <c r="R746" i="28"/>
  <c r="S746" i="28" s="1"/>
  <c r="R366" i="28"/>
  <c r="S366" i="28" s="1"/>
  <c r="R619" i="28"/>
  <c r="S619" i="28" s="1"/>
  <c r="R117" i="28"/>
  <c r="S117" i="28" s="1"/>
  <c r="R310" i="28"/>
  <c r="S310" i="28" s="1"/>
  <c r="R990" i="28"/>
  <c r="S990" i="28" s="1"/>
  <c r="R235" i="28"/>
  <c r="S235" i="28" s="1"/>
  <c r="R890" i="28"/>
  <c r="S890" i="28" s="1"/>
  <c r="R1326" i="28"/>
  <c r="S1326" i="28" s="1"/>
  <c r="R1219" i="28"/>
  <c r="S1219" i="28" s="1"/>
  <c r="R585" i="28"/>
  <c r="S585" i="28" s="1"/>
  <c r="R1327" i="28"/>
  <c r="S1327" i="28" s="1"/>
  <c r="R53" i="28"/>
  <c r="S53" i="28" s="1"/>
  <c r="R620" i="28"/>
  <c r="S620" i="28" s="1"/>
  <c r="R1302" i="28"/>
  <c r="S1302" i="28" s="1"/>
  <c r="R747" i="28"/>
  <c r="S747" i="28" s="1"/>
  <c r="R1118" i="28"/>
  <c r="S1118" i="28" s="1"/>
  <c r="R118" i="28"/>
  <c r="S118" i="28" s="1"/>
  <c r="R800" i="28"/>
  <c r="S800" i="28" s="1"/>
  <c r="R367" i="28"/>
  <c r="S367" i="28" s="1"/>
  <c r="R1259" i="28"/>
  <c r="S1259" i="28" s="1"/>
  <c r="R1431" i="28"/>
  <c r="S1431" i="28" s="1"/>
  <c r="R461" i="28"/>
  <c r="S461" i="28" s="1"/>
  <c r="R1148" i="28"/>
  <c r="S1148" i="28" s="1"/>
  <c r="R119" i="28"/>
  <c r="S119" i="28" s="1"/>
  <c r="R621" i="28"/>
  <c r="S621" i="28" s="1"/>
  <c r="R1328" i="28"/>
  <c r="S1328" i="28" s="1"/>
  <c r="R1220" i="28"/>
  <c r="S1220" i="28" s="1"/>
  <c r="R1329" i="28"/>
  <c r="S1329" i="28" s="1"/>
  <c r="R502" i="28"/>
  <c r="S502" i="28" s="1"/>
  <c r="R1401" i="28"/>
  <c r="S1401" i="28" s="1"/>
  <c r="R209" i="28"/>
  <c r="S209" i="28" s="1"/>
  <c r="R748" i="28"/>
  <c r="S748" i="28" s="1"/>
  <c r="R749" i="28"/>
  <c r="S749" i="28" s="1"/>
  <c r="R1330" i="28"/>
  <c r="S1330" i="28" s="1"/>
  <c r="R1221" i="28"/>
  <c r="S1221" i="28" s="1"/>
  <c r="R1457" i="28"/>
  <c r="S1457" i="28" s="1"/>
  <c r="R750" i="28"/>
  <c r="S750" i="28" s="1"/>
  <c r="R1303" i="28"/>
  <c r="S1303" i="28" s="1"/>
  <c r="R751" i="28"/>
  <c r="S751" i="28" s="1"/>
  <c r="R1222" i="28"/>
  <c r="S1222" i="28" s="1"/>
  <c r="R1074" i="28"/>
  <c r="S1074" i="28" s="1"/>
  <c r="R1075" i="28"/>
  <c r="S1075" i="28" s="1"/>
  <c r="R801" i="28"/>
  <c r="S801" i="28" s="1"/>
  <c r="R12" i="28"/>
  <c r="S12" i="28" s="1"/>
  <c r="R586" i="28"/>
  <c r="S586" i="28" s="1"/>
  <c r="R864" i="28"/>
  <c r="S864" i="28" s="1"/>
  <c r="R165" i="28"/>
  <c r="S165" i="28" s="1"/>
  <c r="R715" i="28"/>
  <c r="S715" i="28" s="1"/>
  <c r="R120" i="28"/>
  <c r="S120" i="28" s="1"/>
  <c r="R368" i="28"/>
  <c r="S368" i="28" s="1"/>
  <c r="R1184" i="28"/>
  <c r="S1184" i="28" s="1"/>
  <c r="R752" i="28"/>
  <c r="S752" i="28" s="1"/>
  <c r="R622" i="28"/>
  <c r="S622" i="28" s="1"/>
  <c r="R1402" i="28"/>
  <c r="S1402" i="28" s="1"/>
  <c r="R1012" i="28"/>
  <c r="S1012" i="28" s="1"/>
  <c r="R84" i="28"/>
  <c r="S84" i="28" s="1"/>
  <c r="R967" i="28"/>
  <c r="S967" i="28" s="1"/>
  <c r="R13" i="28"/>
  <c r="S13" i="28" s="1"/>
  <c r="R91" i="28"/>
  <c r="S91" i="28" s="1"/>
  <c r="R1267" i="28"/>
  <c r="S1267" i="28" s="1"/>
  <c r="R121" i="28"/>
  <c r="S121" i="28" s="1"/>
  <c r="R122" i="28"/>
  <c r="S122" i="28" s="1"/>
  <c r="R1223" i="28"/>
  <c r="S1223" i="28" s="1"/>
  <c r="R753" i="28"/>
  <c r="S753" i="28" s="1"/>
  <c r="R123" i="28"/>
  <c r="S123" i="28" s="1"/>
  <c r="R201" i="28"/>
  <c r="S201" i="28" s="1"/>
  <c r="R124" i="28"/>
  <c r="S124" i="28" s="1"/>
  <c r="R311" i="28"/>
  <c r="S311" i="28" s="1"/>
  <c r="R1331" i="28"/>
  <c r="S1331" i="28" s="1"/>
  <c r="R868" i="28"/>
  <c r="S868" i="28" s="1"/>
  <c r="R1332" i="28"/>
  <c r="S1332" i="28" s="1"/>
  <c r="R1224" i="28"/>
  <c r="S1224" i="28" s="1"/>
  <c r="R1225" i="28"/>
  <c r="S1225" i="28" s="1"/>
  <c r="R125" i="28"/>
  <c r="S125" i="28" s="1"/>
  <c r="R1333" i="28"/>
  <c r="S1333" i="28" s="1"/>
  <c r="R865" i="28"/>
  <c r="S865" i="28" s="1"/>
  <c r="R1226" i="28"/>
  <c r="S1226" i="28" s="1"/>
  <c r="R802" i="28"/>
  <c r="S802" i="28" s="1"/>
  <c r="R85" i="28"/>
  <c r="S85" i="28" s="1"/>
  <c r="R803" i="28"/>
  <c r="S803" i="28" s="1"/>
  <c r="R166" i="28"/>
  <c r="S166" i="28" s="1"/>
  <c r="R14" i="28"/>
  <c r="S14" i="28" s="1"/>
  <c r="R1030" i="28"/>
  <c r="S1030" i="28" s="1"/>
  <c r="R1076" i="28"/>
  <c r="S1076" i="28" s="1"/>
  <c r="R1031" i="28"/>
  <c r="S1031" i="28" s="1"/>
  <c r="R167" i="28"/>
  <c r="S167" i="28" s="1"/>
  <c r="R369" i="28"/>
  <c r="S369" i="28" s="1"/>
  <c r="R370" i="28"/>
  <c r="S370" i="28" s="1"/>
  <c r="R1334" i="28"/>
  <c r="S1334" i="28" s="1"/>
  <c r="R869" i="28"/>
  <c r="S869" i="28" s="1"/>
  <c r="R804" i="28"/>
  <c r="S804" i="28" s="1"/>
  <c r="R1403" i="28"/>
  <c r="S1403" i="28" s="1"/>
  <c r="R15" i="28"/>
  <c r="S15" i="28" s="1"/>
  <c r="R1055" i="28"/>
  <c r="S1055" i="28" s="1"/>
  <c r="R328" i="28"/>
  <c r="S328" i="28" s="1"/>
  <c r="R805" i="28"/>
  <c r="S805" i="28" s="1"/>
  <c r="R754" i="28"/>
  <c r="S754" i="28" s="1"/>
  <c r="R126" i="28"/>
  <c r="S126" i="28" s="1"/>
  <c r="R127" i="28"/>
  <c r="S127" i="28" s="1"/>
  <c r="R1335" i="28"/>
  <c r="S1335" i="28" s="1"/>
  <c r="R1003" i="28"/>
  <c r="S1003" i="28" s="1"/>
  <c r="R4" i="28"/>
  <c r="S4" i="28" s="1"/>
  <c r="R623" i="28"/>
  <c r="S623" i="28" s="1"/>
  <c r="R1375" i="28"/>
  <c r="S1375" i="28" s="1"/>
  <c r="R900" i="28"/>
  <c r="S900" i="28" s="1"/>
  <c r="R462" i="28"/>
  <c r="S462" i="28" s="1"/>
  <c r="R1120" i="28"/>
  <c r="S1120" i="28" s="1"/>
  <c r="R1121" i="28"/>
  <c r="S1121" i="28" s="1"/>
  <c r="R1404" i="28"/>
  <c r="S1404" i="28" s="1"/>
  <c r="R16" i="28"/>
  <c r="S16" i="28" s="1"/>
  <c r="R861" i="28"/>
  <c r="S861" i="28" s="1"/>
  <c r="R1227" i="28"/>
  <c r="S1227" i="28" s="1"/>
  <c r="R1336" i="28"/>
  <c r="S1336" i="28" s="1"/>
  <c r="R1185" i="28"/>
  <c r="S1185" i="28" s="1"/>
  <c r="R806" i="28"/>
  <c r="S806" i="28" s="1"/>
  <c r="R1186" i="28"/>
  <c r="S1186" i="28" s="1"/>
  <c r="R128" i="28"/>
  <c r="S128" i="28" s="1"/>
  <c r="R904" i="28"/>
  <c r="S904" i="28" s="1"/>
  <c r="R228" i="28"/>
  <c r="S228" i="28" s="1"/>
  <c r="R129" i="28"/>
  <c r="S129" i="28" s="1"/>
  <c r="R1150" i="28"/>
  <c r="S1150" i="28" s="1"/>
  <c r="R524" i="28"/>
  <c r="S524" i="28" s="1"/>
  <c r="R1077" i="28"/>
  <c r="S1077" i="28" s="1"/>
  <c r="R807" i="28"/>
  <c r="S807" i="28" s="1"/>
  <c r="R63" i="28"/>
  <c r="S63" i="28" s="1"/>
  <c r="R1228" i="28"/>
  <c r="S1228" i="28" s="1"/>
  <c r="R86" i="28"/>
  <c r="S86" i="28" s="1"/>
  <c r="R968" i="28"/>
  <c r="S968" i="28" s="1"/>
  <c r="R430" i="28"/>
  <c r="S430" i="28" s="1"/>
  <c r="R755" i="28"/>
  <c r="S755" i="28" s="1"/>
  <c r="R525" i="28"/>
  <c r="S525" i="28" s="1"/>
  <c r="R571" i="28"/>
  <c r="S571" i="28" s="1"/>
  <c r="R1257" i="28"/>
  <c r="S1257" i="28" s="1"/>
  <c r="R130" i="28"/>
  <c r="S130" i="28" s="1"/>
  <c r="R131" i="28"/>
  <c r="S131" i="28" s="1"/>
  <c r="R132" i="28"/>
  <c r="S132" i="28" s="1"/>
  <c r="R624" i="28"/>
  <c r="S624" i="28" s="1"/>
  <c r="R625" i="28"/>
  <c r="S625" i="28" s="1"/>
  <c r="R1229" i="28"/>
  <c r="S1229" i="28" s="1"/>
  <c r="R756" i="28"/>
  <c r="S756" i="28" s="1"/>
  <c r="R1254" i="28"/>
  <c r="S1254" i="28" s="1"/>
  <c r="R329" i="28"/>
  <c r="S329" i="28" s="1"/>
  <c r="R1187" i="28"/>
  <c r="S1187" i="28" s="1"/>
  <c r="R253" i="28"/>
  <c r="S253" i="28" s="1"/>
  <c r="R969" i="28"/>
  <c r="S969" i="28" s="1"/>
  <c r="R168" i="28"/>
  <c r="S168" i="28" s="1"/>
  <c r="R757" i="28"/>
  <c r="S757" i="28" s="1"/>
  <c r="R169" i="28"/>
  <c r="S169" i="28" s="1"/>
  <c r="R1032" i="28"/>
  <c r="S1032" i="28" s="1"/>
  <c r="R17" i="28"/>
  <c r="S17" i="28" s="1"/>
  <c r="R236" i="28"/>
  <c r="S236" i="28" s="1"/>
  <c r="R202" i="28"/>
  <c r="S202" i="28" s="1"/>
  <c r="R1033" i="28"/>
  <c r="S1033" i="28" s="1"/>
  <c r="R1230" i="28"/>
  <c r="S1230" i="28" s="1"/>
  <c r="R463" i="28"/>
  <c r="S463" i="28" s="1"/>
  <c r="R1034" i="28"/>
  <c r="S1034" i="28" s="1"/>
  <c r="R1448" i="28"/>
  <c r="S1448" i="28" s="1"/>
  <c r="R1013" i="28"/>
  <c r="S1013" i="28" s="1"/>
  <c r="R1078" i="28"/>
  <c r="S1078" i="28" s="1"/>
  <c r="R905" i="28"/>
  <c r="S905" i="28" s="1"/>
  <c r="R133" i="28"/>
  <c r="S133" i="28" s="1"/>
  <c r="R626" i="28"/>
  <c r="S626" i="28" s="1"/>
  <c r="R1014" i="28"/>
  <c r="S1014" i="28" s="1"/>
  <c r="R83" i="28"/>
  <c r="S83" i="28" s="1"/>
  <c r="R758" i="28"/>
  <c r="S758" i="28" s="1"/>
  <c r="R505" i="28"/>
  <c r="S505" i="28" s="1"/>
  <c r="R1270" i="28"/>
  <c r="S1270" i="28" s="1"/>
  <c r="R371" i="28"/>
  <c r="S371" i="28" s="1"/>
  <c r="R1412" i="28"/>
  <c r="S1412" i="28" s="1"/>
  <c r="R1079" i="28"/>
  <c r="S1079" i="28" s="1"/>
  <c r="R906" i="28"/>
  <c r="S906" i="28" s="1"/>
  <c r="R210" i="28"/>
  <c r="S210" i="28" s="1"/>
  <c r="R211" i="28"/>
  <c r="S211" i="28" s="1"/>
  <c r="R170" i="28"/>
  <c r="S170" i="28" s="1"/>
  <c r="R171" i="28"/>
  <c r="S171" i="28" s="1"/>
  <c r="R1080" i="28"/>
  <c r="S1080" i="28" s="1"/>
  <c r="R907" i="28"/>
  <c r="S907" i="28" s="1"/>
  <c r="R1081" i="28"/>
  <c r="S1081" i="28" s="1"/>
  <c r="R134" i="28"/>
  <c r="S134" i="28" s="1"/>
  <c r="R870" i="28"/>
  <c r="S870" i="28" s="1"/>
  <c r="R1188" i="28"/>
  <c r="S1188" i="28" s="1"/>
  <c r="R871" i="28"/>
  <c r="S871" i="28" s="1"/>
  <c r="R759" i="28"/>
  <c r="S759" i="28" s="1"/>
  <c r="R135" i="28"/>
  <c r="S135" i="28" s="1"/>
  <c r="R1035" i="28"/>
  <c r="S1035" i="28" s="1"/>
  <c r="R172" i="28"/>
  <c r="S172" i="28" s="1"/>
  <c r="R372" i="28"/>
  <c r="S372" i="28" s="1"/>
  <c r="R203" i="28"/>
  <c r="S203" i="28" s="1"/>
  <c r="R1082" i="28"/>
  <c r="S1082" i="28" s="1"/>
  <c r="R373" i="28"/>
  <c r="S373" i="28" s="1"/>
  <c r="R1122" i="28"/>
  <c r="S1122" i="28" s="1"/>
  <c r="R330" i="28"/>
  <c r="S330" i="28" s="1"/>
  <c r="R1151" i="28"/>
  <c r="S1151" i="28" s="1"/>
  <c r="R173" i="28"/>
  <c r="S173" i="28" s="1"/>
  <c r="R136" i="28"/>
  <c r="S136" i="28" s="1"/>
  <c r="R1189" i="28"/>
  <c r="S1189" i="28" s="1"/>
  <c r="R1190" i="28"/>
  <c r="S1190" i="28" s="1"/>
  <c r="R174" i="28"/>
  <c r="S174" i="28" s="1"/>
  <c r="R908" i="28"/>
  <c r="S908" i="28" s="1"/>
  <c r="R909" i="28"/>
  <c r="S909" i="28" s="1"/>
  <c r="R374" i="28"/>
  <c r="S374" i="28" s="1"/>
  <c r="R137" i="28"/>
  <c r="S137" i="28" s="1"/>
  <c r="R175" i="28"/>
  <c r="S175" i="28" s="1"/>
  <c r="R176" i="28"/>
  <c r="S176" i="28" s="1"/>
  <c r="R1191" i="28"/>
  <c r="S1191" i="28" s="1"/>
  <c r="R1337" i="28"/>
  <c r="S1337" i="28" s="1"/>
  <c r="R1458" i="28"/>
  <c r="S1458" i="28" s="1"/>
  <c r="R697" i="28"/>
  <c r="S697" i="28" s="1"/>
  <c r="R698" i="28"/>
  <c r="S698" i="28" s="1"/>
  <c r="R699" i="28"/>
  <c r="S699" i="28" s="1"/>
  <c r="R331" i="28"/>
  <c r="S331" i="28" s="1"/>
  <c r="R1036" i="28"/>
  <c r="S1036" i="28" s="1"/>
  <c r="R177" i="28"/>
  <c r="S177" i="28" s="1"/>
  <c r="R970" i="28"/>
  <c r="S970" i="28" s="1"/>
  <c r="R971" i="28"/>
  <c r="S971" i="28" s="1"/>
  <c r="R1338" i="28"/>
  <c r="S1338" i="28" s="1"/>
  <c r="R1339" i="28"/>
  <c r="S1339" i="28" s="1"/>
  <c r="R1340" i="28"/>
  <c r="S1340" i="28" s="1"/>
  <c r="R1341" i="28"/>
  <c r="S1341" i="28" s="1"/>
  <c r="R972" i="28"/>
  <c r="S972" i="28" s="1"/>
  <c r="R1231" i="28"/>
  <c r="S1231" i="28" s="1"/>
  <c r="R1232" i="28"/>
  <c r="S1232" i="28" s="1"/>
  <c r="R1342" i="28"/>
  <c r="S1342" i="28" s="1"/>
  <c r="R464" i="28"/>
  <c r="S464" i="28" s="1"/>
  <c r="R1233" i="28"/>
  <c r="S1233" i="28" s="1"/>
  <c r="R465" i="28"/>
  <c r="S465" i="28" s="1"/>
  <c r="R1343" i="28"/>
  <c r="S1343" i="28" s="1"/>
  <c r="R1344" i="28"/>
  <c r="S1344" i="28" s="1"/>
  <c r="R1234" i="28"/>
  <c r="S1234" i="28" s="1"/>
  <c r="R466" i="28"/>
  <c r="S466" i="28" s="1"/>
  <c r="R1235" i="28"/>
  <c r="S1235" i="28" s="1"/>
  <c r="R973" i="28"/>
  <c r="S973" i="28" s="1"/>
  <c r="R1345" i="28"/>
  <c r="S1345" i="28" s="1"/>
  <c r="R974" i="28"/>
  <c r="S974" i="28" s="1"/>
  <c r="R975" i="28"/>
  <c r="S975" i="28" s="1"/>
  <c r="R467" i="28"/>
  <c r="S467" i="28" s="1"/>
  <c r="R468" i="28"/>
  <c r="S468" i="28" s="1"/>
  <c r="R976" i="28"/>
  <c r="S976" i="28" s="1"/>
  <c r="R1083" i="28"/>
  <c r="S1083" i="28" s="1"/>
  <c r="R1123" i="28"/>
  <c r="S1123" i="28" s="1"/>
  <c r="R1236" i="28"/>
  <c r="S1236" i="28" s="1"/>
  <c r="R1084" i="28"/>
  <c r="S1084" i="28" s="1"/>
  <c r="R808" i="28"/>
  <c r="S808" i="28" s="1"/>
  <c r="R1037" i="28"/>
  <c r="S1037" i="28" s="1"/>
  <c r="R872" i="28"/>
  <c r="S872" i="28" s="1"/>
  <c r="R178" i="28"/>
  <c r="S178" i="28" s="1"/>
  <c r="R1346" i="28"/>
  <c r="S1346" i="28" s="1"/>
  <c r="R1347" i="28"/>
  <c r="S1347" i="28" s="1"/>
  <c r="R873" i="28"/>
  <c r="S873" i="28" s="1"/>
  <c r="R469" i="28"/>
  <c r="S469" i="28" s="1"/>
  <c r="R1237" i="28"/>
  <c r="S1237" i="28" s="1"/>
  <c r="R470" i="28"/>
  <c r="S470" i="28" s="1"/>
  <c r="R471" i="28"/>
  <c r="S471" i="28" s="1"/>
  <c r="R1348" i="28"/>
  <c r="S1348" i="28" s="1"/>
  <c r="R138" i="28"/>
  <c r="S138" i="28" s="1"/>
  <c r="R139" i="28"/>
  <c r="S139" i="28" s="1"/>
  <c r="R1038" i="28"/>
  <c r="S1038" i="28" s="1"/>
  <c r="R140" i="28"/>
  <c r="S140" i="28" s="1"/>
  <c r="R1039" i="28"/>
  <c r="S1039" i="28" s="1"/>
  <c r="R910" i="28"/>
  <c r="S910" i="28" s="1"/>
  <c r="R204" i="28"/>
  <c r="S204" i="28" s="1"/>
  <c r="R911" i="28"/>
  <c r="S911" i="28" s="1"/>
  <c r="R912" i="28"/>
  <c r="S912" i="28" s="1"/>
  <c r="R809" i="28"/>
  <c r="S809" i="28" s="1"/>
  <c r="R375" i="28"/>
  <c r="S375" i="28" s="1"/>
  <c r="R1085" i="28"/>
  <c r="S1085" i="28" s="1"/>
  <c r="R842" i="28"/>
  <c r="S842" i="28" s="1"/>
  <c r="R1376" i="28"/>
  <c r="S1376" i="28" s="1"/>
  <c r="R1377" i="28"/>
  <c r="S1377" i="28" s="1"/>
  <c r="R760" i="28"/>
  <c r="S760" i="28" s="1"/>
  <c r="R18" i="28"/>
  <c r="S18" i="28" s="1"/>
  <c r="R19" i="28"/>
  <c r="S19" i="28" s="1"/>
  <c r="R141" i="28"/>
  <c r="S141" i="28" s="1"/>
  <c r="R1040" i="28"/>
  <c r="S1040" i="28" s="1"/>
  <c r="R472" i="28"/>
  <c r="S472" i="28" s="1"/>
  <c r="R506" i="28"/>
  <c r="S506" i="28" s="1"/>
  <c r="R791" i="28"/>
  <c r="S791" i="28" s="1"/>
  <c r="R792" i="28"/>
  <c r="S792" i="28" s="1"/>
  <c r="R572" i="28"/>
  <c r="S572" i="28" s="1"/>
  <c r="R573" i="28"/>
  <c r="S573" i="28" s="1"/>
  <c r="R793" i="28"/>
  <c r="S793" i="28" s="1"/>
  <c r="R87" i="28"/>
  <c r="S87" i="28" s="1"/>
  <c r="R1124" i="28"/>
  <c r="S1124" i="28" s="1"/>
  <c r="R1041" i="28"/>
  <c r="S1041" i="28" s="1"/>
  <c r="R874" i="28"/>
  <c r="S874" i="28" s="1"/>
  <c r="R20" i="28"/>
  <c r="S20" i="28" s="1"/>
  <c r="R179" i="28"/>
  <c r="S179" i="28" s="1"/>
  <c r="R180" i="28"/>
  <c r="S180" i="28" s="1"/>
  <c r="R142" i="28"/>
  <c r="S142" i="28" s="1"/>
  <c r="R143" i="28"/>
  <c r="S143" i="28" s="1"/>
  <c r="R1042" i="28"/>
  <c r="S1042" i="28" s="1"/>
  <c r="R144" i="28"/>
  <c r="S144" i="28" s="1"/>
  <c r="R181" i="28"/>
  <c r="S181" i="28" s="1"/>
  <c r="R1043" i="28"/>
  <c r="S1043" i="28" s="1"/>
  <c r="R182" i="28"/>
  <c r="S182" i="28" s="1"/>
  <c r="R1044" i="28"/>
  <c r="S1044" i="28" s="1"/>
  <c r="R183" i="28"/>
  <c r="S183" i="28" s="1"/>
  <c r="R184" i="28"/>
  <c r="S184" i="28" s="1"/>
  <c r="R1045" i="28"/>
  <c r="S1045" i="28" s="1"/>
  <c r="R145" i="28"/>
  <c r="S145" i="28" s="1"/>
  <c r="R185" i="28"/>
  <c r="S185" i="28" s="1"/>
  <c r="R1192" i="28"/>
  <c r="S1192" i="28" s="1"/>
  <c r="R1193" i="28"/>
  <c r="S1193" i="28" s="1"/>
  <c r="R473" i="28"/>
  <c r="S473" i="28" s="1"/>
  <c r="R1238" i="28"/>
  <c r="S1238" i="28" s="1"/>
  <c r="R1239" i="28"/>
  <c r="S1239" i="28" s="1"/>
  <c r="R474" i="28"/>
  <c r="S474" i="28" s="1"/>
  <c r="R1240" i="28"/>
  <c r="S1240" i="28" s="1"/>
  <c r="R913" i="28"/>
  <c r="S913" i="28" s="1"/>
  <c r="R376" i="28"/>
  <c r="S376" i="28" s="1"/>
  <c r="R1086" i="28"/>
  <c r="S1086" i="28" s="1"/>
  <c r="R914" i="28"/>
  <c r="S914" i="28" s="1"/>
  <c r="R1087" i="28"/>
  <c r="S1087" i="28" s="1"/>
  <c r="R915" i="28"/>
  <c r="S915" i="28" s="1"/>
  <c r="R1088" i="28"/>
  <c r="S1088" i="28" s="1"/>
  <c r="R1089" i="28"/>
  <c r="S1089" i="28" s="1"/>
  <c r="R810" i="28"/>
  <c r="S810" i="28" s="1"/>
  <c r="R1090" i="28"/>
  <c r="S1090" i="28" s="1"/>
  <c r="R811" i="28"/>
  <c r="S811" i="28" s="1"/>
  <c r="R812" i="28"/>
  <c r="S812" i="28" s="1"/>
  <c r="R186" i="28"/>
  <c r="S186" i="28" s="1"/>
  <c r="R1194" i="28"/>
  <c r="S1194" i="28" s="1"/>
  <c r="R1046" i="28"/>
  <c r="S1046" i="28" s="1"/>
  <c r="R1047" i="28"/>
  <c r="S1047" i="28" s="1"/>
  <c r="R187" i="28"/>
  <c r="S187" i="28" s="1"/>
  <c r="R627" i="28"/>
  <c r="S627" i="28" s="1"/>
  <c r="R628" i="28"/>
  <c r="S628" i="28" s="1"/>
  <c r="R1241" i="28"/>
  <c r="S1241" i="28" s="1"/>
  <c r="R1242" i="28"/>
  <c r="S1242" i="28" s="1"/>
  <c r="R1243" i="28"/>
  <c r="S1243" i="28" s="1"/>
  <c r="R475" i="28"/>
  <c r="S475" i="28" s="1"/>
  <c r="R1349" i="28"/>
  <c r="S1349" i="28" s="1"/>
  <c r="R977" i="28"/>
  <c r="S977" i="28" s="1"/>
  <c r="R916" i="28"/>
  <c r="S916" i="28" s="1"/>
  <c r="R1091" i="28"/>
  <c r="S1091" i="28" s="1"/>
  <c r="R813" i="28"/>
  <c r="S813" i="28" s="1"/>
  <c r="R574" i="28"/>
  <c r="S574" i="28" s="1"/>
  <c r="R978" i="28"/>
  <c r="S978" i="28" s="1"/>
  <c r="R1092" i="28"/>
  <c r="S1092" i="28" s="1"/>
  <c r="R1244" i="28"/>
  <c r="S1244" i="28" s="1"/>
  <c r="R1350" i="28"/>
  <c r="S1350" i="28" s="1"/>
  <c r="R814" i="28"/>
  <c r="S814" i="28" s="1"/>
  <c r="R1093" i="28"/>
  <c r="S1093" i="28" s="1"/>
  <c r="R917" i="28"/>
  <c r="S917" i="28" s="1"/>
  <c r="R377" i="28"/>
  <c r="S377" i="28" s="1"/>
  <c r="R237" i="28"/>
  <c r="S237" i="28" s="1"/>
  <c r="R1351" i="28"/>
  <c r="S1351" i="28" s="1"/>
  <c r="R476" i="28"/>
  <c r="S476" i="28" s="1"/>
  <c r="R1245" i="28"/>
  <c r="S1245" i="28" s="1"/>
  <c r="R1352" i="28"/>
  <c r="S1352" i="28" s="1"/>
  <c r="R979" i="28"/>
  <c r="S979" i="28" s="1"/>
  <c r="R1119" i="28"/>
  <c r="S1119" i="28" s="1"/>
  <c r="R980" i="28"/>
  <c r="S980" i="28" s="1"/>
  <c r="R875" i="28"/>
  <c r="S875" i="28" s="1"/>
  <c r="R477" i="28"/>
  <c r="S477" i="28" s="1"/>
  <c r="R1246" i="28"/>
  <c r="S1246" i="28" s="1"/>
  <c r="R478" i="28"/>
  <c r="S478" i="28" s="1"/>
  <c r="R378" i="28"/>
  <c r="S378" i="28" s="1"/>
  <c r="R479" i="28"/>
  <c r="S479" i="28" s="1"/>
  <c r="R815" i="28"/>
  <c r="S815" i="28" s="1"/>
  <c r="R379" i="28"/>
  <c r="S379" i="28" s="1"/>
  <c r="R380" i="28"/>
  <c r="S380" i="28" s="1"/>
  <c r="R480" i="28"/>
  <c r="S480" i="28" s="1"/>
  <c r="R381" i="28"/>
  <c r="S381" i="28" s="1"/>
  <c r="R431" i="28"/>
  <c r="S431" i="28" s="1"/>
  <c r="R816" i="28"/>
  <c r="S816" i="28" s="1"/>
  <c r="R382" i="28"/>
  <c r="S382" i="28" s="1"/>
  <c r="R481" i="28"/>
  <c r="S481" i="28" s="1"/>
  <c r="R432" i="28"/>
  <c r="S432" i="28" s="1"/>
  <c r="R433" i="28"/>
  <c r="S433" i="28" s="1"/>
  <c r="R1094" i="28"/>
  <c r="S1094" i="28" s="1"/>
  <c r="R817" i="28"/>
  <c r="S817" i="28" s="1"/>
  <c r="R383" i="28"/>
  <c r="S383" i="28" s="1"/>
  <c r="R918" i="28"/>
  <c r="S918" i="28" s="1"/>
  <c r="R919" i="28"/>
  <c r="S919" i="28" s="1"/>
  <c r="R384" i="28"/>
  <c r="S384" i="28" s="1"/>
  <c r="R1095" i="28"/>
  <c r="S1095" i="28" s="1"/>
  <c r="R21" i="28"/>
  <c r="S21" i="28" s="1"/>
  <c r="R92" i="28"/>
  <c r="S92" i="28" s="1"/>
  <c r="R308" i="28"/>
  <c r="S308" i="28" s="1"/>
  <c r="R981" i="28"/>
  <c r="S981" i="28" s="1"/>
  <c r="R1353" i="28"/>
  <c r="S1353" i="28" s="1"/>
  <c r="R982" i="28"/>
  <c r="S982" i="28" s="1"/>
  <c r="R385" i="28"/>
  <c r="S385" i="28" s="1"/>
  <c r="R386" i="28"/>
  <c r="S386" i="28" s="1"/>
  <c r="R387" i="28"/>
  <c r="S387" i="28" s="1"/>
  <c r="R22" i="28"/>
  <c r="S22" i="28" s="1"/>
  <c r="R23" i="28"/>
  <c r="S23" i="28" s="1"/>
  <c r="R146" i="28"/>
  <c r="S146" i="28" s="1"/>
  <c r="R1195" i="28"/>
  <c r="S1195" i="28" s="1"/>
  <c r="R388" i="28"/>
  <c r="S388" i="28" s="1"/>
  <c r="R1096" i="28"/>
  <c r="S1096" i="28" s="1"/>
  <c r="R389" i="28"/>
  <c r="S389" i="28" s="1"/>
  <c r="R390" i="28"/>
  <c r="S390" i="28" s="1"/>
  <c r="R391" i="28"/>
  <c r="S391" i="28" s="1"/>
  <c r="R392" i="28"/>
  <c r="S392" i="28" s="1"/>
  <c r="R1097" i="28"/>
  <c r="S1097" i="28" s="1"/>
  <c r="R818" i="28"/>
  <c r="S818" i="28" s="1"/>
  <c r="R393" i="28"/>
  <c r="S393" i="28" s="1"/>
  <c r="R24" i="28"/>
  <c r="S24" i="28" s="1"/>
  <c r="R147" i="28"/>
  <c r="S147" i="28" s="1"/>
  <c r="R25" i="28"/>
  <c r="S25" i="28" s="1"/>
  <c r="R876" i="28"/>
  <c r="S876" i="28" s="1"/>
  <c r="R26" i="28"/>
  <c r="S26" i="28" s="1"/>
  <c r="R877" i="28"/>
  <c r="S877" i="28" s="1"/>
  <c r="R394" i="28"/>
  <c r="S394" i="28" s="1"/>
  <c r="R395" i="28"/>
  <c r="S395" i="28" s="1"/>
  <c r="R1098" i="28"/>
  <c r="S1098" i="28" s="1"/>
  <c r="R819" i="28"/>
  <c r="S819" i="28" s="1"/>
  <c r="R396" i="28"/>
  <c r="S396" i="28" s="1"/>
  <c r="R27" i="28"/>
  <c r="S27" i="28" s="1"/>
  <c r="R761" i="28"/>
  <c r="S761" i="28" s="1"/>
  <c r="R28" i="28"/>
  <c r="S28" i="28" s="1"/>
  <c r="R878" i="28"/>
  <c r="S878" i="28" s="1"/>
  <c r="R54" i="28"/>
  <c r="S54" i="28" s="1"/>
  <c r="R57" i="28"/>
  <c r="S57" i="28" s="1"/>
  <c r="R762" i="28"/>
  <c r="S762" i="28" s="1"/>
  <c r="R602" i="28"/>
  <c r="S602" i="28" s="1"/>
  <c r="R879" i="28"/>
  <c r="S879" i="28" s="1"/>
  <c r="R29" i="28"/>
  <c r="S29" i="28" s="1"/>
  <c r="R880" i="28"/>
  <c r="S880" i="28" s="1"/>
  <c r="R1247" i="28"/>
  <c r="S1247" i="28" s="1"/>
  <c r="R629" i="28"/>
  <c r="S629" i="28" s="1"/>
  <c r="R630" i="28"/>
  <c r="S630" i="28" s="1"/>
  <c r="R631" i="28"/>
  <c r="S631" i="28" s="1"/>
  <c r="R1354" i="28"/>
  <c r="S1354" i="28" s="1"/>
  <c r="R1258" i="28"/>
  <c r="S1258" i="28" s="1"/>
  <c r="R397" i="28"/>
  <c r="S397" i="28" s="1"/>
  <c r="R398" i="28"/>
  <c r="S398" i="28" s="1"/>
  <c r="R399" i="28"/>
  <c r="S399" i="28" s="1"/>
  <c r="R1099" i="28"/>
  <c r="S1099" i="28" s="1"/>
  <c r="R205" i="28"/>
  <c r="S205" i="28" s="1"/>
  <c r="R820" i="28"/>
  <c r="S820" i="28" s="1"/>
  <c r="R400" i="28"/>
  <c r="S400" i="28" s="1"/>
  <c r="R821" i="28"/>
  <c r="S821" i="28" s="1"/>
  <c r="R401" i="28"/>
  <c r="S401" i="28" s="1"/>
  <c r="R30" i="28"/>
  <c r="S30" i="28" s="1"/>
  <c r="R296" i="28"/>
  <c r="S296" i="28" s="1"/>
  <c r="R31" i="28"/>
  <c r="S31" i="28" s="1"/>
  <c r="R32" i="28"/>
  <c r="S32" i="28" s="1"/>
  <c r="R33" i="28"/>
  <c r="S33" i="28" s="1"/>
  <c r="R881" i="28"/>
  <c r="S881" i="28" s="1"/>
  <c r="R1196" i="28"/>
  <c r="S1196" i="28" s="1"/>
  <c r="R34" i="28"/>
  <c r="S34" i="28" s="1"/>
  <c r="R1197" i="28"/>
  <c r="S1197" i="28" s="1"/>
  <c r="R35" i="28"/>
  <c r="S35" i="28" s="1"/>
  <c r="R36" i="28"/>
  <c r="S36" i="28" s="1"/>
  <c r="R1204" i="28"/>
  <c r="S1204" i="28" s="1"/>
  <c r="R229" i="28"/>
  <c r="S229" i="28" s="1"/>
  <c r="R1248" i="28"/>
  <c r="S1248" i="28" s="1"/>
  <c r="R1249" i="28"/>
  <c r="S1249" i="28" s="1"/>
  <c r="R1100" i="28"/>
  <c r="S1100" i="28" s="1"/>
  <c r="R1101" i="28"/>
  <c r="S1101" i="28" s="1"/>
  <c r="R1152" i="28"/>
  <c r="S1152" i="28" s="1"/>
  <c r="R37" i="28"/>
  <c r="S37" i="28" s="1"/>
  <c r="R190" i="28"/>
  <c r="S190" i="28" s="1"/>
  <c r="R38" i="28"/>
  <c r="S38" i="28" s="1"/>
  <c r="R882" i="28"/>
  <c r="S882" i="28" s="1"/>
  <c r="R39" i="28"/>
  <c r="S39" i="28" s="1"/>
  <c r="R883" i="28"/>
  <c r="S883" i="28" s="1"/>
  <c r="R148" i="28"/>
  <c r="S148" i="28" s="1"/>
  <c r="R55" i="28"/>
  <c r="S55" i="28" s="1"/>
  <c r="R149" i="28"/>
  <c r="S149" i="28" s="1"/>
  <c r="R230" i="28"/>
  <c r="S230" i="28" s="1"/>
  <c r="R231" i="28"/>
  <c r="S231" i="28" s="1"/>
  <c r="R1355" i="28"/>
  <c r="S1355" i="28" s="1"/>
  <c r="R402" i="28"/>
  <c r="S402" i="28" s="1"/>
  <c r="R403" i="28"/>
  <c r="S403" i="28" s="1"/>
  <c r="R404" i="28"/>
  <c r="S404" i="28" s="1"/>
  <c r="R405" i="28"/>
  <c r="S405" i="28" s="1"/>
  <c r="R1102" i="28"/>
  <c r="S1102" i="28" s="1"/>
  <c r="R1103" i="28"/>
  <c r="S1103" i="28" s="1"/>
  <c r="R928" i="28"/>
  <c r="S928" i="28" s="1"/>
  <c r="R509" i="28"/>
  <c r="S509" i="28" s="1"/>
  <c r="R824" i="28"/>
  <c r="S824" i="28" s="1"/>
  <c r="R406" i="28"/>
  <c r="S406" i="28" s="1"/>
  <c r="R407" i="28"/>
  <c r="S407" i="28" s="1"/>
  <c r="R1153" i="28"/>
  <c r="S1153" i="28" s="1"/>
  <c r="R150" i="28"/>
  <c r="S150" i="28" s="1"/>
  <c r="R1198" i="28"/>
  <c r="S1198" i="28" s="1"/>
  <c r="R1199" i="28"/>
  <c r="S1199" i="28" s="1"/>
  <c r="R96" i="28"/>
  <c r="S96" i="28" s="1"/>
  <c r="R1268" i="28"/>
  <c r="S1268" i="28" s="1"/>
  <c r="R1273" i="28"/>
  <c r="S1273" i="28" s="1"/>
  <c r="R100" i="28"/>
  <c r="S100" i="28" s="1"/>
  <c r="R1260" i="28"/>
  <c r="S1260" i="28" s="1"/>
  <c r="R482" i="28"/>
  <c r="S482" i="28" s="1"/>
  <c r="R483" i="28"/>
  <c r="S483" i="28" s="1"/>
  <c r="R510" i="28"/>
  <c r="S510" i="28" s="1"/>
  <c r="R101" i="28"/>
  <c r="S101" i="28" s="1"/>
  <c r="R1269" i="28"/>
  <c r="S1269" i="28" s="1"/>
  <c r="R484" i="28"/>
  <c r="S484" i="28" s="1"/>
  <c r="R98" i="28"/>
  <c r="S98" i="28" s="1"/>
  <c r="R1256" i="28"/>
  <c r="S1256" i="28" s="1"/>
  <c r="R485" i="28"/>
  <c r="S485" i="28" s="1"/>
  <c r="R1265" i="28"/>
  <c r="S1265" i="28" s="1"/>
  <c r="R97" i="28"/>
  <c r="S97" i="28" s="1"/>
  <c r="R1266" i="28"/>
  <c r="S1266" i="28" s="1"/>
  <c r="R1255" i="28"/>
  <c r="S1255" i="28" s="1"/>
  <c r="R99" i="28"/>
  <c r="S99" i="28" s="1"/>
  <c r="R1272" i="28"/>
  <c r="S1272" i="28" s="1"/>
  <c r="R486" i="28"/>
  <c r="S486" i="28" s="1"/>
  <c r="R1262" i="28"/>
  <c r="S1262" i="28" s="1"/>
  <c r="R920" i="28"/>
  <c r="S920" i="28" s="1"/>
  <c r="R921" i="28"/>
  <c r="S921" i="28" s="1"/>
  <c r="R408" i="28"/>
  <c r="S408" i="28" s="1"/>
  <c r="R922" i="28"/>
  <c r="S922" i="28" s="1"/>
  <c r="R409" i="28"/>
  <c r="S409" i="28" s="1"/>
  <c r="R410" i="28"/>
  <c r="S410" i="28" s="1"/>
  <c r="R507" i="28"/>
  <c r="S507" i="28" s="1"/>
  <c r="R151" i="28"/>
  <c r="S151" i="28" s="1"/>
  <c r="R152" i="28"/>
  <c r="S152" i="28" s="1"/>
  <c r="R40" i="28"/>
  <c r="S40" i="28" s="1"/>
  <c r="R41" i="28"/>
  <c r="S41" i="28" s="1"/>
  <c r="R42" i="28"/>
  <c r="S42" i="28" s="1"/>
  <c r="R1200" i="28"/>
  <c r="S1200" i="28" s="1"/>
  <c r="R43" i="28"/>
  <c r="S43" i="28" s="1"/>
  <c r="R44" i="28"/>
  <c r="S44" i="28" s="1"/>
  <c r="R153" i="28"/>
  <c r="S153" i="28" s="1"/>
  <c r="R154" i="28"/>
  <c r="S154" i="28" s="1"/>
  <c r="R1261" i="28"/>
  <c r="S1261" i="28" s="1"/>
  <c r="R95" i="28"/>
  <c r="S95" i="28" s="1"/>
  <c r="R1364" i="28"/>
  <c r="S1364" i="28" s="1"/>
  <c r="R1125" i="28"/>
  <c r="S1125" i="28" s="1"/>
  <c r="R1416" i="28"/>
  <c r="S1416" i="28" s="1"/>
  <c r="R487" i="28"/>
  <c r="S487" i="28" s="1"/>
  <c r="R488" i="28"/>
  <c r="S488" i="28" s="1"/>
  <c r="R489" i="28"/>
  <c r="S489" i="28" s="1"/>
  <c r="R490" i="28"/>
  <c r="S490" i="28" s="1"/>
  <c r="R491" i="28"/>
  <c r="S491" i="28" s="1"/>
  <c r="R492" i="28"/>
  <c r="S492" i="28" s="1"/>
  <c r="R493" i="28"/>
  <c r="S493" i="28" s="1"/>
  <c r="R1205" i="28"/>
  <c r="S1205" i="28" s="1"/>
  <c r="R188" i="28"/>
  <c r="S188" i="28" s="1"/>
  <c r="R1410" i="28"/>
  <c r="S1410" i="28" s="1"/>
  <c r="R1414" i="28"/>
  <c r="S1414" i="28" s="1"/>
  <c r="R1413" i="28"/>
  <c r="S1413" i="28" s="1"/>
  <c r="R1417" i="28"/>
  <c r="S1417" i="28" s="1"/>
  <c r="R1406" i="28"/>
  <c r="S1406" i="28" s="1"/>
  <c r="R1442" i="28"/>
  <c r="S1442" i="28" s="1"/>
  <c r="R923" i="28"/>
  <c r="S923" i="28" s="1"/>
  <c r="R664" i="28"/>
  <c r="S664" i="28" s="1"/>
  <c r="R665" i="28"/>
  <c r="S665" i="28" s="1"/>
  <c r="R78" i="28"/>
  <c r="S78" i="28" s="1"/>
  <c r="R1459" i="28"/>
  <c r="S1459" i="28" s="1"/>
  <c r="R937" i="28"/>
  <c r="S937" i="28" s="1"/>
  <c r="R933" i="28"/>
  <c r="S933" i="28" s="1"/>
  <c r="R411" i="28"/>
  <c r="S411" i="28" s="1"/>
  <c r="R1443" i="28"/>
  <c r="S1443" i="28" s="1"/>
  <c r="R1020" i="28"/>
  <c r="S1020" i="28" s="1"/>
  <c r="R434" i="28"/>
  <c r="S434" i="28" s="1"/>
  <c r="R303" i="28"/>
  <c r="S303" i="28" s="1"/>
  <c r="R1015" i="28"/>
  <c r="S1015" i="28" s="1"/>
  <c r="R674" i="28"/>
  <c r="S674" i="28" s="1"/>
  <c r="R957" i="28"/>
  <c r="S957" i="28" s="1"/>
  <c r="R93" i="28"/>
  <c r="S93" i="28" s="1"/>
  <c r="R435" i="28"/>
  <c r="S435" i="28" s="1"/>
  <c r="R934" i="28"/>
  <c r="S934" i="28" s="1"/>
  <c r="R60" i="28"/>
  <c r="S60" i="28" s="1"/>
  <c r="R56" i="28"/>
  <c r="S56" i="28" s="1"/>
  <c r="R232" i="28"/>
  <c r="S232" i="28" s="1"/>
  <c r="R924" i="28"/>
  <c r="S924" i="28" s="1"/>
  <c r="R1250" i="28"/>
  <c r="S1250" i="28" s="1"/>
  <c r="R884" i="28"/>
  <c r="S884" i="28" s="1"/>
  <c r="R925" i="28"/>
  <c r="S925" i="28" s="1"/>
  <c r="R233" i="28"/>
  <c r="S233" i="28" s="1"/>
  <c r="R155" i="28"/>
  <c r="S155" i="28" s="1"/>
  <c r="R323" i="28"/>
  <c r="S323" i="28" s="1"/>
  <c r="R526" i="28"/>
  <c r="S526" i="28" s="1"/>
  <c r="R632" i="28"/>
  <c r="S632" i="28" s="1"/>
  <c r="R603" i="28"/>
  <c r="S603" i="28" s="1"/>
  <c r="R958" i="28"/>
  <c r="S958" i="28" s="1"/>
  <c r="R444" i="28"/>
  <c r="S444" i="28" s="1"/>
  <c r="R935" i="28"/>
  <c r="S935" i="28" s="1"/>
  <c r="R633" i="28"/>
  <c r="S633" i="28" s="1"/>
  <c r="R94" i="28"/>
  <c r="S94" i="28" s="1"/>
  <c r="R533" i="28"/>
  <c r="S533" i="28" s="1"/>
  <c r="R298" i="28"/>
  <c r="S298" i="28" s="1"/>
  <c r="R1279" i="28"/>
  <c r="S1279" i="28" s="1"/>
  <c r="R926" i="28"/>
  <c r="S926" i="28" s="1"/>
  <c r="R1356" i="28"/>
  <c r="S1356" i="28" s="1"/>
  <c r="R1357" i="28"/>
  <c r="S1357" i="28" s="1"/>
  <c r="R1160" i="28"/>
  <c r="S1160" i="28" s="1"/>
  <c r="R445" i="28"/>
  <c r="S445" i="28" s="1"/>
  <c r="R1126" i="28"/>
  <c r="S1126" i="28" s="1"/>
  <c r="R452" i="28"/>
  <c r="S452" i="28" s="1"/>
  <c r="R1358" i="28"/>
  <c r="S1358" i="28" s="1"/>
  <c r="R412" i="28"/>
  <c r="S412" i="28" s="1"/>
  <c r="R559" i="28"/>
  <c r="S559" i="28" s="1"/>
  <c r="R1201" i="28"/>
  <c r="S1201" i="28" s="1"/>
  <c r="R565" i="28"/>
  <c r="S565" i="28" s="1"/>
  <c r="R700" i="28"/>
  <c r="S700" i="28" s="1"/>
  <c r="R1271" i="28"/>
  <c r="S1271" i="28" s="1"/>
  <c r="R266" i="28"/>
  <c r="S266" i="28" s="1"/>
  <c r="R927" i="28"/>
  <c r="S927" i="28" s="1"/>
  <c r="R959" i="28"/>
  <c r="S959" i="28" s="1"/>
  <c r="R1359" i="28"/>
  <c r="S1359" i="28" s="1"/>
  <c r="R1202" i="28"/>
  <c r="S1202" i="28" s="1"/>
  <c r="R1104" i="28"/>
  <c r="S1104" i="28" s="1"/>
  <c r="R436" i="28"/>
  <c r="S436" i="28" s="1"/>
  <c r="R1305" i="28"/>
  <c r="S1305" i="28" s="1"/>
  <c r="R437" i="28"/>
  <c r="S437" i="28" s="1"/>
  <c r="R527" i="28"/>
  <c r="S527" i="28" s="1"/>
  <c r="R1435" i="28"/>
  <c r="S1435" i="28" s="1"/>
  <c r="R1396" i="28"/>
  <c r="S1396" i="28" s="1"/>
  <c r="R725" i="28"/>
  <c r="S725" i="28" s="1"/>
  <c r="R634" i="28"/>
  <c r="S634" i="28" s="1"/>
  <c r="R1137" i="28"/>
  <c r="S1137" i="28" s="1"/>
  <c r="R830" i="28"/>
  <c r="S830" i="28" s="1"/>
  <c r="R1068" i="28"/>
  <c r="S1068" i="28" s="1"/>
  <c r="R156" i="28"/>
  <c r="S156" i="28" s="1"/>
  <c r="R822" i="28"/>
  <c r="S822" i="28" s="1"/>
  <c r="R785" i="28"/>
  <c r="S785" i="28" s="1"/>
  <c r="R1161" i="28"/>
  <c r="S1161" i="28" s="1"/>
  <c r="R1138" i="28"/>
  <c r="S1138" i="28" s="1"/>
  <c r="R1281" i="28"/>
  <c r="S1281" i="28" s="1"/>
  <c r="R833" i="28"/>
  <c r="S833" i="28" s="1"/>
  <c r="R1452" i="28"/>
  <c r="S1452" i="28" s="1"/>
  <c r="R438" i="28"/>
  <c r="S438" i="28" s="1"/>
  <c r="R45" i="28"/>
  <c r="S45" i="28" s="1"/>
  <c r="R1360" i="28"/>
  <c r="S1360" i="28" s="1"/>
  <c r="R1139" i="28"/>
  <c r="S1139" i="28" s="1"/>
  <c r="R157" i="28"/>
  <c r="S157" i="28" s="1"/>
  <c r="R688" i="28"/>
  <c r="S688" i="28" s="1"/>
  <c r="R1436" i="28"/>
  <c r="S1436" i="28" s="1"/>
  <c r="R997" i="28"/>
  <c r="S997" i="28" s="1"/>
  <c r="R528" i="28"/>
  <c r="S528" i="28" s="1"/>
  <c r="R1105" i="28"/>
  <c r="S1105" i="28" s="1"/>
  <c r="R716" i="28"/>
  <c r="S716" i="28" s="1"/>
  <c r="R1175" i="28"/>
  <c r="S1175" i="28" s="1"/>
  <c r="R609" i="28"/>
  <c r="S609" i="28" s="1"/>
  <c r="R212" i="28"/>
  <c r="S212" i="28" s="1"/>
  <c r="R827" i="28"/>
  <c r="S827" i="28" s="1"/>
  <c r="R887" i="28"/>
  <c r="S887" i="28" s="1"/>
  <c r="R936" i="28"/>
  <c r="S936" i="28" s="1"/>
  <c r="R794" i="28"/>
  <c r="S794" i="28" s="1"/>
  <c r="R693" i="28"/>
  <c r="S693" i="28" s="1"/>
  <c r="R1453" i="28"/>
  <c r="S1453" i="28" s="1"/>
  <c r="R1203" i="28"/>
  <c r="S1203" i="28" s="1"/>
  <c r="R1424" i="28"/>
  <c r="S1424" i="28" s="1"/>
  <c r="R1280" i="28"/>
  <c r="S1280" i="28" s="1"/>
  <c r="R439" i="28"/>
  <c r="S439" i="28" s="1"/>
  <c r="R1176" i="28"/>
  <c r="S1176" i="28" s="1"/>
  <c r="R1294" i="28"/>
  <c r="S1294" i="28" s="1"/>
  <c r="R305" i="28"/>
  <c r="S305" i="28" s="1"/>
  <c r="R763" i="28"/>
  <c r="S763" i="28" s="1"/>
  <c r="R446" i="28"/>
  <c r="S446" i="28" s="1"/>
  <c r="R189" i="28"/>
  <c r="S189" i="28" s="1"/>
  <c r="R5" i="28"/>
  <c r="S5" i="28" s="1"/>
  <c r="R560" i="28"/>
  <c r="S560" i="28" s="1"/>
  <c r="R1154" i="28"/>
  <c r="S1154" i="28" s="1"/>
  <c r="R764" i="28"/>
  <c r="S764" i="28" s="1"/>
  <c r="R855" i="28"/>
  <c r="S855" i="28" s="1"/>
  <c r="R689" i="28"/>
  <c r="S689" i="28" s="1"/>
  <c r="R1363" i="28"/>
  <c r="S1363" i="28" s="1"/>
  <c r="R610" i="28"/>
  <c r="S610" i="28" s="1"/>
  <c r="R983" i="28"/>
  <c r="S983" i="28" s="1"/>
  <c r="R280" i="28"/>
  <c r="S280" i="28" s="1"/>
  <c r="R666" i="28"/>
  <c r="S666" i="28" s="1"/>
  <c r="R584" i="28"/>
  <c r="S584" i="28" s="1"/>
  <c r="R984" i="28"/>
  <c r="S984" i="28" s="1"/>
  <c r="R1127" i="28"/>
  <c r="S1127" i="28" s="1"/>
  <c r="R447" i="28"/>
  <c r="S447" i="28" s="1"/>
  <c r="R1460" i="28"/>
  <c r="S1460" i="28" s="1"/>
  <c r="R675" i="28"/>
  <c r="S675" i="28" s="1"/>
  <c r="R843" i="28"/>
  <c r="S843" i="28" s="1"/>
  <c r="R1251" i="28"/>
  <c r="S1251" i="28" s="1"/>
  <c r="R46" i="28"/>
  <c r="S46" i="28" s="1"/>
  <c r="R335" i="28"/>
  <c r="S335" i="28" s="1"/>
  <c r="R733" i="28"/>
  <c r="S733" i="28" s="1"/>
  <c r="R453" i="28"/>
  <c r="S453" i="28" s="1"/>
  <c r="R1140" i="28"/>
  <c r="S1140" i="28" s="1"/>
  <c r="R234" i="28"/>
  <c r="S234" i="28" s="1"/>
  <c r="R206" i="28"/>
  <c r="S206" i="28" s="1"/>
  <c r="R894" i="28"/>
  <c r="S894" i="28" s="1"/>
  <c r="R1428" i="28"/>
  <c r="S1428" i="28" s="1"/>
  <c r="R207" i="28"/>
  <c r="S207" i="28" s="1"/>
  <c r="R823" i="28"/>
  <c r="S823" i="28" s="1"/>
  <c r="R998" i="28"/>
  <c r="S998" i="28" s="1"/>
  <c r="R786" i="28"/>
  <c r="S786" i="28" s="1"/>
  <c r="R281" i="28"/>
  <c r="S281" i="28" s="1"/>
  <c r="R999" i="28"/>
  <c r="S999" i="28" s="1"/>
  <c r="R704" i="28"/>
  <c r="S704" i="28" s="1"/>
  <c r="R1399" i="28"/>
  <c r="S1399" i="28" s="1"/>
  <c r="R297" i="28"/>
  <c r="S297" i="28" s="1"/>
  <c r="R336" i="28"/>
  <c r="S336" i="28" s="1"/>
  <c r="R834" i="28"/>
  <c r="S834" i="28" s="1"/>
  <c r="R787" i="28"/>
  <c r="S787" i="28" s="1"/>
  <c r="R611" i="28"/>
  <c r="S611" i="28" s="1"/>
  <c r="R938" i="28"/>
  <c r="S938" i="28" s="1"/>
  <c r="R413" i="28"/>
  <c r="S413" i="28" s="1"/>
  <c r="R960" i="28"/>
  <c r="S960" i="28" s="1"/>
  <c r="R728" i="28"/>
  <c r="S728" i="28" s="1"/>
  <c r="R1289" i="28"/>
  <c r="S1289" i="28" s="1"/>
  <c r="R1252" i="28"/>
  <c r="S1252" i="28" s="1"/>
  <c r="R1155" i="28"/>
  <c r="S1155" i="28" s="1"/>
  <c r="R1162" i="28"/>
  <c r="S1162" i="28" s="1"/>
  <c r="R282" i="28"/>
  <c r="S282" i="28" s="1"/>
  <c r="R158" i="28"/>
  <c r="S158" i="28" s="1"/>
  <c r="R676" i="28"/>
  <c r="S676" i="28" s="1"/>
  <c r="R1177" i="28"/>
  <c r="S1177" i="28" s="1"/>
  <c r="R885" i="28"/>
  <c r="S885" i="28" s="1"/>
  <c r="R1409" i="28"/>
  <c r="S1409" i="28" s="1"/>
  <c r="R985" i="28"/>
  <c r="S985" i="28" s="1"/>
  <c r="R667" i="28"/>
  <c r="S667" i="28" s="1"/>
  <c r="R250" i="28"/>
  <c r="S250" i="28" s="1"/>
  <c r="R1432" i="28"/>
  <c r="S1432" i="28" s="1"/>
  <c r="R1383" i="28"/>
  <c r="S1383" i="28" s="1"/>
  <c r="R561" i="28"/>
  <c r="S561" i="28" s="1"/>
  <c r="R1106" i="28"/>
  <c r="S1106" i="28" s="1"/>
  <c r="R69" i="28"/>
  <c r="S69" i="28" s="1"/>
  <c r="R1112" i="28"/>
  <c r="S1112" i="28" s="1"/>
  <c r="R503" i="28"/>
  <c r="S503" i="28" s="1"/>
  <c r="R66" i="28"/>
  <c r="S66" i="28" s="1"/>
  <c r="R992" i="28"/>
  <c r="S992" i="28" s="1"/>
  <c r="R886" i="28"/>
  <c r="S886" i="28" s="1"/>
  <c r="R208" i="28"/>
  <c r="S208" i="28" s="1"/>
  <c r="R1361" i="28"/>
  <c r="S1361" i="28" s="1"/>
  <c r="R339" i="28"/>
  <c r="S339" i="28" s="1"/>
  <c r="R1021" i="28"/>
  <c r="S1021" i="28" s="1"/>
  <c r="R986" i="28"/>
  <c r="S986" i="28" s="1"/>
  <c r="R159" i="28"/>
  <c r="S159" i="28" s="1"/>
  <c r="R604" i="28"/>
  <c r="S604" i="28" s="1"/>
  <c r="R686" i="28"/>
  <c r="S686" i="28" s="1"/>
  <c r="R504" i="28"/>
  <c r="S504" i="28" s="1"/>
  <c r="R1253" i="28"/>
  <c r="S1253" i="28" s="1"/>
  <c r="R702" i="28"/>
  <c r="S702" i="28" s="1"/>
  <c r="R587" i="28"/>
  <c r="S587" i="28" s="1"/>
  <c r="R995" i="28"/>
  <c r="S995" i="28" s="1"/>
  <c r="R454" i="28"/>
  <c r="S454" i="28" s="1"/>
  <c r="R1454" i="28"/>
  <c r="S1454" i="28" s="1"/>
  <c r="R961" i="28"/>
  <c r="S961" i="28" s="1"/>
  <c r="R1264" i="28"/>
  <c r="S1264" i="28" s="1"/>
  <c r="R635" i="28"/>
  <c r="S635" i="28" s="1"/>
  <c r="R765" i="28"/>
  <c r="S765" i="28" s="1"/>
  <c r="R1362" i="28"/>
  <c r="S1362" i="28" s="1"/>
  <c r="G12" i="50"/>
  <c r="G11" i="50"/>
  <c r="G10" i="50"/>
  <c r="G9" i="50"/>
  <c r="G8" i="50"/>
  <c r="G7" i="50"/>
  <c r="G6" i="50"/>
  <c r="G5" i="50"/>
  <c r="G4" i="50"/>
  <c r="I4" i="50" s="1"/>
  <c r="R1429" i="28" l="1"/>
  <c r="S1429" i="28" s="1"/>
  <c r="I5" i="50"/>
  <c r="I14" i="50" s="1"/>
  <c r="I6" i="50"/>
  <c r="I7" i="50"/>
  <c r="I8" i="50"/>
  <c r="I9" i="50"/>
  <c r="I10" i="50"/>
  <c r="I11" i="50"/>
  <c r="I12" i="50"/>
  <c r="I13" i="50"/>
  <c r="F14" i="50"/>
  <c r="G14" i="50" l="1"/>
  <c r="XEH11" i="50"/>
  <c r="XEH6" i="50"/>
  <c r="A1" i="2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Paola Perez</author>
  </authors>
  <commentList>
    <comment ref="XEH7" authorId="0" shapeId="0" xr:uid="{85F5EC24-0139-46BB-8102-86B57A770BAC}">
      <text>
        <r>
          <rPr>
            <b/>
            <sz val="9"/>
            <color indexed="81"/>
            <rFont val="Tahoma"/>
            <family val="2"/>
          </rPr>
          <t>Paola Perez:</t>
        </r>
        <r>
          <rPr>
            <sz val="9"/>
            <color indexed="81"/>
            <rFont val="Tahoma"/>
            <family val="2"/>
          </rPr>
          <t xml:space="preserve">
En espera de confirmación. Estatus de Reclu</t>
        </r>
      </text>
    </comment>
  </commentList>
</comments>
</file>

<file path=xl/sharedStrings.xml><?xml version="1.0" encoding="utf-8"?>
<sst xmlns="http://schemas.openxmlformats.org/spreadsheetml/2006/main" count="19069" uniqueCount="1851">
  <si>
    <t>ID</t>
  </si>
  <si>
    <t>Employee Name</t>
  </si>
  <si>
    <t>Tipo</t>
  </si>
  <si>
    <t>Clasificación</t>
  </si>
  <si>
    <t>Job Position</t>
  </si>
  <si>
    <t>MANAGER LEVEL 01</t>
  </si>
  <si>
    <t>MANAGER LEVEL 02</t>
  </si>
  <si>
    <t>MANAGER LEVEL 03</t>
  </si>
  <si>
    <t>Bldg</t>
  </si>
  <si>
    <t>Turno</t>
  </si>
  <si>
    <t>CC</t>
  </si>
  <si>
    <t>DIMS</t>
  </si>
  <si>
    <t>Antigüedad</t>
  </si>
  <si>
    <t>dias</t>
  </si>
  <si>
    <t>Confirmación del manager</t>
  </si>
  <si>
    <t>Primary</t>
  </si>
  <si>
    <t>Test/Debug</t>
  </si>
  <si>
    <t>Regular</t>
  </si>
  <si>
    <t>Área</t>
  </si>
  <si>
    <t>Periodo en WD</t>
  </si>
  <si>
    <t>MX-GDL-Guad North-B23B-CEC-Ops-Philo [Primary Function]</t>
  </si>
  <si>
    <t xml:space="preserve">Assembler </t>
  </si>
  <si>
    <t>Direct</t>
  </si>
  <si>
    <t>Out</t>
  </si>
  <si>
    <t>IN</t>
  </si>
  <si>
    <t>Gdl 2</t>
  </si>
  <si>
    <t>Director, Operations</t>
  </si>
  <si>
    <t>Ruben Cesar Nyul Vazquez (1975170)</t>
  </si>
  <si>
    <t>Manuel Alejandro Torres Delgado (22349)</t>
  </si>
  <si>
    <t>George O'Kelley (512523)</t>
  </si>
  <si>
    <t>Marco Antonio Meza Mancilla (586265)</t>
  </si>
  <si>
    <t>Monica Maria Carrillo Renteria (25040)</t>
  </si>
  <si>
    <t>Veronica Elizabeth Zarate Olvera (25485)</t>
  </si>
  <si>
    <t>Jose Carlos Barajas Gonzalez (24454)</t>
  </si>
  <si>
    <t>Paul Baldassari (122226)</t>
  </si>
  <si>
    <t>Gabriel Gonzalez Garcia (23467)</t>
  </si>
  <si>
    <t>Sergio David Serrano Barajas (21069)</t>
  </si>
  <si>
    <t>Juan Carlos Tapia Lomeli (25276)</t>
  </si>
  <si>
    <t>MX-GDL-Guad North CEC-Support [Primary Function]</t>
  </si>
  <si>
    <t>Indirect</t>
  </si>
  <si>
    <t>Claudia Belen Garcia Lerena (31551)</t>
  </si>
  <si>
    <t>Carlos Eduardo Lomeli Navarro (835935)</t>
  </si>
  <si>
    <t>Adiel Mauricio Arreola Barocio (35431)</t>
  </si>
  <si>
    <t xml:space="preserve">Associate Production Supervisor </t>
  </si>
  <si>
    <t xml:space="preserve">Warehouse Supervisor </t>
  </si>
  <si>
    <t xml:space="preserve">Production Supervisor </t>
  </si>
  <si>
    <t xml:space="preserve">HR Generalist </t>
  </si>
  <si>
    <t xml:space="preserve">Process Engineer </t>
  </si>
  <si>
    <t xml:space="preserve">Material Planning Analyst </t>
  </si>
  <si>
    <t xml:space="preserve">Buyer Direct </t>
  </si>
  <si>
    <t xml:space="preserve">Quality Auditor </t>
  </si>
  <si>
    <t xml:space="preserve">Customer Service Representative </t>
  </si>
  <si>
    <t xml:space="preserve">Operations Trainer </t>
  </si>
  <si>
    <t xml:space="preserve">Material Expediter </t>
  </si>
  <si>
    <t xml:space="preserve">Material Handler </t>
  </si>
  <si>
    <t xml:space="preserve">SMT Operator </t>
  </si>
  <si>
    <t xml:space="preserve">Failure Analysis Technician </t>
  </si>
  <si>
    <t xml:space="preserve">Warehouse Manager </t>
  </si>
  <si>
    <t xml:space="preserve">Industrial Engineer </t>
  </si>
  <si>
    <t xml:space="preserve">Planner Scheduler </t>
  </si>
  <si>
    <t xml:space="preserve">Program Manager </t>
  </si>
  <si>
    <t xml:space="preserve">Master Scheduler </t>
  </si>
  <si>
    <t xml:space="preserve">Product Engineer </t>
  </si>
  <si>
    <t xml:space="preserve">Quality Engineer </t>
  </si>
  <si>
    <t xml:space="preserve">Test Engineer </t>
  </si>
  <si>
    <t xml:space="preserve">Materials Lead </t>
  </si>
  <si>
    <t xml:space="preserve">Quality Technician </t>
  </si>
  <si>
    <t xml:space="preserve">Operations Training </t>
  </si>
  <si>
    <t xml:space="preserve">Warehouse Lead </t>
  </si>
  <si>
    <t xml:space="preserve">Test Technician </t>
  </si>
  <si>
    <t xml:space="preserve">Technical Production Lead </t>
  </si>
  <si>
    <t xml:space="preserve">Supplier Quality Technician </t>
  </si>
  <si>
    <t xml:space="preserve">Engineering Technician </t>
  </si>
  <si>
    <t xml:space="preserve">General Manager </t>
  </si>
  <si>
    <t xml:space="preserve">Program Administrator </t>
  </si>
  <si>
    <t xml:space="preserve">Production Planning Manager </t>
  </si>
  <si>
    <t xml:space="preserve">Test Engineering Manager </t>
  </si>
  <si>
    <t xml:space="preserve">Debug Technician </t>
  </si>
  <si>
    <t xml:space="preserve">Materials Manager </t>
  </si>
  <si>
    <t xml:space="preserve">Process Engineering Technician </t>
  </si>
  <si>
    <t xml:space="preserve">Inspection &amp; Repair Operator </t>
  </si>
  <si>
    <t xml:space="preserve">Purchasing Manager Direct </t>
  </si>
  <si>
    <t xml:space="preserve">Program Management Manager </t>
  </si>
  <si>
    <t xml:space="preserve">Operations Manager </t>
  </si>
  <si>
    <t xml:space="preserve">Supplier Quality Engineer </t>
  </si>
  <si>
    <t xml:space="preserve">Automation Technician </t>
  </si>
  <si>
    <t xml:space="preserve">Quality Manager </t>
  </si>
  <si>
    <t xml:space="preserve">Lead </t>
  </si>
  <si>
    <t xml:space="preserve">Forklift Driver </t>
  </si>
  <si>
    <t xml:space="preserve">Process Engineering Manager </t>
  </si>
  <si>
    <t xml:space="preserve">Automation Engineer </t>
  </si>
  <si>
    <t>Gdl 3</t>
  </si>
  <si>
    <t>IDL</t>
  </si>
  <si>
    <t>MX-GDL-Guad North CEC-Ops-B30-Philo [Primary Function]</t>
  </si>
  <si>
    <t>Ricardo Lozano Malacara (34385)</t>
  </si>
  <si>
    <t>Marisol Tavares Rivera (575119)</t>
  </si>
  <si>
    <t>Adriana del Rocio Escoto Muñoz (817618)</t>
  </si>
  <si>
    <t>David Ociel Cruz Rodriguez (21864)</t>
  </si>
  <si>
    <t xml:space="preserve">EH&amp;S Technician </t>
  </si>
  <si>
    <t>Jose Santiago Ortega Limon (1181033)</t>
  </si>
  <si>
    <t>MFG North Guad, MEX 300-Flextronics Manufacturing Mex, S.A. de C.V.-Philo Cloud-CLOUD SERVER &amp; S-PCBA_GUAD_300-Philo VLP [Customer Dimensions]</t>
  </si>
  <si>
    <t xml:space="preserve">Operation Clerk </t>
  </si>
  <si>
    <t xml:space="preserve">Repair Technician </t>
  </si>
  <si>
    <t>Valeria Estefania Orizaga Chavez</t>
  </si>
  <si>
    <t>Ana Cristina Rizo Ocegueda</t>
  </si>
  <si>
    <t>Deyvi Jesus Salazar Lopez</t>
  </si>
  <si>
    <t>German Ortiz de Santiago</t>
  </si>
  <si>
    <t>Eric Saul Espinoza Villegas</t>
  </si>
  <si>
    <t>Ramon Andres Gomez Alonso</t>
  </si>
  <si>
    <t>Carlos Toscano Vazquez</t>
  </si>
  <si>
    <t>Noemi Vianey Valadez Guerrero</t>
  </si>
  <si>
    <t>Alberto Fabian Ramirez Gonzalez</t>
  </si>
  <si>
    <t>Patricia Guadalupe Lopez Lopez</t>
  </si>
  <si>
    <t>Gabriela Trejo Cervantes</t>
  </si>
  <si>
    <t>Karla Escamilla Rico</t>
  </si>
  <si>
    <t>Jose Fernando Gonzalez Solis</t>
  </si>
  <si>
    <t>Maria Azucena De Leon Garcia</t>
  </si>
  <si>
    <t>Natalia Lizbeth Rodriguez Mercado</t>
  </si>
  <si>
    <t>Jesus Fernando Andrade Cabral</t>
  </si>
  <si>
    <t>Patricia Ruiz Calderon</t>
  </si>
  <si>
    <t>Carlos Gilberto Chavez Gonzalez</t>
  </si>
  <si>
    <t>Rosalva Medina Lopez</t>
  </si>
  <si>
    <t>Braulio Cesar Gomez Mejia</t>
  </si>
  <si>
    <t>Ana Yanet Casas Prieto</t>
  </si>
  <si>
    <t>Monica Lizette Haro Barajas</t>
  </si>
  <si>
    <t>Adriana Vargas Valentin</t>
  </si>
  <si>
    <t>Ricardo Souza Pulido</t>
  </si>
  <si>
    <t>Gustavo Rodrigo Peña Ramos</t>
  </si>
  <si>
    <t>Oscar Daniel Ocampo de la Barrera</t>
  </si>
  <si>
    <t>Miguel Zain Villa Sarabia</t>
  </si>
  <si>
    <t>Luis Carlos Villalvazo Ramos</t>
  </si>
  <si>
    <t>Juan Enrique Aranda Barajas</t>
  </si>
  <si>
    <t>Gilberto de Jesus Sanchez Oyoque</t>
  </si>
  <si>
    <t>Veronica Judith Coss y Leon Gonzalez</t>
  </si>
  <si>
    <t>Elizabet Cesilia Ayala Vidal</t>
  </si>
  <si>
    <t>Julio David Martinez Sanchez</t>
  </si>
  <si>
    <t>Edgar Enrique Villaseñor Juarez</t>
  </si>
  <si>
    <t>Luis Gabriel Diaz Larios</t>
  </si>
  <si>
    <t>Miguel Arturo Mundo Rincon</t>
  </si>
  <si>
    <t>José Omar Lozano Rodríguez</t>
  </si>
  <si>
    <t>Jose Elias Rivera Partida</t>
  </si>
  <si>
    <t>Julio Cesar Valdes Nuño</t>
  </si>
  <si>
    <t>Mario Alberto Oseguera Zuñiga</t>
  </si>
  <si>
    <t>Daniel Velazquez Chavez</t>
  </si>
  <si>
    <t>Jose Guillermo Trujillo Ramirez</t>
  </si>
  <si>
    <t>Julio Anselmo Espinoza Montoya</t>
  </si>
  <si>
    <t>José Antonio Manzo Aguilar</t>
  </si>
  <si>
    <t>Cristian Fabian García Castañeda</t>
  </si>
  <si>
    <t>Ramon Alberto Sandoval Lopez</t>
  </si>
  <si>
    <t>Fernando Eliseo Jimenez Santiago</t>
  </si>
  <si>
    <t>Jose Alexis Petris Castro</t>
  </si>
  <si>
    <t>Dante Obed Torres Ruvalcaba</t>
  </si>
  <si>
    <t>Elizabeth Garcia Chavez</t>
  </si>
  <si>
    <t>Jose de Jesus Casillas Gutierrez</t>
  </si>
  <si>
    <t>Jesús García Torres</t>
  </si>
  <si>
    <t>Marcos Misael Lopez Ramirez</t>
  </si>
  <si>
    <t>Mariana Camargo Lavin</t>
  </si>
  <si>
    <t>Pedro Villalobos Zavala</t>
  </si>
  <si>
    <t>Eduardo Roberto Mendoza Romero</t>
  </si>
  <si>
    <t>Hugo Gerardo Rivera Rios</t>
  </si>
  <si>
    <t>Andrea Guisel Bravo Rodriguez</t>
  </si>
  <si>
    <t>Carlos Augusto Agredano Ornelas</t>
  </si>
  <si>
    <t>Jorge Jarquin Martinez</t>
  </si>
  <si>
    <t>Arturo Perez Santander</t>
  </si>
  <si>
    <t>José de Jesús Siordia Rivera</t>
  </si>
  <si>
    <t>Marco Antonio Lozano Gómez</t>
  </si>
  <si>
    <t>Manuel Vazquez Maldonado</t>
  </si>
  <si>
    <t>Jorge Armando Morales Chavez</t>
  </si>
  <si>
    <t>David García Camarena</t>
  </si>
  <si>
    <t>Cesar Quezada Castrejon</t>
  </si>
  <si>
    <t>Juan Andrés Alfaro Prieto</t>
  </si>
  <si>
    <t>Cesar Alonso Calderon Lopez</t>
  </si>
  <si>
    <t>Erick Jair Perez Diego</t>
  </si>
  <si>
    <t>Luis David Medina Mexia</t>
  </si>
  <si>
    <t>Fernando Daniel Zarate Diaz</t>
  </si>
  <si>
    <t>Gerardo González Aceves</t>
  </si>
  <si>
    <t>Sonia Karina Díaz Escontrilla</t>
  </si>
  <si>
    <t>Jesus Eduardo Aramburo Audelo</t>
  </si>
  <si>
    <t>Alfonso Adan Estrada</t>
  </si>
  <si>
    <t>Gerardo Damian Gonzalez Navarro</t>
  </si>
  <si>
    <t>Sonia Isela Hernandez Guerrero</t>
  </si>
  <si>
    <t>Diego Armando Nuñez Allan</t>
  </si>
  <si>
    <t>Nohemi Guadalupe Cruz Laureano</t>
  </si>
  <si>
    <t>Erick casillas muñiz</t>
  </si>
  <si>
    <t>Ananias Santiago Guerra</t>
  </si>
  <si>
    <t>Alan Escobar Gonzalez</t>
  </si>
  <si>
    <t>Jesús Pablo Membrila Marrón</t>
  </si>
  <si>
    <t>José Eduardo Mercado Mora</t>
  </si>
  <si>
    <t>Eduardo Richerd Armenta Meza</t>
  </si>
  <si>
    <t>Óscar de Jesús Hernández García</t>
  </si>
  <si>
    <t>Jairo Raul Gonzalez Celiz</t>
  </si>
  <si>
    <t>Edson Guerrero Meraz</t>
  </si>
  <si>
    <t>Erika Lizette Guerrero Martinez</t>
  </si>
  <si>
    <t>Kimberly Melany Garcia Badillo</t>
  </si>
  <si>
    <t>Bernardo Tonatiuh Vallejo Guerrero</t>
  </si>
  <si>
    <t>Daniel Sengua Ruvalcaba</t>
  </si>
  <si>
    <t>Luis Raymundo Lara Del Angel</t>
  </si>
  <si>
    <t>Jesus Abraham Ortiz Lara</t>
  </si>
  <si>
    <t>Bryan Edtzel de Dios Sanchez Ortega</t>
  </si>
  <si>
    <t>Jose Manuel Silva Gonzalez</t>
  </si>
  <si>
    <t>Ezbehidy Aridahy Ramírez García</t>
  </si>
  <si>
    <t>Jesus Reyes Rodriguez</t>
  </si>
  <si>
    <t>Miguel Angel Valdivia Preciado</t>
  </si>
  <si>
    <t>Kattia Guadalupe Miramontes Rodriguez</t>
  </si>
  <si>
    <t>Jorge Ignacio Diaz De Dios</t>
  </si>
  <si>
    <t>Loreto Rojo Varela</t>
  </si>
  <si>
    <t>Antonio Gonzalez Hernandez</t>
  </si>
  <si>
    <t>Rogelio Guzman Sanchez</t>
  </si>
  <si>
    <t>Emmanuel López Leonel</t>
  </si>
  <si>
    <t>Carlos Eduardo Jasso Solis</t>
  </si>
  <si>
    <t>Jesus Eduardo Alatorre Hernandez</t>
  </si>
  <si>
    <t>Cornelio Ruiz Motuto</t>
  </si>
  <si>
    <t>Jonathan Angeles Quiterio</t>
  </si>
  <si>
    <t>Jorge samuel Damian Ramírez</t>
  </si>
  <si>
    <t>Eduardo Sotelo Reynoso</t>
  </si>
  <si>
    <t>Emanuel Domínguez Chiquito</t>
  </si>
  <si>
    <t>Mario Alejandro Hernández Fernández</t>
  </si>
  <si>
    <t>Miguel Cuautli Guevara</t>
  </si>
  <si>
    <t>Jorge Orlando Hernández Herrera</t>
  </si>
  <si>
    <t>Abel Antonio Arellano Llamas</t>
  </si>
  <si>
    <t>Diego Armando Mariscal Ramírez</t>
  </si>
  <si>
    <t>Jonathan Mulgado Gonzalez</t>
  </si>
  <si>
    <t>Luis Gaytan Ramos</t>
  </si>
  <si>
    <t>Juan Pablo Quintanilla Serrano</t>
  </si>
  <si>
    <t>María Fernanda Cainas Ayala</t>
  </si>
  <si>
    <t>Gerardo Antuna Hernandez</t>
  </si>
  <si>
    <t>Eliot Eduardo Gaytan Garcia</t>
  </si>
  <si>
    <t>German Ezequiel Escobar De la cruz</t>
  </si>
  <si>
    <t>Paulina Lizeth Garcia Aviles</t>
  </si>
  <si>
    <t>Bruno Arturo García Sotelo</t>
  </si>
  <si>
    <t>Daniel Solorzano Pizano</t>
  </si>
  <si>
    <t>Fernando Quiroz Gutiérrez</t>
  </si>
  <si>
    <t>Marcos Joel Paz Estrada</t>
  </si>
  <si>
    <t>Luis David Ramírez Pérez</t>
  </si>
  <si>
    <t>David Javier Medrano Valerio</t>
  </si>
  <si>
    <t>Joseph Mitchell Bañuelos Martinez</t>
  </si>
  <si>
    <t>Alan Rhamses Gutiérrez Torres</t>
  </si>
  <si>
    <t>Yael Alejandro Plazola Alvarez</t>
  </si>
  <si>
    <t>Gerardo Jesús Santiago Carrillo</t>
  </si>
  <si>
    <t>Elias Martínez Lopez</t>
  </si>
  <si>
    <t>Christian Jonathan Velázquez Lucano</t>
  </si>
  <si>
    <t>Edgar Mauricio Lugo Romero</t>
  </si>
  <si>
    <t>Alonso Padilla Jimenez</t>
  </si>
  <si>
    <t>Santiago Francisco Cortés Villa</t>
  </si>
  <si>
    <t>Luis Fermin Vasquez Lugo</t>
  </si>
  <si>
    <t>Fernando Daniel Covarrubias Ornelas</t>
  </si>
  <si>
    <t>Gonzalo Iván De la Cruz Orozco</t>
  </si>
  <si>
    <t>Mariela Barron Moran</t>
  </si>
  <si>
    <t>Daniel Alejandro Zamora Avalos</t>
  </si>
  <si>
    <t>Osvaldo Ivan Ortega Ortega</t>
  </si>
  <si>
    <t>Luis Fernando Corona Jauregui</t>
  </si>
  <si>
    <t>Carlos Fabian Garcia Lopez</t>
  </si>
  <si>
    <t>Johanan Liseth González Ramírez</t>
  </si>
  <si>
    <t>Erik Alejandro Ruiz Lopez</t>
  </si>
  <si>
    <t>Bryan Eduardo Alanis Díaz</t>
  </si>
  <si>
    <t>Omar Asael Ramirez Davalos</t>
  </si>
  <si>
    <t>Pedro Luis Muro Ruiz</t>
  </si>
  <si>
    <t>Eva Paulina Bustos Morales</t>
  </si>
  <si>
    <t>Eduardo Varela Garcia</t>
  </si>
  <si>
    <t>Luis Diego Anaya Zamudio</t>
  </si>
  <si>
    <t>Jose Maria Garcia Bravo</t>
  </si>
  <si>
    <t>Daniela Simon Moreno</t>
  </si>
  <si>
    <t>Sandra Carolina Delgado Gonzalez</t>
  </si>
  <si>
    <t>Francisco Javier Flores Alvarez</t>
  </si>
  <si>
    <t>DIEGO HUMBERTO ARGÜELLES PALAFOX</t>
  </si>
  <si>
    <t>Araceli Rodriguez Vermudez</t>
  </si>
  <si>
    <t>Raul Gutierrez De la cruz</t>
  </si>
  <si>
    <t>Irma Yamile Ortega Ortega</t>
  </si>
  <si>
    <t>Brenda Noemi Bonilla Gutierrez</t>
  </si>
  <si>
    <t>Jessica Vanessa Monroy Casillas</t>
  </si>
  <si>
    <t>Alan Bladimir Almaraz Cortes</t>
  </si>
  <si>
    <t>Noe Trejo Trejo</t>
  </si>
  <si>
    <t>Irene Alejandra Cardenas Pacheco</t>
  </si>
  <si>
    <t>Carlos Eduardo Mojica Bedoy</t>
  </si>
  <si>
    <t>Carlos Meza Gomez</t>
  </si>
  <si>
    <t>Luis Enrique Valdivia Cobian</t>
  </si>
  <si>
    <t>Giovany Christopher Lujano Rosales</t>
  </si>
  <si>
    <t>Guillermo Arias Roque</t>
  </si>
  <si>
    <t>Juan Manuel Pérez Maldonado</t>
  </si>
  <si>
    <t>Maria Elizabeth Nuñez Jiménez</t>
  </si>
  <si>
    <t>Omar Israel Ortiz Serrano</t>
  </si>
  <si>
    <t>Jorge Contreras Gonzalez</t>
  </si>
  <si>
    <t>Patricia Guadalupe Vazquez Hurtado</t>
  </si>
  <si>
    <t>Maria Guadalupe Gonzalez Gutierrez</t>
  </si>
  <si>
    <t>Brenda Isabel García Mora</t>
  </si>
  <si>
    <t>Citlahli De Jesus Muriedas Ortiz</t>
  </si>
  <si>
    <t>Felipe de Jesus Ortega Melchor</t>
  </si>
  <si>
    <t>Luis Eduardo Gonzalez Alarcon</t>
  </si>
  <si>
    <t>Cinthya Mercedes Rodríguez Ramirez</t>
  </si>
  <si>
    <t>Maria de los Angeles Mercado De la Cruz</t>
  </si>
  <si>
    <t>Carmen Nayeli Martinez Lopez</t>
  </si>
  <si>
    <t>Karen Judith Ruiz Arevalo</t>
  </si>
  <si>
    <t>Jacquelinne Mendoza Frias</t>
  </si>
  <si>
    <t>Maria Fernanda Equihua Distancia</t>
  </si>
  <si>
    <t>Ruben Sandoval Garcia</t>
  </si>
  <si>
    <t>Jose Juan Hernandez Barcenas</t>
  </si>
  <si>
    <t>Maria Esther Sanchez Haro</t>
  </si>
  <si>
    <t>Yamile Colis Gomez</t>
  </si>
  <si>
    <t>Hugo Enrique Gonzalez Hernandez</t>
  </si>
  <si>
    <t>Luis Fernando Romo Beltran</t>
  </si>
  <si>
    <t>Sergio David Serrano Barajas</t>
  </si>
  <si>
    <t>Fernando Mora Chavez</t>
  </si>
  <si>
    <t>Laura Angelica Herrera Perez</t>
  </si>
  <si>
    <t>Juan Jose Rivera Mendez</t>
  </si>
  <si>
    <t>Lourdes Leonor Santoscoy Chavez</t>
  </si>
  <si>
    <t>Saul Arguijo Hernandez</t>
  </si>
  <si>
    <t>Ma Elena Flores Balbuena</t>
  </si>
  <si>
    <t>Luis Francisco Zuñiga Avila</t>
  </si>
  <si>
    <t>Orlando Javier Ruiz Diaz</t>
  </si>
  <si>
    <t>Ernesto Alonso Sanchez</t>
  </si>
  <si>
    <t>Arturo Sandoval Briseño</t>
  </si>
  <si>
    <t>Jose Nieves Gutierrez Gutierrez</t>
  </si>
  <si>
    <t>Martha Veronica Meza Garcia</t>
  </si>
  <si>
    <t>Francisco Javier Peña Hernandez</t>
  </si>
  <si>
    <t>Gabriel Gonzalez Garcia</t>
  </si>
  <si>
    <t>Jose Adan Najar Plasencia</t>
  </si>
  <si>
    <t>Rosalinda Valencia Robles</t>
  </si>
  <si>
    <t>Monica Maria Carrillo Renteria</t>
  </si>
  <si>
    <t>Jorge Contreras Rivera</t>
  </si>
  <si>
    <t>Carlos Arteaga Vargas</t>
  </si>
  <si>
    <t>Martha Jimenez Campos</t>
  </si>
  <si>
    <t>Susana Magdalena Reyes Castellanos</t>
  </si>
  <si>
    <t>Carlos Horacio Hernandez Fausto</t>
  </si>
  <si>
    <t>Salvador Hernandez Hernandez</t>
  </si>
  <si>
    <t>Juan Carlos Sarabia Rico</t>
  </si>
  <si>
    <t>Maria Elena Vargas Montes</t>
  </si>
  <si>
    <t>Cesar Damian Soto Alfaro</t>
  </si>
  <si>
    <t>Juan Carlos Jimenez Chavarin</t>
  </si>
  <si>
    <t>Cruz Angelica Del Castillo Montaño</t>
  </si>
  <si>
    <t>Maria De Jesus Jacobo Guzman</t>
  </si>
  <si>
    <t>Aurora Quezada Ponce</t>
  </si>
  <si>
    <t>Carlos Gustavo Alvarez Garcia</t>
  </si>
  <si>
    <t>Blanca Esmeralda Escarsega Beltran</t>
  </si>
  <si>
    <t>Maria De La Cruz Alfas Quintero</t>
  </si>
  <si>
    <t>Dulce Fabiola Bejar Rodriguez</t>
  </si>
  <si>
    <t>Sonia Villalobos Carrillo</t>
  </si>
  <si>
    <t>Guillermina Zuñiga Vallejo</t>
  </si>
  <si>
    <t>Cornelio Castro Orozco</t>
  </si>
  <si>
    <t>Victor Manuel Nuñez Salazar</t>
  </si>
  <si>
    <t>Maria Guadalupe Arambula Cuevas</t>
  </si>
  <si>
    <t>Ma. Ofelia Lopez Fonseca</t>
  </si>
  <si>
    <t>Martina Puga Roque</t>
  </si>
  <si>
    <t>Carlos Eduardo Hernandez Rangel</t>
  </si>
  <si>
    <t>Susana Garcia Cervantes</t>
  </si>
  <si>
    <t>Marcedalia Rangel Garcia</t>
  </si>
  <si>
    <t>Alma Araceli Aceves Tamayo</t>
  </si>
  <si>
    <t>Beatriz Rodriguez Juarez</t>
  </si>
  <si>
    <t>Mario Carrillo Santiago</t>
  </si>
  <si>
    <t>Mariana Perez Martinez</t>
  </si>
  <si>
    <t>Susana Martinez Cerda</t>
  </si>
  <si>
    <t>Luis Alberto Tomas Pedro</t>
  </si>
  <si>
    <t>Guillermo Rodriguez Tapia</t>
  </si>
  <si>
    <t>Ana Berenice Rodriguez Parra</t>
  </si>
  <si>
    <t>Blanca Esther Alejo Ocegueda</t>
  </si>
  <si>
    <t>Maria Gabriela Mendoza Barajas</t>
  </si>
  <si>
    <t>Karla Janet Orozco Navarro</t>
  </si>
  <si>
    <t>Olga Lidia Olivares Barajas</t>
  </si>
  <si>
    <t>Miguel Jauregui Lopez</t>
  </si>
  <si>
    <t>Jose Abel Ruiz Vazquez</t>
  </si>
  <si>
    <t>Luis Pablo Sandoval Rodriguez</t>
  </si>
  <si>
    <t>Diana Carina Jimenez Casillas</t>
  </si>
  <si>
    <t>Jorge Aragon Don</t>
  </si>
  <si>
    <t>Erika Carolina Turrubiates Topete</t>
  </si>
  <si>
    <t>Bryan Alejandro Beatris Nuñez</t>
  </si>
  <si>
    <t>Juan Pablo Lopez Ramirez</t>
  </si>
  <si>
    <t>Dulce Fanny Ramirez Mariscal</t>
  </si>
  <si>
    <t>Polet Anay Murillo Lopez</t>
  </si>
  <si>
    <t>Raquel Virginia Salazar Espinoza</t>
  </si>
  <si>
    <t>Hugo de Jesus Tamayo Gamez</t>
  </si>
  <si>
    <t>Alfonso Saul Molina Ramos</t>
  </si>
  <si>
    <t>Luis Enrique Ramirez Santana</t>
  </si>
  <si>
    <t>Rosaura Cazares Alcantara</t>
  </si>
  <si>
    <t>Martha Norma Avalos Terrones</t>
  </si>
  <si>
    <t>Jose Antonio Cortes Chavez</t>
  </si>
  <si>
    <t>Tovias Rodriguez Mejia</t>
  </si>
  <si>
    <t>Gerardo Reyes Rivas</t>
  </si>
  <si>
    <t>Benito Martinez Santiago</t>
  </si>
  <si>
    <t>Jesus Martinez Palos</t>
  </si>
  <si>
    <t>Ricardo Mendoza Moreno</t>
  </si>
  <si>
    <t>Pascual Alejandro Rodriguez Garcia</t>
  </si>
  <si>
    <t>Abraham Palacios Gonzalez</t>
  </si>
  <si>
    <t>Juan Jose Alonzo Casillas</t>
  </si>
  <si>
    <t>Eric Joel Ramirez Rodriguez</t>
  </si>
  <si>
    <t>Miguel Angel Gutierrez Limon</t>
  </si>
  <si>
    <t>Jose de Jesus Hernandez Gonzalez</t>
  </si>
  <si>
    <t>Dulce Maria Martinez Ramirez</t>
  </si>
  <si>
    <t>Horacio Alejandro Cortez Perez</t>
  </si>
  <si>
    <t>Carlos Arturo Garcia Miranda</t>
  </si>
  <si>
    <t>Sergio Ramirez Silva</t>
  </si>
  <si>
    <t>Ricardo Rosales Hernandez</t>
  </si>
  <si>
    <t>Andres Ignacio Castañon Rodriguez</t>
  </si>
  <si>
    <t>Claudia Cruz Hernandez</t>
  </si>
  <si>
    <t>Ramon Garcia Nuñez</t>
  </si>
  <si>
    <t>Miguel Francisco Barajas Nares</t>
  </si>
  <si>
    <t>Karla Elizabeth Rubio Gonzalez</t>
  </si>
  <si>
    <t>Jorge Adalberto Alba Perez</t>
  </si>
  <si>
    <t>Jorge Armando Salinas Gutierrez</t>
  </si>
  <si>
    <t>Rafael Cortes Larios</t>
  </si>
  <si>
    <t>Carlos Alberto Castañeda Muñoz</t>
  </si>
  <si>
    <t>Gonzalo Rubio Ceja</t>
  </si>
  <si>
    <t>Jorge Gonzalez Carrillo</t>
  </si>
  <si>
    <t>Ricardo Lozano Malacara</t>
  </si>
  <si>
    <t>Lucio Robles Martinez</t>
  </si>
  <si>
    <t>Juan Carlos Grande Margarito</t>
  </si>
  <si>
    <t>Marcos Daniel Rueda Garcia</t>
  </si>
  <si>
    <t>Salvador Montiel Llamas</t>
  </si>
  <si>
    <t>Jose Feliciano Nuño Alvarez</t>
  </si>
  <si>
    <t>Yemaida Garcia Ocampo</t>
  </si>
  <si>
    <t>Angel Walther Gutierrez Buendia</t>
  </si>
  <si>
    <t>Gilberto Aguiar Barrera</t>
  </si>
  <si>
    <t>Carlos Jesus Cortes Juarez</t>
  </si>
  <si>
    <t>Ma del Carmen Ruiz Ramos</t>
  </si>
  <si>
    <t>Javier Campos Espinoza</t>
  </si>
  <si>
    <t>Beatriz Jimenez Casillas</t>
  </si>
  <si>
    <t>Juan Manuel Martinez Ruvalcaba</t>
  </si>
  <si>
    <t>Lucia Neri Garcia</t>
  </si>
  <si>
    <t>Jesus Eliseo Garcia Garcia</t>
  </si>
  <si>
    <t>Alejandra Camarena Gomez</t>
  </si>
  <si>
    <t>Catalina Veronica Torres Quiroga</t>
  </si>
  <si>
    <t>Ivan Ahmed Flores Gonzalez</t>
  </si>
  <si>
    <t>FATIMA JAQUELIN VAZQUEZ FIGUEROA</t>
  </si>
  <si>
    <t>RICARDO SANDRO DANIEL MERCADO GONZALEZ</t>
  </si>
  <si>
    <t>German Gallegos Aguilar</t>
  </si>
  <si>
    <t>RAMON ANTONIO BUENROSTRO IBARRA</t>
  </si>
  <si>
    <t>ESPERANZA GUADALUPE RODRIGUEZ RAMIREZ</t>
  </si>
  <si>
    <t>JOSE EDUARDO CAMACHO</t>
  </si>
  <si>
    <t>Bertha Daniela Vazquez Lopez</t>
  </si>
  <si>
    <t>Carlos Moises Rocha Hernandez</t>
  </si>
  <si>
    <t>Hilda Montes Castro</t>
  </si>
  <si>
    <t>Martha Noemi Aguayo Reyes</t>
  </si>
  <si>
    <t>MARIA DEL ROCIO RUBIO RUIZ</t>
  </si>
  <si>
    <t>Maria Elizabeth Aguilar Aguilar</t>
  </si>
  <si>
    <t>Pedro Alejandro Delgado Duran</t>
  </si>
  <si>
    <t>Veronica Guardado Paredes</t>
  </si>
  <si>
    <t>Sandra Sofia Rodriguez De Mano</t>
  </si>
  <si>
    <t>Maria Guadalupe Arias Ayon</t>
  </si>
  <si>
    <t>Yuliliana Teodoro Cruz</t>
  </si>
  <si>
    <t>Fatima Concepcion Zuñiga Vazquez</t>
  </si>
  <si>
    <t>Cristian Isaac Albarez Sanchez</t>
  </si>
  <si>
    <t>Esmeralda Herrera Arzate</t>
  </si>
  <si>
    <t>Edwin Alan Lopez Limon</t>
  </si>
  <si>
    <t>Luis Fernando Cortes Gonzalez</t>
  </si>
  <si>
    <t>Maria Imelda Becerra Romero</t>
  </si>
  <si>
    <t>Felipe De Jesus Saldaña Aguilar</t>
  </si>
  <si>
    <t>Paola Alejandra Rodriguez Arenas</t>
  </si>
  <si>
    <t>Julia Sanchez Cruz</t>
  </si>
  <si>
    <t>Ricardo Reyes Lopez</t>
  </si>
  <si>
    <t>Gustavo German Pineda Garcia</t>
  </si>
  <si>
    <t>Xochitlquetzal Ramirez Garcia</t>
  </si>
  <si>
    <t>Yesenia Robles Robles</t>
  </si>
  <si>
    <t>Jaime Francisco Gomez Barrios</t>
  </si>
  <si>
    <t>Maria Trinidad Villegas Maldonado</t>
  </si>
  <si>
    <t>Luis Armando Amador Martinez</t>
  </si>
  <si>
    <t>Jenny Ramirez Gaitan</t>
  </si>
  <si>
    <t>Evelyn Estefania Gutierrez Veliz</t>
  </si>
  <si>
    <t>Michell Nazareth Campos Briseño</t>
  </si>
  <si>
    <t>Angelica Maria Quintana Castañeda</t>
  </si>
  <si>
    <t>Alma Angelica Ortega De Leon</t>
  </si>
  <si>
    <t>Jessica Araceli Castellon Gallegos</t>
  </si>
  <si>
    <t>Demian Alejandro Estrada Gudiño</t>
  </si>
  <si>
    <t>Ana Rosa Cendejas Diaz</t>
  </si>
  <si>
    <t>Laura Veronica Robles</t>
  </si>
  <si>
    <t>Karhely Anais Aguilar Pelayo</t>
  </si>
  <si>
    <t>Blanca Estela Garcia Bautista</t>
  </si>
  <si>
    <t>Carlos Gonzalez Alcala</t>
  </si>
  <si>
    <t>Diana Marisol Medina Lupercio</t>
  </si>
  <si>
    <t>Carmen Lucila Garcia Ramirez</t>
  </si>
  <si>
    <t>Maria del Sagrario Santillan Ortega</t>
  </si>
  <si>
    <t>Luis Eduardo Mora Torres</t>
  </si>
  <si>
    <t>Brandon Alexis Mendoza Carrillo</t>
  </si>
  <si>
    <t>Lydia Calderon Gomez</t>
  </si>
  <si>
    <t>William Eduardo Hernandez Reyes</t>
  </si>
  <si>
    <t>Juan Diego Ramirez Gutierrez</t>
  </si>
  <si>
    <t>Guillermo Molina Zetina</t>
  </si>
  <si>
    <t>Carlos Alberto Barela Cervantes</t>
  </si>
  <si>
    <t>Selim Jassem Aisa Zapata</t>
  </si>
  <si>
    <t>Sandra Veronica Quezada Gonzalez</t>
  </si>
  <si>
    <t>Antonia Eloisa Lopez Madrigal</t>
  </si>
  <si>
    <t>Ahtziry Gonzalez Amaral</t>
  </si>
  <si>
    <t>Rey Alberto Lechuga Garcia</t>
  </si>
  <si>
    <t>Jesus Alfonso Buelna Camacho</t>
  </si>
  <si>
    <t>Yagima Cuellar Valle</t>
  </si>
  <si>
    <t>Daniela Monserrat Carbajal Navarro</t>
  </si>
  <si>
    <t>Omar Esau Contreras Garcia</t>
  </si>
  <si>
    <t>Yolanda Martinez Espinoza</t>
  </si>
  <si>
    <t>Adolfo Quezada Cortez</t>
  </si>
  <si>
    <t>Karla Cristina Barcenas Magaña</t>
  </si>
  <si>
    <t>Cristopher Paul Franco Madrueño</t>
  </si>
  <si>
    <t>Oscar Oswaldo Sotelo Ocegueda</t>
  </si>
  <si>
    <t>Alexis Ernesto De la Rosa Veliz</t>
  </si>
  <si>
    <t>Brandon Ray Galvan Alaniz</t>
  </si>
  <si>
    <t>Jose Luis Silva De la Fuente</t>
  </si>
  <si>
    <t>Ana Patricia Mendoza Aparicio</t>
  </si>
  <si>
    <t>Gloria Romero Martinez</t>
  </si>
  <si>
    <t>Aram Jeter Vega Ortega</t>
  </si>
  <si>
    <t>Marlene Coronado Cisneros</t>
  </si>
  <si>
    <t>Luis Andres Fernandez Galvan</t>
  </si>
  <si>
    <t>Brenda Araceli Maldonado Velazco</t>
  </si>
  <si>
    <t>Jesus Garcia Pablo</t>
  </si>
  <si>
    <t>Gloria Villarreal Gonzalez</t>
  </si>
  <si>
    <t>Fatima del Pilar Vazquez Lopez</t>
  </si>
  <si>
    <t>Catalina Becerra Garcia</t>
  </si>
  <si>
    <t>Yarit Antonio Martinez</t>
  </si>
  <si>
    <t>Sarahi Becerra Garcia</t>
  </si>
  <si>
    <t>Guadalupe Andrade Evariz</t>
  </si>
  <si>
    <t>Ruth Noemi Rodriguez Ayala</t>
  </si>
  <si>
    <t>Carlos Omar Bautista Magallon</t>
  </si>
  <si>
    <t>Aurora Arias Torres</t>
  </si>
  <si>
    <t>Martha Cecilia Ramirez Rivera</t>
  </si>
  <si>
    <t>Alicia Hernandez Lara</t>
  </si>
  <si>
    <t>Osiris Denisse Garcia Ulloa</t>
  </si>
  <si>
    <t>Luz Maria Escobedo Ibarra</t>
  </si>
  <si>
    <t>Sergio Eduardo Ville Camacho</t>
  </si>
  <si>
    <t>Jose Guadalupe Campos Rubi</t>
  </si>
  <si>
    <t>Erika Elizabeth Rodriguez Rodriguez</t>
  </si>
  <si>
    <t>Laura Lizette Gutierrez Nuñez</t>
  </si>
  <si>
    <t>Marcela Anel Teposte Camarillo</t>
  </si>
  <si>
    <t>Manuel Alejandro Delgado Hernandez</t>
  </si>
  <si>
    <t>Karen Del Refugio Bañuelos Perez</t>
  </si>
  <si>
    <t>Cipriano Benitez Rodriguez</t>
  </si>
  <si>
    <t>Luz Esthela Dominguez Parra</t>
  </si>
  <si>
    <t>Yeremi Naomi Salvio Sandoval</t>
  </si>
  <si>
    <t>Esteban Avila Barajas</t>
  </si>
  <si>
    <t>Angelica Karina Lopez Nava</t>
  </si>
  <si>
    <t>Teresa Magaña Gonzalez</t>
  </si>
  <si>
    <t>Angel Emmanuel Sandoval Mendez</t>
  </si>
  <si>
    <t>Esmeralda Caudillo Neri</t>
  </si>
  <si>
    <t>Merali Estefania Vazquez Chavez</t>
  </si>
  <si>
    <t>Laura Janeth Garcia Espinoza</t>
  </si>
  <si>
    <t>Luz Araceli Flores Cerda</t>
  </si>
  <si>
    <t>Ruben Montaño Ruelas</t>
  </si>
  <si>
    <t>Keily Guadalupe Rodriguez Jacobo</t>
  </si>
  <si>
    <t>Maria Guadalupe Lopez Gomez</t>
  </si>
  <si>
    <t>Carlos Antonio Alvarez Gonzalez</t>
  </si>
  <si>
    <t>Maria Eleazar Rincon Rodriguez</t>
  </si>
  <si>
    <t>Jimi Edgar Segovia Zamora</t>
  </si>
  <si>
    <t>Gabriela Vega Oliden</t>
  </si>
  <si>
    <t>Susana Jimenez Montaño</t>
  </si>
  <si>
    <t>Erick Yahir Navarro Arvizu</t>
  </si>
  <si>
    <t>Jorge Omar Valle Hernandez</t>
  </si>
  <si>
    <t>Luz Gabriela Tovar Luna</t>
  </si>
  <si>
    <t>Josue Alexandro Gomez Perez</t>
  </si>
  <si>
    <t>Elvin Ismael Juarez Castillo</t>
  </si>
  <si>
    <t>Luis Enrique Prieto Delgado</t>
  </si>
  <si>
    <t>Carlos Jesus Novas Luevanos</t>
  </si>
  <si>
    <t>Jonathan Raymundo Rodriguez Martinez</t>
  </si>
  <si>
    <t>Adriana Gonzalez Gomez</t>
  </si>
  <si>
    <t>Ana Ivette Ramirez Ruiz</t>
  </si>
  <si>
    <t>Luis Fernando Hernandez Corona</t>
  </si>
  <si>
    <t>Lizette Jocelyn Landazuri Orozco</t>
  </si>
  <si>
    <t>Ilse Fatima Lopez Tapia</t>
  </si>
  <si>
    <t>Marco Antonio Andres Martinez</t>
  </si>
  <si>
    <t>Lorenza Virgen Amaton</t>
  </si>
  <si>
    <t>Luis Angel Perez Gomez</t>
  </si>
  <si>
    <t>Ilse Georgina Marquez Rayas</t>
  </si>
  <si>
    <t>Isaac Hernandez</t>
  </si>
  <si>
    <t>Raul Ortega Vazquez</t>
  </si>
  <si>
    <t>Christian Rodriguez Rodriguez</t>
  </si>
  <si>
    <t>Luis Ricardo Soto Mendez</t>
  </si>
  <si>
    <t>Elisa Ruano Pimienta</t>
  </si>
  <si>
    <t>Yesenia Montserrat Alonso Rodriguez</t>
  </si>
  <si>
    <t>Diego Ramirez Santiago</t>
  </si>
  <si>
    <t>Gloria Barrios Rodriguez</t>
  </si>
  <si>
    <t>Clementina Sanchez Martinez</t>
  </si>
  <si>
    <t>Alberto Del Campo Oliveros</t>
  </si>
  <si>
    <t>Maria Estibalis Montiel Diaz</t>
  </si>
  <si>
    <t>Erika Vazquez Juarez</t>
  </si>
  <si>
    <t>Lizbaith Avalos Castro</t>
  </si>
  <si>
    <t>Diana Fernanda De La Torre Lorenzo</t>
  </si>
  <si>
    <t>Perla Atziri Enciso Gonzalez</t>
  </si>
  <si>
    <t>Cristian Alejandro Gonzalez Mora</t>
  </si>
  <si>
    <t>Maria Belen Rivera Garcia</t>
  </si>
  <si>
    <t>Guadalupe Jimenez Tapia</t>
  </si>
  <si>
    <t>Ana Paula Francisco Castillo</t>
  </si>
  <si>
    <t>Brandon Abraham Rubio Valencia</t>
  </si>
  <si>
    <t>Fabiola Rojas Fermin</t>
  </si>
  <si>
    <t>Mayeli Josefina Morales Sanchez</t>
  </si>
  <si>
    <t>Alma Dori Garcia Jijon</t>
  </si>
  <si>
    <t>Rufina Irais Aparicio De Jesus</t>
  </si>
  <si>
    <t>Diana Laura Nazario Gomez</t>
  </si>
  <si>
    <t>Leonardo Rafael Rodriguez Vargas</t>
  </si>
  <si>
    <t>Ana Rosa Carbajal Camacho</t>
  </si>
  <si>
    <t>Stephany Curiel Ramirez</t>
  </si>
  <si>
    <t>Elisa Cortes Cruz</t>
  </si>
  <si>
    <t>Cipriano Macias Beltran</t>
  </si>
  <si>
    <t>Antonio Martinez Huerta</t>
  </si>
  <si>
    <t>Luis David Ramirez Guzman</t>
  </si>
  <si>
    <t>Antonia Antunez Rabadan</t>
  </si>
  <si>
    <t>Lourdes Adriana Vazquez Dionicio</t>
  </si>
  <si>
    <t>Maria De Los Angeles Rodriguez Ruiz</t>
  </si>
  <si>
    <t>Erick Brayan Hernandez Quezada</t>
  </si>
  <si>
    <t>Patricia Azucena Garcia Medina</t>
  </si>
  <si>
    <t>Ana Karen Chavez Echeverria</t>
  </si>
  <si>
    <t>Rosa Elena Chavez Hinojosa</t>
  </si>
  <si>
    <t>Arnulfo Lopez Avila</t>
  </si>
  <si>
    <t>Maria Esther Sandoval Gonzalez</t>
  </si>
  <si>
    <t>Elena Jocelyn Del Pilar Flores Navarro</t>
  </si>
  <si>
    <t>America Rubi Soria Ibañez</t>
  </si>
  <si>
    <t>Alberto Demetrio Lopez Delgado</t>
  </si>
  <si>
    <t>Fernanda Monserrath Pelayo Cardenas</t>
  </si>
  <si>
    <t>Rosalba Macias Robles</t>
  </si>
  <si>
    <t>Julia Barboza Rivera</t>
  </si>
  <si>
    <t>Alma Lizbeth Carmona Arroyo</t>
  </si>
  <si>
    <t>Cuahutemoc Aparicio De Jesus</t>
  </si>
  <si>
    <t>Josefina Anguiano Rodriguez</t>
  </si>
  <si>
    <t>Maria Elena Aviña Hernandez</t>
  </si>
  <si>
    <t>Itzel Daniela Gomez Macias</t>
  </si>
  <si>
    <t>Rosalinda Ulloa Felix</t>
  </si>
  <si>
    <t>Braulio Arreguin Martinez</t>
  </si>
  <si>
    <t>Karla Danae Gonzalez Vazquez</t>
  </si>
  <si>
    <t>Yesenia Adelaida Huesca Saucedo</t>
  </si>
  <si>
    <t>Veronica Berenice Castañeda Sandoval</t>
  </si>
  <si>
    <t>Alma Susana Moreno Flores</t>
  </si>
  <si>
    <t>Maria Cruz Arellano Alvarez</t>
  </si>
  <si>
    <t>Lilia Ramos Ramos</t>
  </si>
  <si>
    <t>Belen Zurisadai Perez Hernandez</t>
  </si>
  <si>
    <t>Martha Elena Avila Martinez</t>
  </si>
  <si>
    <t>Yarazette Fabiola Arellano Medina</t>
  </si>
  <si>
    <t>Fabiola Teresa Lopez Nuñez</t>
  </si>
  <si>
    <t>Yarizabeth Castro De La Cruz</t>
  </si>
  <si>
    <t>Jose Rafael Mosqueda Martinez</t>
  </si>
  <si>
    <t>Ruth Rios Velazquez</t>
  </si>
  <si>
    <t>Maria De La Luz Miranda Lozano</t>
  </si>
  <si>
    <t>Karla Araceli Lopez Cerros</t>
  </si>
  <si>
    <t>Ana Maria Huerta Garcia</t>
  </si>
  <si>
    <t>Areli Alderete Serapio</t>
  </si>
  <si>
    <t>Jaquelin Diaz Santiago</t>
  </si>
  <si>
    <t>Fernando Espinosa Diaz</t>
  </si>
  <si>
    <t>Maricela Flores Quintero</t>
  </si>
  <si>
    <t>Sara Alejandra Razon Lopez</t>
  </si>
  <si>
    <t>Martha Cecilia Viera Anguiano</t>
  </si>
  <si>
    <t>Teresita De Jesus Aguilar Herrera</t>
  </si>
  <si>
    <t>Evelyn Jaline Tejeda Rodriguez</t>
  </si>
  <si>
    <t>Hilario Hernandez Espinoza</t>
  </si>
  <si>
    <t>Jaime Garcia Covarrubias</t>
  </si>
  <si>
    <t>Araceli Leal Ramirez</t>
  </si>
  <si>
    <t>Brenda Lugo Orrantia</t>
  </si>
  <si>
    <t>Maria Victoria Medina Saavedra</t>
  </si>
  <si>
    <t>Cynthia Joanna Elizondo Avalos</t>
  </si>
  <si>
    <t>Josue Daniel Medina Aranda</t>
  </si>
  <si>
    <t>Adrian Valadez Gonzalez</t>
  </si>
  <si>
    <t>Maria Guadalupe Arevalos Gomez</t>
  </si>
  <si>
    <t>Angelica Sarahi Sanchez Mancilla</t>
  </si>
  <si>
    <t>Jesus Elizabeth Ledezma Alvino</t>
  </si>
  <si>
    <t>Andrea Espinoza Valdez</t>
  </si>
  <si>
    <t>Nayeli Antonio Martinez</t>
  </si>
  <si>
    <t>Dulce Maria Jose Vela Prado</t>
  </si>
  <si>
    <t>Liliana Varillas Cordero</t>
  </si>
  <si>
    <t>Juan Antonio Cipriano Navarro</t>
  </si>
  <si>
    <t>Dulce Maria Ochoa Razo</t>
  </si>
  <si>
    <t>Vanessa Elizabeth Luna Ramirez</t>
  </si>
  <si>
    <t>Margarita Chavez Herrera</t>
  </si>
  <si>
    <t>Erika Sugey Lavadores Lopez</t>
  </si>
  <si>
    <t>Israel Villalpando Huizar</t>
  </si>
  <si>
    <t>Dolores Carolina Bermudes Andalon</t>
  </si>
  <si>
    <t>Julian Israel Martinez Venegas</t>
  </si>
  <si>
    <t>Ramon Isaac Morales Aguilar</t>
  </si>
  <si>
    <t>Berzabe Juarez Gonzalez</t>
  </si>
  <si>
    <t>Maria Del Carmen Delgado Marquez</t>
  </si>
  <si>
    <t>Estrella Chacon Alfaro</t>
  </si>
  <si>
    <t>Alexis Antonio Torres Mendoza</t>
  </si>
  <si>
    <t>Cecilia Arvizu Bacilio</t>
  </si>
  <si>
    <t>Maura Moreno Gutierrez</t>
  </si>
  <si>
    <t>Alicia Nayeli Murillo Ledezma</t>
  </si>
  <si>
    <t>Elba Griselda Martinez Sandoval</t>
  </si>
  <si>
    <t>Athziri Jaqueline Lopez Fermin</t>
  </si>
  <si>
    <t>Yetlanetzi Sanchez Rueda</t>
  </si>
  <si>
    <t>Adriana Cuarenta Rosales</t>
  </si>
  <si>
    <t>Maira Edid Alcantar De Leon</t>
  </si>
  <si>
    <t>Daniel Alberto Jimenez Muñiz</t>
  </si>
  <si>
    <t>Miriam Yadira Salvio Sandoval</t>
  </si>
  <si>
    <t>Fernando Zazueta Ocegueda</t>
  </si>
  <si>
    <t>Janeth Elizabeth Garcia Ozuna</t>
  </si>
  <si>
    <t>Angel Rene Flores Muñoz</t>
  </si>
  <si>
    <t>Amparo Olivos Hernandez</t>
  </si>
  <si>
    <t>Ivan Daniel Andrade Aceves</t>
  </si>
  <si>
    <t>Aurora Trejo Lazaro</t>
  </si>
  <si>
    <t>Lizet Cristina Astorga Sarabia</t>
  </si>
  <si>
    <t>Estrella Duran Alarcon</t>
  </si>
  <si>
    <t>Marisol Eguiarte Hernandez</t>
  </si>
  <si>
    <t>Evelyn Cassandra Garcia Rios</t>
  </si>
  <si>
    <t>Brenda Esmeralda Cruz Rosas</t>
  </si>
  <si>
    <t>Alondra Jazmin Cruz Rosas</t>
  </si>
  <si>
    <t>Isaac Salomon Escobedo Gonzalez</t>
  </si>
  <si>
    <t>Carolina Velasco Gonzalez</t>
  </si>
  <si>
    <t>Maria Araceli Esparza Medina</t>
  </si>
  <si>
    <t>Atziri Dayann Mendoza Elias</t>
  </si>
  <si>
    <t>Jaime Dario Diaz Vera</t>
  </si>
  <si>
    <t>Karla Carrillo Santiago</t>
  </si>
  <si>
    <t>Ivan Bravo Sualez</t>
  </si>
  <si>
    <t>Jose Abel Hernandez Anaya</t>
  </si>
  <si>
    <t>Susana Alejandra Zepeda Jimenez</t>
  </si>
  <si>
    <t>Josselyn Esteban San Juan</t>
  </si>
  <si>
    <t>Jose Fernando Ortiz Gomez</t>
  </si>
  <si>
    <t>Raul Rosas Baez</t>
  </si>
  <si>
    <t>Yadira Alejandra Martinez Marcial</t>
  </si>
  <si>
    <t>Laura Liliana Flores Moran</t>
  </si>
  <si>
    <t>Juan Gabriel Maldonado Reynaga</t>
  </si>
  <si>
    <t>MARIA ISABEL VARGAS CAMARENA</t>
  </si>
  <si>
    <t>Jesus Arturo Adoño Organista</t>
  </si>
  <si>
    <t>Santiago Villafaña Gallegos</t>
  </si>
  <si>
    <t>Alejandra Camacho Alvarez</t>
  </si>
  <si>
    <t>Yesenia Ibarra Bautista</t>
  </si>
  <si>
    <t>Ana Karen Briseño Plascencia</t>
  </si>
  <si>
    <t>Maria de los Angeles Rojas Hernandez</t>
  </si>
  <si>
    <t>Martin Orozco Barajas</t>
  </si>
  <si>
    <t>Janeth De Anda Centeno</t>
  </si>
  <si>
    <t>Monica Elizabeth Sanchez Sanchez</t>
  </si>
  <si>
    <t>Janeth Elizabeth Tinajero Varela</t>
  </si>
  <si>
    <t>Jorge Alfredo Valdovinos Arredondo</t>
  </si>
  <si>
    <t>Gustavo Iran Baez Boeta</t>
  </si>
  <si>
    <t>Ana Maria Ramirez Estevez</t>
  </si>
  <si>
    <t>Maria Del Carmen Barcenas Cruz</t>
  </si>
  <si>
    <t>Maria Del Rosario Silva Vega</t>
  </si>
  <si>
    <t>Jose Emmanuel Luna Plancarte</t>
  </si>
  <si>
    <t>Luis Ernesto Aguirre Alvarez</t>
  </si>
  <si>
    <t>RIGOBERTO OCHOA DEL TORO</t>
  </si>
  <si>
    <t>Maria Guadalupe Prieto Cuevas</t>
  </si>
  <si>
    <t>Leopoldo Josue Medina Garcia</t>
  </si>
  <si>
    <t>Maricela Zuñiga Sanchez</t>
  </si>
  <si>
    <t>Jenny Liliana Marin Ceja</t>
  </si>
  <si>
    <t>Marco Antonio Meza Mancilla</t>
  </si>
  <si>
    <t>Miriam Yuridia Gonzalez Rincon</t>
  </si>
  <si>
    <t>Daniel Hernandez Vallin</t>
  </si>
  <si>
    <t>Virginia Rodriguez Cortez</t>
  </si>
  <si>
    <t>Ivan Palacios Gomez</t>
  </si>
  <si>
    <t>Claudia Ivette Rosales Macias</t>
  </si>
  <si>
    <t>Raul Martin Siordia Rocha</t>
  </si>
  <si>
    <t>Diego Alejandro Hernandez Basurto</t>
  </si>
  <si>
    <t>Patricia Lara Lepe</t>
  </si>
  <si>
    <t>Santa Viviana Rodriguez Figueroa</t>
  </si>
  <si>
    <t>Omar Jorge Camacho Chavez</t>
  </si>
  <si>
    <t>Raquel Pacheco Delgado</t>
  </si>
  <si>
    <t>Bety Sanchez Gutierrez</t>
  </si>
  <si>
    <t>Rosa Isela Topete Saldaña</t>
  </si>
  <si>
    <t>Carlos Eduardo Lomeli Navarro</t>
  </si>
  <si>
    <t>Antonio Isidro Hernandez Garcia</t>
  </si>
  <si>
    <t>Jose Manuel Elizalde Silva</t>
  </si>
  <si>
    <t>Rosa Maria Murillo Salazar</t>
  </si>
  <si>
    <t>Mario Grano Ureña</t>
  </si>
  <si>
    <t>Nayra Mahali Gómez Serna</t>
  </si>
  <si>
    <t>Juan Manuel Mendoza Vazquez</t>
  </si>
  <si>
    <t>Anay Navarro Moyeda</t>
  </si>
  <si>
    <t>Luis Rafael Camacho Torres</t>
  </si>
  <si>
    <t>Maria Guadalupe Alvarez Manilla Ramirez</t>
  </si>
  <si>
    <t>Nancy Yadira Montes Santos</t>
  </si>
  <si>
    <t>Simon Pedro Gradilla Palafox</t>
  </si>
  <si>
    <t>Miriam Mercedes Hernandez Tejeda</t>
  </si>
  <si>
    <t>Abdiel Cervantes Castillo</t>
  </si>
  <si>
    <t>Karina Elizabeth Guzman Felix</t>
  </si>
  <si>
    <t>Rosa Nelly Santiago Calderon</t>
  </si>
  <si>
    <t>Daniel Salvador Mercado Ramirez</t>
  </si>
  <si>
    <t>Ma. Cristina Garcia Anguiano</t>
  </si>
  <si>
    <t>Jose Refugio Martinez Vizcarra</t>
  </si>
  <si>
    <t>Ismael Mendez Ramirez</t>
  </si>
  <si>
    <t>Maria Teresa Covarrubias Rodriguez</t>
  </si>
  <si>
    <t>Pedro Rafael Ochoa Chavez</t>
  </si>
  <si>
    <t>Gabriel Castellanos Ortiz</t>
  </si>
  <si>
    <t>Adrian Cano Lopez</t>
  </si>
  <si>
    <t>Joel Morales Salmeron</t>
  </si>
  <si>
    <t>Alejandra Medina Santos</t>
  </si>
  <si>
    <t>Irene Karina Partida Quintero</t>
  </si>
  <si>
    <t>Maria de Jesus Perez Vazquez</t>
  </si>
  <si>
    <t>Nalleli Alejandra Carlos Flores</t>
  </si>
  <si>
    <t>Ana Maria Flores Machuca</t>
  </si>
  <si>
    <t>Evelia Garcia Jimenez</t>
  </si>
  <si>
    <t>Luis Fernando Gomez Cortes</t>
  </si>
  <si>
    <t>Ulises Noe Vega Arreola</t>
  </si>
  <si>
    <t>Jennifer Rincón Martínez</t>
  </si>
  <si>
    <t>Luis Ernesto Montes Vazquez</t>
  </si>
  <si>
    <t>Ernesto Reyes Garcia</t>
  </si>
  <si>
    <t>Jonatan Arvizu Nicanor</t>
  </si>
  <si>
    <t>Karla Yesenia Gonzalez Alvarez</t>
  </si>
  <si>
    <t>Gerardo Del Real Castañeda</t>
  </si>
  <si>
    <t>Jose Loza Arellano</t>
  </si>
  <si>
    <t>Abraham Medina Aranda</t>
  </si>
  <si>
    <t>Ivan Ricardo Martinez Murillo</t>
  </si>
  <si>
    <t>Monica Alejandra Sanchez Luna</t>
  </si>
  <si>
    <t>Luis Alfonso Casas Avila</t>
  </si>
  <si>
    <t>Jesus Salvador Garcia Rafael</t>
  </si>
  <si>
    <t>Jose Cruz Mesillas Gutierrez</t>
  </si>
  <si>
    <t>BRUNO DANIEL LOPEZ GUZMAN</t>
  </si>
  <si>
    <t>Fatima Alejandra Hernandez Amezola</t>
  </si>
  <si>
    <t>Nelson Uriel Suarez Villa</t>
  </si>
  <si>
    <t>Rafael Gabriel Ojeda Ruiz</t>
  </si>
  <si>
    <t>Jose Enrique Mora Pacheco</t>
  </si>
  <si>
    <t>Eric Uriel Sayavedra Ruvalcaba</t>
  </si>
  <si>
    <t>Jesus Jordan Pulido Perez</t>
  </si>
  <si>
    <t>Uriel Alejandro Gomez Ortiz</t>
  </si>
  <si>
    <t>Gabriel de Jesus Gonzalez Garcia</t>
  </si>
  <si>
    <t>Alan Daniel Parra Moreno</t>
  </si>
  <si>
    <t>Jazziel Cruz Santos</t>
  </si>
  <si>
    <t>Carlos Antonio Gastelum Torres</t>
  </si>
  <si>
    <t>Maria Julia Medina Ortega</t>
  </si>
  <si>
    <t>Mario Blancas Cruz</t>
  </si>
  <si>
    <t>Maria De Jesus Flores Santana</t>
  </si>
  <si>
    <t>Teresa Neri Figueroa</t>
  </si>
  <si>
    <t>Andrea Alvarez Cruz</t>
  </si>
  <si>
    <t>Claudia Rangel Garcia</t>
  </si>
  <si>
    <t>Graciela Gracia Molina</t>
  </si>
  <si>
    <t>Juan Fernando Romero Luna</t>
  </si>
  <si>
    <t>Esmeralda Sofia Perez Alvarez</t>
  </si>
  <si>
    <t>Jose Armando Martinez Valencia</t>
  </si>
  <si>
    <t>Cristina Netzayet Muñoz De la Cruz</t>
  </si>
  <si>
    <t>Yareli Guadalupe Aviles Quintero</t>
  </si>
  <si>
    <t>Jose Cruz Gonzalez Gonzalez</t>
  </si>
  <si>
    <t>Cecilia Tejeda Lopez</t>
  </si>
  <si>
    <t>Liley Michelle Rios Perez</t>
  </si>
  <si>
    <t>Cesar Ivan Banda Gomez</t>
  </si>
  <si>
    <t>Eduardo Mayoral Siordia</t>
  </si>
  <si>
    <t>Brenda Jazmin Marquez Hernandez</t>
  </si>
  <si>
    <t>Pedro Vargas Aviña</t>
  </si>
  <si>
    <t>Paola Monserrath Torres Muñoz</t>
  </si>
  <si>
    <t>Jaret Pineda Soto</t>
  </si>
  <si>
    <t>Felicia Lira Peña</t>
  </si>
  <si>
    <t>Joanna Palmira Rangel Tapia</t>
  </si>
  <si>
    <t>Director, Process Engineering</t>
  </si>
  <si>
    <t>Director, Operations Engineering</t>
  </si>
  <si>
    <t>Sr Director, Quality</t>
  </si>
  <si>
    <t>Director, Program Management</t>
  </si>
  <si>
    <t>Miguel Francisco Barajas Nares (32924)</t>
  </si>
  <si>
    <t>Veronica Judith Coss y Leon Gonzalez (1018211)</t>
  </si>
  <si>
    <t>Pedro Vargas Aviña (992296)</t>
  </si>
  <si>
    <t>Carlos Alberto Castañeda Muñoz (33755)</t>
  </si>
  <si>
    <t>Rogelio Guzman Sanchez (1173106)</t>
  </si>
  <si>
    <t>Abdiel Cervantes Castillo (866291)</t>
  </si>
  <si>
    <t>Manuel Vazquez Maldonado (1146319)</t>
  </si>
  <si>
    <t>Juan Jose Rivera Mendez (21344)</t>
  </si>
  <si>
    <t>Maria Julia Medina Ortega (968978)</t>
  </si>
  <si>
    <t>Jesus Reyes Rodriguez (1171171)</t>
  </si>
  <si>
    <t>Oscar Daniel Ocampo de la Barrera (1013610)</t>
  </si>
  <si>
    <t>Paola Monserrath Torres Muñoz (992785)</t>
  </si>
  <si>
    <t>Fernando Eliseo Jimenez Santiago (1091628)</t>
  </si>
  <si>
    <t>Yemaida Garcia Ocampo (35279)</t>
  </si>
  <si>
    <t>Gonzalo Rubio Ceja (33900)</t>
  </si>
  <si>
    <t>Alonso Padilla Jimenez (1180833)</t>
  </si>
  <si>
    <t>Juan Jose Alonzo Casillas (31849)</t>
  </si>
  <si>
    <t>Jorge Adalberto Alba Perez (33249)</t>
  </si>
  <si>
    <t>Erika Lizette Guerrero Martinez (1167876)</t>
  </si>
  <si>
    <t>Carlos Toscano Vazquez (1006179)</t>
  </si>
  <si>
    <t>Adrian Garibay Bravo (34055)</t>
  </si>
  <si>
    <t>Mario Cesar Gomez Valenzuela (25438)</t>
  </si>
  <si>
    <t>Luis Fernando Leaño Gomez (25191)</t>
  </si>
  <si>
    <t>Juan Manuel Pérez Maldonado (1202083)</t>
  </si>
  <si>
    <t>Carlos Antonio Gastelum Torres (967415)</t>
  </si>
  <si>
    <t>Juan Manuel Mendoza Vazquez (851159)</t>
  </si>
  <si>
    <t>Benito Martinez Santiago (31572)</t>
  </si>
  <si>
    <t>Marco Antonio Lozano Gómez (1139161)</t>
  </si>
  <si>
    <t>Luis Rafael Camacho Torres (851676)</t>
  </si>
  <si>
    <t>Ulises Noe Vega Arreola (926305)</t>
  </si>
  <si>
    <t>Cristian Alejandro Gonzalez Mora (4089255)</t>
  </si>
  <si>
    <t>Evelyn Paola Loera Herrera (1193487)</t>
  </si>
  <si>
    <t>Ramon Garcia Nuñez (32905)</t>
  </si>
  <si>
    <t>Loreto Rojo Varela (1172051)</t>
  </si>
  <si>
    <t>Gabriel Castellanos Ortiz (899712)</t>
  </si>
  <si>
    <t>Simon Pedro Gradilla Palafox (862068)</t>
  </si>
  <si>
    <t>Maria Guadalupe Prieto Cuevas (584970)</t>
  </si>
  <si>
    <t>Gilberto de Jesus Sanchez Oyoque (1014788)</t>
  </si>
  <si>
    <t>Jose Nieves Gutierrez Gutierrez (23000)</t>
  </si>
  <si>
    <t>Nohemi Guadalupe Cruz Laureano (1158107)</t>
  </si>
  <si>
    <t>Daniel Alejandro Zamora Avalos (1182904)</t>
  </si>
  <si>
    <t>Ivan Ricardo Martinez Murillo (952588)</t>
  </si>
  <si>
    <t>Antonio Hernandez Garcia (836170)</t>
  </si>
  <si>
    <t>Ricardo Villa (31335)</t>
  </si>
  <si>
    <t>Alex Romano (34260)</t>
  </si>
  <si>
    <t>Gonzalo Iván De la Cruz Orozco (1182291)</t>
  </si>
  <si>
    <t>Isai Lopez Ruiz (875273)</t>
  </si>
  <si>
    <t>Adolfo Garcia Salazar (33689)</t>
  </si>
  <si>
    <t>Nelson Uriel Suarez Villa (962342)</t>
  </si>
  <si>
    <t>Rafael Gabriel Ojeda Ruiz (962675)</t>
  </si>
  <si>
    <t>Maria de los Angeles Mercado De la Cruz (1210749)</t>
  </si>
  <si>
    <t>Catalina Veronica Torres Quiroga (38341)</t>
  </si>
  <si>
    <t>Jorge Orlando Hernández Herrera (1175411)</t>
  </si>
  <si>
    <t>Jesus Eduardo Aramburo Audelo (1153806)</t>
  </si>
  <si>
    <t>Patricia Guadalupe Vazquez Hurtado (1203876)</t>
  </si>
  <si>
    <t>Ricardo Souza Pulido (1012907)</t>
  </si>
  <si>
    <t>Alejandro Loza Haro (10324)</t>
  </si>
  <si>
    <t>Abraham Sinuhe Garcia Valencia (24425)</t>
  </si>
  <si>
    <t>Carlos Gilberto Chavez Gonzalez (1009044)</t>
  </si>
  <si>
    <t>Erik Alejandro Ruiz Lopez (1183466)</t>
  </si>
  <si>
    <t>Jose Adan Najar Plasencia (23521)</t>
  </si>
  <si>
    <t>Leopoldo Josue Medina Garcia (585063)</t>
  </si>
  <si>
    <t>Omar Garcia Lopez (31870)</t>
  </si>
  <si>
    <t>Shaneel Deo (1210081)</t>
  </si>
  <si>
    <t>Miguel Angel Gutierrez Limon (31891)</t>
  </si>
  <si>
    <t>Mariana Camargo Lavin (1125908)</t>
  </si>
  <si>
    <t>Karen Judith Ruiz Arevalo (1211951)</t>
  </si>
  <si>
    <t>Orlando Javier Ruiz Diaz (21858)</t>
  </si>
  <si>
    <t>Manuel Rentería Barreto (584049)</t>
  </si>
  <si>
    <t>Michael B Brooks (500950)</t>
  </si>
  <si>
    <t>Eric Joel Ramirez Rodriguez (31887)</t>
  </si>
  <si>
    <t>Jorge Alberto Aguilar Bernal (554597)</t>
  </si>
  <si>
    <t>Juan Carlos Gonzalez Ocaranza (25018)</t>
  </si>
  <si>
    <t>Hector Rene Marin Hernandez (25480)</t>
  </si>
  <si>
    <t>Carlos Fabian Garcia Lopez (1183099)</t>
  </si>
  <si>
    <t>Bryan Edtzel de Dios Sanchez Ortega (1170326)</t>
  </si>
  <si>
    <t>Adan Misael Aguilar Ibarra (1081858)</t>
  </si>
  <si>
    <t>Abraham Medina Aranda (939195)</t>
  </si>
  <si>
    <t>Christian Jonathan Velázquez Lucano (1180344)</t>
  </si>
  <si>
    <t>Alan Rhamses Gutiérrez Torres (1179791)</t>
  </si>
  <si>
    <t>Daniel Hernandez Vallin (600327)</t>
  </si>
  <si>
    <t>Luis Enrique Llamas Rojo (982111)</t>
  </si>
  <si>
    <t>Angel Harim Beltran Astivia (32335)</t>
  </si>
  <si>
    <t>Ivan Palacios Gomez (612718)</t>
  </si>
  <si>
    <t>Brenda Noemi Bonilla Gutierrez (1196936)</t>
  </si>
  <si>
    <t>Jaime Francisco Gomez Barrios (4035071)</t>
  </si>
  <si>
    <t>Eric Saul Espinoza Villegas (1003669)</t>
  </si>
  <si>
    <t>Elizabeth Garcia Chavez (1096155)</t>
  </si>
  <si>
    <t>Yarit Antonio Martinez (4062980)</t>
  </si>
  <si>
    <t>Rafael Cortes Larios (33731)</t>
  </si>
  <si>
    <t>Andres Ignacio Castañon Rodriguez (32670)</t>
  </si>
  <si>
    <t>Arturo Sandoval Briseño (22845)</t>
  </si>
  <si>
    <t>Maria Fernanda Cainas Ayala (1177031)</t>
  </si>
  <si>
    <t>David Rizo Vera (574310)</t>
  </si>
  <si>
    <t>Luis Alberto Villarreal Delgado (1006198)</t>
  </si>
  <si>
    <t>Luis Ernesto Aguirre Alvarez (582908)</t>
  </si>
  <si>
    <t>Luis Diego Anaya Zamudio (1192835)</t>
  </si>
  <si>
    <t>Natalia Lizbeth Rodriguez Mercado (1007773)</t>
  </si>
  <si>
    <t>Mariela Barron Moran (1182539)</t>
  </si>
  <si>
    <t>Jorge Contreras Rivera (25353)</t>
  </si>
  <si>
    <t>John Lane (600372)</t>
  </si>
  <si>
    <t>Monica Alejandra Sanchez Luna (955151)</t>
  </si>
  <si>
    <t>Jose Cruz Mesillas Gutierrez (958559)</t>
  </si>
  <si>
    <t>Fatima Alejandra Hernandez Amezola (961675)</t>
  </si>
  <si>
    <t>Francisco Javier Peña Hernandez (23211)</t>
  </si>
  <si>
    <t>Rey Alberto Lechuga Garcia (40513)</t>
  </si>
  <si>
    <t>Luis Ernesto Montes Vazquez (927513)</t>
  </si>
  <si>
    <t>Yesenia Robles Robles (4034092)</t>
  </si>
  <si>
    <t>Alejandro Andrade López (1085416)</t>
  </si>
  <si>
    <t>Ernesto Gomez Villagrana (21183)</t>
  </si>
  <si>
    <t>Bryan Alejandro Beatris Nuñez (3003401)</t>
  </si>
  <si>
    <t>Juan Carlos Grande Margarito (34830)</t>
  </si>
  <si>
    <t>Lourdes Leonor Santoscoy Chavez (21346)</t>
  </si>
  <si>
    <t>Guillermo Bravo Ortega (576170)</t>
  </si>
  <si>
    <t>Cristina Netzayet Muñoz De la Cruz (983069)</t>
  </si>
  <si>
    <t>Karla Elizabeth Rubio Gonzalez (33183)</t>
  </si>
  <si>
    <t>Rosa Maria Murillo Salazar (837744)</t>
  </si>
  <si>
    <t>Bertha Daniela Vazquez Lopez (4009618)</t>
  </si>
  <si>
    <t>Hugo de Jesus Tamayo Gamez (3007469)</t>
  </si>
  <si>
    <t>Anay Navarro Moyeda (851163)</t>
  </si>
  <si>
    <t>Martha Veronica Meza Garcia (23193)</t>
  </si>
  <si>
    <t>Guillermo Javier Uribe (860490)</t>
  </si>
  <si>
    <t>Osvaldo Olague Fernández (1103176)</t>
  </si>
  <si>
    <t>MX-GDL-Guad North-B29-CEC-Ops-Cisco [Primary Function]</t>
  </si>
  <si>
    <t>MX-GDL-Guad North-B29 [Primary Function]</t>
  </si>
  <si>
    <t>MX-GDL-Guad North-B30 [Primary Function]</t>
  </si>
  <si>
    <t xml:space="preserve">Business Systems Analyst </t>
  </si>
  <si>
    <t xml:space="preserve">Technical Program Manager </t>
  </si>
  <si>
    <t xml:space="preserve">Training Specialist </t>
  </si>
  <si>
    <t xml:space="preserve">Tool Crib Attendant </t>
  </si>
  <si>
    <t xml:space="preserve">Inventory Control Analyst </t>
  </si>
  <si>
    <t xml:space="preserve">Failure Analysis Engineer </t>
  </si>
  <si>
    <t xml:space="preserve">Delivery Business Systems Analyst </t>
  </si>
  <si>
    <t xml:space="preserve">Training Manager </t>
  </si>
  <si>
    <t xml:space="preserve">Data Analyst </t>
  </si>
  <si>
    <t xml:space="preserve">IT Operations Manager </t>
  </si>
  <si>
    <t xml:space="preserve">Training Assistant </t>
  </si>
  <si>
    <t xml:space="preserve">HR Business Partner </t>
  </si>
  <si>
    <t xml:space="preserve">EH&amp;S Engineer </t>
  </si>
  <si>
    <t xml:space="preserve">Software Test Development Engineer </t>
  </si>
  <si>
    <t xml:space="preserve">Operations Training Manager </t>
  </si>
  <si>
    <t xml:space="preserve">Equipment Maintenance Engineer </t>
  </si>
  <si>
    <t xml:space="preserve">Business Excellence Manager </t>
  </si>
  <si>
    <t xml:space="preserve">Information Technology Manager </t>
  </si>
  <si>
    <t xml:space="preserve">Equipment Maintenance Manager </t>
  </si>
  <si>
    <t xml:space="preserve">Product Quality Engineer </t>
  </si>
  <si>
    <t>Mix</t>
  </si>
  <si>
    <t>WH</t>
  </si>
  <si>
    <t xml:space="preserve">Manufacturing </t>
  </si>
  <si>
    <t xml:space="preserve">Equipment </t>
  </si>
  <si>
    <t>QA</t>
  </si>
  <si>
    <t>Process</t>
  </si>
  <si>
    <t xml:space="preserve">IE/Lean </t>
  </si>
  <si>
    <t>AME</t>
  </si>
  <si>
    <t xml:space="preserve">EHS </t>
  </si>
  <si>
    <t>Clasificación  Industrial</t>
  </si>
  <si>
    <t xml:space="preserve">Delta </t>
  </si>
  <si>
    <t>Omar Garcia Lopez</t>
  </si>
  <si>
    <t>Marisol Tavares Rivera</t>
  </si>
  <si>
    <t>Sr Director, Operations Engineering</t>
  </si>
  <si>
    <t>Rob Campbell (913304)</t>
  </si>
  <si>
    <t>Carmen Lucia Ramirez Diaz De Sandi (25358)</t>
  </si>
  <si>
    <t>Jose Luis Policarpo Galvez</t>
  </si>
  <si>
    <t>Jose de Jesus Sotelo Jimenez</t>
  </si>
  <si>
    <t>Adan Misael Aguilar Ibarra</t>
  </si>
  <si>
    <t>Diego Ramon Serrano Aguilar</t>
  </si>
  <si>
    <t>Uciel Santiago Mendoza</t>
  </si>
  <si>
    <t>Adrian Quintero Alvizo</t>
  </si>
  <si>
    <t>Karen Cristina Garibay Bautista</t>
  </si>
  <si>
    <t>Claudia Lizette Gayosso De La Cruz</t>
  </si>
  <si>
    <t>Crystal Azucena Rodriguez Gonzalez</t>
  </si>
  <si>
    <t>Alegna Naomi Martinez Valle</t>
  </si>
  <si>
    <t>Gerardo Geovany Sanchez Oliva</t>
  </si>
  <si>
    <t>Evelyn Paola Loera Herrera</t>
  </si>
  <si>
    <t>Ana Patricia Guerra Pacheco</t>
  </si>
  <si>
    <t>Raymundo Murillo Rosales</t>
  </si>
  <si>
    <t>Iliana Lizbeth Moreno Tavizon</t>
  </si>
  <si>
    <t>Brenda Torres Pasillas</t>
  </si>
  <si>
    <t>Giovanni Alejandro Perez Hernandez</t>
  </si>
  <si>
    <t>Jesus Carlos Martinez Garcia</t>
  </si>
  <si>
    <t>Daniel Adrian Lopez Martinez</t>
  </si>
  <si>
    <t>Paola Lizeth Vazquez Sanchez</t>
  </si>
  <si>
    <t>Luis Mario Acosta Mora</t>
  </si>
  <si>
    <t>Bianca Yaret Lozano Vazquez</t>
  </si>
  <si>
    <t>Victor Omar Rincon Flores</t>
  </si>
  <si>
    <t>Juan Carlos Cabrera Mosqueda</t>
  </si>
  <si>
    <t>Marcos Eduardo Lopez Vazquez</t>
  </si>
  <si>
    <t>Teresa Neri Figueroa (974994)</t>
  </si>
  <si>
    <t>Gustavo Rodrigo Peña Ramos (1013604)</t>
  </si>
  <si>
    <t>RMAS</t>
  </si>
  <si>
    <t>Reparación</t>
  </si>
  <si>
    <t>Training</t>
  </si>
  <si>
    <t>RH</t>
  </si>
  <si>
    <t>Tool</t>
  </si>
  <si>
    <t>Moonshine</t>
  </si>
  <si>
    <t>Brigadista</t>
  </si>
  <si>
    <t>Automatización</t>
  </si>
  <si>
    <t xml:space="preserve">Industrial </t>
  </si>
  <si>
    <t>Lean</t>
  </si>
  <si>
    <t>IST</t>
  </si>
  <si>
    <t>SMT</t>
  </si>
  <si>
    <t>Procesos</t>
  </si>
  <si>
    <t>Control de producción</t>
  </si>
  <si>
    <t>Almacén</t>
  </si>
  <si>
    <t>Equipos</t>
  </si>
  <si>
    <t>Diagnóstico</t>
  </si>
  <si>
    <t>Pruebas</t>
  </si>
  <si>
    <t>RMAs</t>
  </si>
  <si>
    <t>Producto</t>
  </si>
  <si>
    <t>ESD</t>
  </si>
  <si>
    <t>Calidad</t>
  </si>
  <si>
    <t>SQA</t>
  </si>
  <si>
    <t>Ana Cristina Rizo Ocegueda (1002436)</t>
  </si>
  <si>
    <t xml:space="preserve">Tooling Operator </t>
  </si>
  <si>
    <t>Bldg X</t>
  </si>
  <si>
    <t>Paola Perez Villalpando</t>
  </si>
  <si>
    <t>Lorena Nuñez Guzman</t>
  </si>
  <si>
    <t>MX-GDL-Guad North LSC-B10-B6-Ops-Philo [Primary Function]</t>
  </si>
  <si>
    <t>Gdl 1</t>
  </si>
  <si>
    <t>Manufactura</t>
  </si>
  <si>
    <t>Vanessa Elizabeth Ramirez Diaz</t>
  </si>
  <si>
    <t>Aylin Guadalupe Ortiz Torres</t>
  </si>
  <si>
    <t>Maria Eugenia Solorzano Montaño</t>
  </si>
  <si>
    <t>Mariana Montserrat Iriarte Ornelas</t>
  </si>
  <si>
    <t>Fixed Term</t>
  </si>
  <si>
    <t>PIC</t>
  </si>
  <si>
    <t>Joel Xavier Gordillo Barajas</t>
  </si>
  <si>
    <t>Eduardo Alejandro Aviña Rocha</t>
  </si>
  <si>
    <t>Noemi Victoria Prieto</t>
  </si>
  <si>
    <t>Norma Carolina Rivas Davila</t>
  </si>
  <si>
    <t>Liliana Rojas Camacho</t>
  </si>
  <si>
    <t>Lizeth Andrea Velasco Gonzalez</t>
  </si>
  <si>
    <t>Juan Carlos Maldonado Acosta</t>
  </si>
  <si>
    <t>Maria de la Luz Ramirez Madera</t>
  </si>
  <si>
    <t>Brenda Itzel Perez Garcia</t>
  </si>
  <si>
    <t>Adriana Daniela Vera Nuñez</t>
  </si>
  <si>
    <t>Ana Isabel Santos Torres</t>
  </si>
  <si>
    <t>Yonatan Ricardo Becerra Flores</t>
  </si>
  <si>
    <t>Martina Mendoza Uribe</t>
  </si>
  <si>
    <t>Jose Ismael Ramirez Mendoza</t>
  </si>
  <si>
    <t>Mario Alberto Cisneros Garcia</t>
  </si>
  <si>
    <t>Maria Soledad Teresa Figueroa Arteaga</t>
  </si>
  <si>
    <t>Manuel Viurquiz Tavares</t>
  </si>
  <si>
    <t>Maria Fernanda Fernandez Santillan</t>
  </si>
  <si>
    <t>Nancy Alejandra Gabriel Morales</t>
  </si>
  <si>
    <t>Ma. Del Rosario Hernandez Villanueva</t>
  </si>
  <si>
    <t>Laura Yesenia Berenice Delgado Venegas</t>
  </si>
  <si>
    <t>Azucena Perez Ramos</t>
  </si>
  <si>
    <t>Angel Emmanuel Mora Piña</t>
  </si>
  <si>
    <t>Sugey Soledad Ahumada Nolasco</t>
  </si>
  <si>
    <t>Yohana Araceli Celaya Velazquez</t>
  </si>
  <si>
    <t>Frida Diaz Escorcia</t>
  </si>
  <si>
    <t>Luis Ivanov Tavares Hernandez</t>
  </si>
  <si>
    <t>Jennifer Montserrat Vazquez Albarran</t>
  </si>
  <si>
    <t>Alberto Velazquez Cuevas</t>
  </si>
  <si>
    <t>Edwin Alejandro Villanueva Castro</t>
  </si>
  <si>
    <t>Jose De Jesus Gonzalez Perez</t>
  </si>
  <si>
    <t>Yolanda Cobian Candido</t>
  </si>
  <si>
    <t>Angeles Isabel Rodriguez Gutierrez</t>
  </si>
  <si>
    <t>Karina Balderas Montes</t>
  </si>
  <si>
    <t>Estela Campos Ibarra</t>
  </si>
  <si>
    <t>Jose Alfredo Galindo Aguilar</t>
  </si>
  <si>
    <t>Rigoberto Hernandez Chavez</t>
  </si>
  <si>
    <t>Estefany Yesenia Rosales Romero</t>
  </si>
  <si>
    <t>Cristian Yerat Luna Sanchez</t>
  </si>
  <si>
    <t>Jocelyn Jazmin Zapata Rios</t>
  </si>
  <si>
    <t>Ana Jacqueline Morales Perez</t>
  </si>
  <si>
    <t>Josue Delgadillo Tinoco</t>
  </si>
  <si>
    <t>Jose Guadalupe Lopez Morales</t>
  </si>
  <si>
    <t>Marcelina De La Rosa Serio</t>
  </si>
  <si>
    <t>Martha Leticia Guerrero Belman</t>
  </si>
  <si>
    <t>Elizabeth Montserrat Guerrero Aldana</t>
  </si>
  <si>
    <t>Samantha Sarahi Ramirez Marquez</t>
  </si>
  <si>
    <t>Anthony Ismael Rodriguez Rubio</t>
  </si>
  <si>
    <t>Karla Veronica Rodriguez Donato</t>
  </si>
  <si>
    <t>Valeria Alejandra Garcia Valdivia</t>
  </si>
  <si>
    <t>Jorge Luis Garcia Martinez</t>
  </si>
  <si>
    <t>Carolina Mercado Lopez</t>
  </si>
  <si>
    <t>Hazel Jonatan Mendez Alvarado</t>
  </si>
  <si>
    <t>Uriel Acatzin Alvarez Espinosa</t>
  </si>
  <si>
    <t>Yhao Carlos Raziel Maldonado Mora</t>
  </si>
  <si>
    <t>Brenda Jacqueline Yepez Araujo</t>
  </si>
  <si>
    <t>Juan Pablo Davalos Reyes</t>
  </si>
  <si>
    <t>Ana Agustina Silva Padilla</t>
  </si>
  <si>
    <t>Alfonso Buenrostro Zaragoza</t>
  </si>
  <si>
    <t>Carlos Alberto Zuñiga Tamayo</t>
  </si>
  <si>
    <t>Gustavo Eduardo Lechuga Arroyo</t>
  </si>
  <si>
    <t>Jorge Ignacio Diaz De Dios (1171980)</t>
  </si>
  <si>
    <t>Jaime Arturo Guzmán Morán</t>
  </si>
  <si>
    <t>Veronica Alejandra Meza Morales</t>
  </si>
  <si>
    <t>Joel Antonio de Guadalupe Rubio Herrera</t>
  </si>
  <si>
    <t>Jazhiel Aldair Barrera Quezada</t>
  </si>
  <si>
    <t>Jose Alfredo Ramos Carretero</t>
  </si>
  <si>
    <t>Gloria Miranda Chavez</t>
  </si>
  <si>
    <t>Hugo Alejandro Roldan Garcia</t>
  </si>
  <si>
    <t>Maria Guadalupe Santos Espinoza</t>
  </si>
  <si>
    <t>Cecilia Garcia Segundo</t>
  </si>
  <si>
    <t>Suri Marithsa Velazquez Delgado</t>
  </si>
  <si>
    <t>Nayeli Carolina Hernandez Arana</t>
  </si>
  <si>
    <t>Itzel Andres Castro</t>
  </si>
  <si>
    <t>Wendy Antonia Casimiro Lopez</t>
  </si>
  <si>
    <t>Juan Carlos Nares Sandoval</t>
  </si>
  <si>
    <t>Yesenia Ruiz Larios</t>
  </si>
  <si>
    <t>Gustavo Eduardo Lechuga Arroyo (921278)</t>
  </si>
  <si>
    <t>Armando Yair González Aréchiga</t>
  </si>
  <si>
    <t>Technical Program Manager</t>
  </si>
  <si>
    <t>Juan Yael Barrera Peña</t>
  </si>
  <si>
    <t>Maria de los Angeles Gomez Potenciano</t>
  </si>
  <si>
    <t>Paula Patricia Soriano Duron</t>
  </si>
  <si>
    <t>Michelle Joseline Roman Reveles</t>
  </si>
  <si>
    <t>Iyali Yoselin Aguilar Macias</t>
  </si>
  <si>
    <t>Favian Hernandez Palafox</t>
  </si>
  <si>
    <t>Hugo Suastegui Justo</t>
  </si>
  <si>
    <t>Victor Alfonso Septimo Lopez</t>
  </si>
  <si>
    <t>Noemi Anaya Saavedra</t>
  </si>
  <si>
    <t>Naydelin Judith Coronado Gonzalez</t>
  </si>
  <si>
    <t>David Alejandro Vazquez Aldaz</t>
  </si>
  <si>
    <t>Angel Brandom Velez Castañeda</t>
  </si>
  <si>
    <t>Romelia Mora Estebes</t>
  </si>
  <si>
    <t>Christian Ivan Garcia Gonzalez</t>
  </si>
  <si>
    <t>Yoxan Yaret Vargas Camacho</t>
  </si>
  <si>
    <t>Rosa Maria Nuñez Villa</t>
  </si>
  <si>
    <t>Ma Del Carmen Romo Fonseca</t>
  </si>
  <si>
    <t>John Panduro Lomeli</t>
  </si>
  <si>
    <t>Ashlee Niyet Sanchez Sanchez</t>
  </si>
  <si>
    <t>Aleida Rubi Camacho Naranjo</t>
  </si>
  <si>
    <t>Yeeisla Lizbeth Jimenez Diaz</t>
  </si>
  <si>
    <t>Edgar Alexander De la Cruz Salazar</t>
  </si>
  <si>
    <t>Javier Santana Jimenez Orozco</t>
  </si>
  <si>
    <t>Maria Mayela Solis Muñoz</t>
  </si>
  <si>
    <t>Carlos Villanueva Mireles</t>
  </si>
  <si>
    <t>Luis Angel Montiel Moreno</t>
  </si>
  <si>
    <t>Juan Eduardo Velazquez Navia</t>
  </si>
  <si>
    <t>Somenny Monserrat Espinoza Luna</t>
  </si>
  <si>
    <t>Francisco Javier Martinez Suárez</t>
  </si>
  <si>
    <t>Nikole Coral Quintana Rodriguez</t>
  </si>
  <si>
    <t>Paola Libertad Amezcua Orozco</t>
  </si>
  <si>
    <t>Maria Del Socorro Martinez Flores</t>
  </si>
  <si>
    <t>Cesar Alejandro Gutierrez Lopez</t>
  </si>
  <si>
    <t>Carlos Felipe Ocampo Serrano</t>
  </si>
  <si>
    <t>Fatima Cecilia Villafaña Alencastro</t>
  </si>
  <si>
    <t>Luis Alberto Gabriel Salazar Ruvalcaba</t>
  </si>
  <si>
    <t>Clara Ortega Orduñez</t>
  </si>
  <si>
    <t>Bldg 29</t>
  </si>
  <si>
    <t>Luis Enrique Hernandez de la Paz</t>
  </si>
  <si>
    <t>Juan Jose Barrios Martin</t>
  </si>
  <si>
    <t>Yadhira Janine Monterrubio Hernandez</t>
  </si>
  <si>
    <t>Guadalupe Pineda Ojeda</t>
  </si>
  <si>
    <t>Juan Diego Ramos Macias</t>
  </si>
  <si>
    <t>Karen Alejandra Molina Gonzalez</t>
  </si>
  <si>
    <t>Jose Antonio Martin Cisneros</t>
  </si>
  <si>
    <t>Gerardo Macias Tamayo</t>
  </si>
  <si>
    <t>Jaime Antonio Hernandez Ramos</t>
  </si>
  <si>
    <t>Edgar Arturo Martinez Barron</t>
  </si>
  <si>
    <t>Jorge Armando Morales Chavez (1147397)</t>
  </si>
  <si>
    <t>MX-GDL-Guad North CEC-Operations [Primary Function]</t>
  </si>
  <si>
    <t>Leslie Alejandra Hernandez Cedillo</t>
  </si>
  <si>
    <t>Sandra Yadira Lopez Orci</t>
  </si>
  <si>
    <t>María Fernanda Olmeda Lara</t>
  </si>
  <si>
    <t>Yessica jazmín Rivera Murillo</t>
  </si>
  <si>
    <t>Roberto Ivan Pérez García</t>
  </si>
  <si>
    <t>Edgar Leonel González Alcalá</t>
  </si>
  <si>
    <t>Rebeca Esmeralda Morones Ramirez</t>
  </si>
  <si>
    <t>Sergio Baltazar Aguilar del Rio</t>
  </si>
  <si>
    <t>Ana Paola Canela Vera</t>
  </si>
  <si>
    <t>Jessica Jazmin Cabral Hernandez</t>
  </si>
  <si>
    <t>Jose Ruben Perez Garcia</t>
  </si>
  <si>
    <t>Claudia Itzel Ortega Santos</t>
  </si>
  <si>
    <t>Jose Angel Ahumado Soto</t>
  </si>
  <si>
    <t>Alfonso Cruz Valenzuela</t>
  </si>
  <si>
    <t>Anita Virgen Garay</t>
  </si>
  <si>
    <t>Claudia Guadalupe Gonzalez Hernandez</t>
  </si>
  <si>
    <t>Luis Fermin Vasquez Lugo (1182120)</t>
  </si>
  <si>
    <t>Beatriz Rodriguez Juarez (28673)</t>
  </si>
  <si>
    <t>Jose Luis Hernandez Romero</t>
  </si>
  <si>
    <t>Wendolyn Tejeda Haro</t>
  </si>
  <si>
    <t>Joel Alejandro Tavares Armendariz</t>
  </si>
  <si>
    <t>Ricardo Exael Maldonado Ramos</t>
  </si>
  <si>
    <t>Piedad Guadalupe Santos Montes</t>
  </si>
  <si>
    <t>Maria De Lourdes Balderas Gonzalez</t>
  </si>
  <si>
    <t>Sandra Lizbeth Becerra Mata</t>
  </si>
  <si>
    <t>Tiffany Guadalupe Herrera Amezquita</t>
  </si>
  <si>
    <t>Luis Angel Daniel Martinez Jauregui</t>
  </si>
  <si>
    <t>Luis Gustavo Lopez Ramirez</t>
  </si>
  <si>
    <t>Gabriela Garcia Quintero</t>
  </si>
  <si>
    <t>Martin Gonzalez Figueroa</t>
  </si>
  <si>
    <t>Kristal Guadalupe Avila Perez</t>
  </si>
  <si>
    <t>Joshua Aldair Jimenez Bautista</t>
  </si>
  <si>
    <t>Bianca Esmeralda Campos Sandoval</t>
  </si>
  <si>
    <t>Jesus Felipe Cano Cerecedo</t>
  </si>
  <si>
    <t>Maria Fernanda Sanchez Olmos</t>
  </si>
  <si>
    <t>Sergio Eduardo Garcia Cordero</t>
  </si>
  <si>
    <t>Ana Liliana Caro Bravo</t>
  </si>
  <si>
    <t>Fatima Lizeth Navarro Carrillo</t>
  </si>
  <si>
    <t>Patricia Nuñez Ramirez</t>
  </si>
  <si>
    <t>Silvia Castañeda Galindo</t>
  </si>
  <si>
    <t>Maria De Jesus Meza Salas</t>
  </si>
  <si>
    <t>Francisco Javier Rojas Parra</t>
  </si>
  <si>
    <t>Martin Meza Salas</t>
  </si>
  <si>
    <t>Fatima Isabel Alfaro Garcia</t>
  </si>
  <si>
    <t>Rebeca Jeannette Lujano Dorado</t>
  </si>
  <si>
    <t>Luis Fernando Gomez Cortes (926184)</t>
  </si>
  <si>
    <t>Stephany Curiel Ramirez (4094661)</t>
  </si>
  <si>
    <t>Dylan Sebastian Moran Partida</t>
  </si>
  <si>
    <t>Julian Daniel Gonzalez Mayoral</t>
  </si>
  <si>
    <t>Mario Jesus Valenzuela Covarrubias</t>
  </si>
  <si>
    <t>Roberto Alfonso Vazquez Lopez Aguado</t>
  </si>
  <si>
    <t>Aurora Del Rosario Montes Gallardo</t>
  </si>
  <si>
    <t>Maria Guadalupe Corona Leon</t>
  </si>
  <si>
    <t>KARINA FACIO DUARTE</t>
  </si>
  <si>
    <t>Victoria Rubi Aranda Bobadilla</t>
  </si>
  <si>
    <t>Jorge Ezequiel Buendia Saldivar</t>
  </si>
  <si>
    <t>Julianna Jackeline Soriano Soto</t>
  </si>
  <si>
    <t>Jesus Antonio Contreras Fernandez</t>
  </si>
  <si>
    <t>Victor Hugo Jaramillo Salcido</t>
  </si>
  <si>
    <t>Guadalupe Gomez Sanchez</t>
  </si>
  <si>
    <t>Sandra Patricia Rangel Martinez</t>
  </si>
  <si>
    <t>Lorena Gomez Alvizo</t>
  </si>
  <si>
    <t>Ma. Isabel Valencia Jimenez</t>
  </si>
  <si>
    <t>Karla Janet Avalos Cantera</t>
  </si>
  <si>
    <t>Rosalba Salazar Benavides</t>
  </si>
  <si>
    <t>Dolores Noemi Osorio Rodriguez</t>
  </si>
  <si>
    <t>Andrik Sebastian Arellano Contreras</t>
  </si>
  <si>
    <t>Fernando Gael Hernandez Famoso</t>
  </si>
  <si>
    <t>Jenifer Monserrat Soto Silva</t>
  </si>
  <si>
    <t>Paola Evangelina Muñoz Mora</t>
  </si>
  <si>
    <t>Maria Teresa Gonzalez Mayagoitia</t>
  </si>
  <si>
    <t>Maria Arcelia Villagomez Duarte</t>
  </si>
  <si>
    <t>Mara Saudizareth Acevedo Rafael</t>
  </si>
  <si>
    <t>Cynthia Elizabeth Arroyo Perales</t>
  </si>
  <si>
    <t>Miriam Alejandra Camarena Avelar</t>
  </si>
  <si>
    <t>Alma Cristina Nieves Rico</t>
  </si>
  <si>
    <t>Rosa Gabriela Celas Castillo</t>
  </si>
  <si>
    <t>Irma Salcido Cervantes</t>
  </si>
  <si>
    <t>Maria Guadalupe De La Cruz Alonso</t>
  </si>
  <si>
    <t>Alexander Farid Guevara Lomas</t>
  </si>
  <si>
    <t>Zuleyma Marlene Melchor Lopez</t>
  </si>
  <si>
    <t>Erika Martinez Perez</t>
  </si>
  <si>
    <t>Pablo Sergio Sierra Arvizu</t>
  </si>
  <si>
    <t>Elvira Elizabeth Negrete Franco</t>
  </si>
  <si>
    <t>Maximiliano Aaron Velazquez Silva</t>
  </si>
  <si>
    <t>Gael Emilio Medina Trujillo</t>
  </si>
  <si>
    <t>Jose De Jesus Morones Balderas</t>
  </si>
  <si>
    <t>Arlinton Josue Rodriguez Sarmiento</t>
  </si>
  <si>
    <t>Brenda Ma Guadalupe Gonzalez Zepeda</t>
  </si>
  <si>
    <t>Patricia Acevedo Rodarte</t>
  </si>
  <si>
    <t>Nora Gomez Gutierrez</t>
  </si>
  <si>
    <t>Maria Jazmine Salomon Acevedo</t>
  </si>
  <si>
    <t>Fatima De Yanira Gonzalez Zepeda</t>
  </si>
  <si>
    <t>Carlos Gabriel Rodriguez Pulido</t>
  </si>
  <si>
    <t>Maria Francia Castillo Castell</t>
  </si>
  <si>
    <t>Estefania Sanchez Cardenas</t>
  </si>
  <si>
    <t>Christian Jesus Ayala Gudiño</t>
  </si>
  <si>
    <t>Yehovana Lizeth Gutierrez Quijada</t>
  </si>
  <si>
    <t>Fatima Alejandra Cruz Cejas</t>
  </si>
  <si>
    <t>Juan Carlos Hernandez Reyes</t>
  </si>
  <si>
    <t>Miguel Alejandro Valle Dominguez</t>
  </si>
  <si>
    <t>Angel De Jesus Antonio Dominguez</t>
  </si>
  <si>
    <t>Exiquio Gonzalez Partida</t>
  </si>
  <si>
    <t>Maria Contreras Solorzano</t>
  </si>
  <si>
    <t>Gabriela Michelle Tapia Garcia</t>
  </si>
  <si>
    <t>Esmeralda Abigail Martinez Olvera</t>
  </si>
  <si>
    <t>Fernando Ruben Vertti Piña</t>
  </si>
  <si>
    <t>Dante Neftali Prieto Salazar</t>
  </si>
  <si>
    <t>Diana Montserrat Lomeli Suarez</t>
  </si>
  <si>
    <t>Oscar Eduardo Palacios Anguiano</t>
  </si>
  <si>
    <t>Marisol Tellez Sanchez</t>
  </si>
  <si>
    <t>Aslhey Sherlin Mancilla Escobar</t>
  </si>
  <si>
    <t>Naydeline Dayan Salcido Escobar</t>
  </si>
  <si>
    <t>Diana Guadalupe Salcido Escobar</t>
  </si>
  <si>
    <t>Angel Jahir Arellano Escobedo</t>
  </si>
  <si>
    <t>Armando Medina Delgado</t>
  </si>
  <si>
    <t>Clara Fragedes Garcia Garcia</t>
  </si>
  <si>
    <t>Agustin Guillermo Salcido Zamudio</t>
  </si>
  <si>
    <t>Karla Elizabeth Padilla Escobedo</t>
  </si>
  <si>
    <t>Alma Janette Lopez Reza</t>
  </si>
  <si>
    <t>Naomi Vanessa Ramirez Sanchez</t>
  </si>
  <si>
    <t>Sanjuana Yuridiana Baez Lozano</t>
  </si>
  <si>
    <t>Gerardo Valdez Ramirez</t>
  </si>
  <si>
    <t>Amelia Herika Alcantar De Leon</t>
  </si>
  <si>
    <t>Silvia Piceno Daniel</t>
  </si>
  <si>
    <t>Isaac De Jesus Hernandez Fernandez</t>
  </si>
  <si>
    <t>Maria Teresa Nuñez Lujano</t>
  </si>
  <si>
    <t>Orlando Velazquez Ponce</t>
  </si>
  <si>
    <t>Nora Daniela Rocha Naranjo</t>
  </si>
  <si>
    <t>Brenda Elizabeth Rodriguez Gonzalez</t>
  </si>
  <si>
    <t>Francely Zuleyma Zermeño Guerola</t>
  </si>
  <si>
    <t>Talia Del Rosario Abundiz Rojas</t>
  </si>
  <si>
    <t>Brian Antonio Tovar Ramos</t>
  </si>
  <si>
    <t>Eric Alejandro Figueroa Delgado</t>
  </si>
  <si>
    <t>Karina Elizabeth Gutierrez Gonzalez</t>
  </si>
  <si>
    <t>Noelia Azucena Garcia Espinoza</t>
  </si>
  <si>
    <t>Marco Gabino Aguirre Proa</t>
  </si>
  <si>
    <t>Abraham Rincon Mejia</t>
  </si>
  <si>
    <t>Juan Isael Lopez Aguirre</t>
  </si>
  <si>
    <t>Daniela Mendez Morales</t>
  </si>
  <si>
    <t>Rosalinda Rodriguez Lamas</t>
  </si>
  <si>
    <t>Diego Francisco Lara Martinez</t>
  </si>
  <si>
    <t>Kevin Rene Mendez Renteria</t>
  </si>
  <si>
    <t>Cesar Ulises Bolaños Plascencia</t>
  </si>
  <si>
    <t>Sonia Guadalupe Hernandez Robledo</t>
  </si>
  <si>
    <t>Griselda Ramirez Robledo</t>
  </si>
  <si>
    <t>Maria De Lourdes Muñoz Navarro</t>
  </si>
  <si>
    <t>Virginia Muñoz Navarro</t>
  </si>
  <si>
    <t>Erika Berenice Jimenez Amezquita</t>
  </si>
  <si>
    <t>Cristian Leonardo Moreno Morales</t>
  </si>
  <si>
    <t>Paula Miranda Carrillo</t>
  </si>
  <si>
    <t>Bertha Erica Flores Villarreal</t>
  </si>
  <si>
    <t>Alejandra Elizabeth Venegas Escoto</t>
  </si>
  <si>
    <t>Luis Antonio Verdin Partida</t>
  </si>
  <si>
    <t>Angel Yahir Ledezma Ramirez</t>
  </si>
  <si>
    <t>Salvador Rosendo Fierros Hernandez</t>
  </si>
  <si>
    <t>Maria De La Cruz Tejeda Salazar</t>
  </si>
  <si>
    <t>Iliana Alejandra Jara Melchor</t>
  </si>
  <si>
    <t>Margarita Campos Vazquez</t>
  </si>
  <si>
    <t>Maria Marlene Bañuelos Vazquez</t>
  </si>
  <si>
    <t>Leticia Diaz Cruz</t>
  </si>
  <si>
    <t>Cristina Filomena Rodriguez Magaña</t>
  </si>
  <si>
    <t>Rocio Longoria Torres</t>
  </si>
  <si>
    <t>Maria de Lourdes Solis Vargas</t>
  </si>
  <si>
    <t>Lenny Beatriz Xochihua Perez</t>
  </si>
  <si>
    <t xml:space="preserve">Production Manager </t>
  </si>
  <si>
    <t xml:space="preserve">HC Current </t>
  </si>
  <si>
    <t>HC approved</t>
  </si>
  <si>
    <t>April</t>
  </si>
  <si>
    <t>Fol approved</t>
  </si>
  <si>
    <t>Ingresos no reflejados</t>
  </si>
  <si>
    <t>Posiciones con Reclu DL</t>
  </si>
  <si>
    <t>Posiciones con Reclu Tech</t>
  </si>
  <si>
    <t>Delta</t>
  </si>
  <si>
    <t>Pendientes HC</t>
  </si>
  <si>
    <t>Transfer In</t>
  </si>
  <si>
    <t>Ricardo de Jesus Cortes</t>
  </si>
  <si>
    <t>Rafael Carreon Almeida</t>
  </si>
  <si>
    <t>Rafael Herrera Guzmán</t>
  </si>
  <si>
    <t>Jose Ramses Medina Arciga</t>
  </si>
  <si>
    <t>Arleth Michelle Ramos Estrada</t>
  </si>
  <si>
    <t>Juan De Jesus Peña Granados</t>
  </si>
  <si>
    <t>Mayra Lizette Luna Hernandez</t>
  </si>
  <si>
    <t>Patricio Zeferino Dominguez Dominguez</t>
  </si>
  <si>
    <t>Irving Omar Osorio Garcia</t>
  </si>
  <si>
    <t>Leslie Janette Sanchez Garcia</t>
  </si>
  <si>
    <t>Pablo Lopez Sanchez</t>
  </si>
  <si>
    <t>Gisell Guadalupe Santiago Rodriguez</t>
  </si>
  <si>
    <t>Hilda Maria Rodriguez Medina</t>
  </si>
  <si>
    <t>Maria Fernanda Rosas Pacheco</t>
  </si>
  <si>
    <t>Viridiana Guadalupe Baez Castañon</t>
  </si>
  <si>
    <t>Jose Guadalupe Rodriguez Garcia</t>
  </si>
  <si>
    <t>Jose Guadalupe Rivera Valderrama</t>
  </si>
  <si>
    <t>Brandon Jose Ochoa Diaz</t>
  </si>
  <si>
    <t>Leslie Andrea Gonzalez Zapata</t>
  </si>
  <si>
    <t>Mario De Jesus Lopez Lopez</t>
  </si>
  <si>
    <t>Andrea Celeste Muñiz Gonzalez</t>
  </si>
  <si>
    <t>Maria De La Luz Hernandez Hernandez</t>
  </si>
  <si>
    <t>Maria Maribel Herrera Maldonado</t>
  </si>
  <si>
    <t>Ivon Teresa Lopez Arambula</t>
  </si>
  <si>
    <t>Gerardo Navarro Galindo</t>
  </si>
  <si>
    <t>Eira Yazmin Salazar Magaña</t>
  </si>
  <si>
    <t>Brella Escobar Escobar</t>
  </si>
  <si>
    <t>Elena Jocelyn Davila Perez</t>
  </si>
  <si>
    <t>Naydelin Casandra Llamas Segura</t>
  </si>
  <si>
    <t>Erich Giovanni Fernandez Carmona</t>
  </si>
  <si>
    <t>Carlos Joel Calderon Lopez</t>
  </si>
  <si>
    <t>Claudia Yanet Mendoza Barajas</t>
  </si>
  <si>
    <t>Martin Gonzalez Manzo</t>
  </si>
  <si>
    <t>Karina Montserrat Ramirez Olguin</t>
  </si>
  <si>
    <t>Pedro Zavala Hernandez</t>
  </si>
  <si>
    <t>Maria Esperanza Rendon Godoy</t>
  </si>
  <si>
    <t>Fatima Guadalupe Rodriguez Ulloa</t>
  </si>
  <si>
    <t>Josue Manuel Sanchez Rivera</t>
  </si>
  <si>
    <t>Gilberto Castro Garcia</t>
  </si>
  <si>
    <t>Orlando Tolentino Gonzalez</t>
  </si>
  <si>
    <t>Yessenia De Jesus Contreras Muñoz</t>
  </si>
  <si>
    <t>Juan Tomas Moreno Valdez</t>
  </si>
  <si>
    <t>Alexis Leonardo Alcazar Rivera</t>
  </si>
  <si>
    <t>Maria Guadalupe Sandoval Valenzuela</t>
  </si>
  <si>
    <t>Viviana Abigail Macedo Calvillo</t>
  </si>
  <si>
    <t>Elizabeth Del Puerto Morelos</t>
  </si>
  <si>
    <t>Graciela Ramirez Gomez</t>
  </si>
  <si>
    <t>Hector Eduardo Olivarria Gonzalez</t>
  </si>
  <si>
    <t>Fernando Leon Gutierrez</t>
  </si>
  <si>
    <t>Luisa Josseline Flores Plascencia</t>
  </si>
  <si>
    <t>Carlos Tello Garcia</t>
  </si>
  <si>
    <t>Hector Manuel Diaz Gonzalez</t>
  </si>
  <si>
    <t>Osvaldo Manuel Morales Perez</t>
  </si>
  <si>
    <t>Santos Estela Ruiz Gomez</t>
  </si>
  <si>
    <t>Isidro Ramon Gonzalez Perez</t>
  </si>
  <si>
    <t>Alondra Fernanda Sarco Serrano</t>
  </si>
  <si>
    <t>Belen Karina Silva Lopez</t>
  </si>
  <si>
    <t>Elvia Macias Garcia</t>
  </si>
  <si>
    <t>Francisco Javier Romero Mendez</t>
  </si>
  <si>
    <t>Pedro Lopez Salazar</t>
  </si>
  <si>
    <t>Marcos Osbaldo VILLAFAN Garcia</t>
  </si>
  <si>
    <t>José de Jesús Siordia Rivera (1134565)</t>
  </si>
  <si>
    <t xml:space="preserve">EH&amp;S Manager </t>
  </si>
  <si>
    <t xml:space="preserve">Supplier Quality Engineering Manager </t>
  </si>
  <si>
    <t xml:space="preserve">HC current (al 20 abril) </t>
  </si>
  <si>
    <t>Omar Esau Contreras Garcia (4053893)</t>
  </si>
  <si>
    <t>NPI</t>
  </si>
  <si>
    <t>Julio César Moreno Monroy</t>
  </si>
  <si>
    <t>Sergio Alejandro Ramos Carbajal</t>
  </si>
  <si>
    <t>Exon Rodrigo De anda Valdez</t>
  </si>
  <si>
    <t>Ricardo Delgado González</t>
  </si>
  <si>
    <t>Carlos Rafael Villalvazo Salcido</t>
  </si>
  <si>
    <t>Lourdes Neytaly Diaz Cervantes</t>
  </si>
  <si>
    <t>Maria Julia Plascencia Martinez</t>
  </si>
  <si>
    <t>Adriana Corona Ruvalcaba</t>
  </si>
  <si>
    <t>Jorge Andres Rivera Diaz</t>
  </si>
  <si>
    <t>Daniel Abraham Humberto Sánchez García</t>
  </si>
  <si>
    <t>Christian Jesus Gonzalez Iñiguez (21810)</t>
  </si>
  <si>
    <t>Gerardo Reyes Rivas (31560)</t>
  </si>
  <si>
    <t>MX-GDL-Guadalajara North CEC [Primary Function]</t>
  </si>
  <si>
    <t>Karen Alexia Jimenez Barreras</t>
  </si>
  <si>
    <t>Karen Rubi Lopez Diaz</t>
  </si>
  <si>
    <t>Maria Eugenia Hernandez Mora (1012377)</t>
  </si>
  <si>
    <t>Ana Cristina Haro Ramirez (38676)</t>
  </si>
  <si>
    <t>Michelle Newton (1188655)</t>
  </si>
  <si>
    <t>Karen elizabeth Reyes Orozco</t>
  </si>
  <si>
    <t>Enrique Sebastián Saldaña Guerrero</t>
  </si>
  <si>
    <t>Paola Sofía Barajas Hernández</t>
  </si>
  <si>
    <t>Hector Silvestre Rodriguez Juarez</t>
  </si>
  <si>
    <t>Victor Fernando Elizondo Parra</t>
  </si>
  <si>
    <t>Aldo Aaron Davalos Mena</t>
  </si>
  <si>
    <t>Gema Paulina Romo Armas</t>
  </si>
  <si>
    <t>Marco Antonio Rodriguez Plascido</t>
  </si>
  <si>
    <t>Antonio Contreras Ching</t>
  </si>
  <si>
    <t>Maria Guadalupe Rodriguez Perez</t>
  </si>
  <si>
    <t>Aline Paola Pineda Guerrero</t>
  </si>
  <si>
    <t>Bianca Melissa Cardona Anguiano</t>
  </si>
  <si>
    <t>Jose Alexis Petris Castro (1093188)</t>
  </si>
  <si>
    <t>Jorge Andres Rivera Diaz (584977)</t>
  </si>
  <si>
    <t>Brenda Isabel García Mora (1205758)</t>
  </si>
  <si>
    <t>Recruiter</t>
  </si>
  <si>
    <t>Gerardo David Bautista Luna</t>
  </si>
  <si>
    <t>Jessica Jacqueline Delgado Parra</t>
  </si>
  <si>
    <t>Luis Guillermo Lopez Mortera</t>
  </si>
  <si>
    <t>Wilfrido Romero Hernandez</t>
  </si>
  <si>
    <t>Rodolfo Najera Arteaga</t>
  </si>
  <si>
    <t>Ana Cristina Avila Cardenas</t>
  </si>
  <si>
    <t>Jose Antonio Eufracio Vazquez</t>
  </si>
  <si>
    <t>Pedro Marcelino Mandujano Medina</t>
  </si>
  <si>
    <t>Liliana Carolina Morales Ramos</t>
  </si>
  <si>
    <t>Ramon Israel Reyes Olmedo</t>
  </si>
  <si>
    <t>Nuncia Elizabeth Barajas Castillo</t>
  </si>
  <si>
    <t>Fatima Liney Murillo Ledezma</t>
  </si>
  <si>
    <t>Karla Yamirel Lemus Osuna</t>
  </si>
  <si>
    <t>Omar Lozano Rodriguez (1070969)</t>
  </si>
  <si>
    <t>Johnattan Fernando Guerrero Velazquez (On Leave) (34299)</t>
  </si>
  <si>
    <t>Crystal Azucena Rodriguez Gonzalez (1183229)</t>
  </si>
  <si>
    <t>Juan Gabriel Mares Lopez</t>
  </si>
  <si>
    <t>Silvia Garcia Mayoral</t>
  </si>
  <si>
    <t>Approved June 2026</t>
  </si>
  <si>
    <t>Row Labels</t>
  </si>
  <si>
    <t>Grand Total</t>
  </si>
  <si>
    <t>Count of Clasificación  Industrial</t>
  </si>
  <si>
    <t>Proceso RH</t>
  </si>
  <si>
    <t>Osvaldo Luciano Ávila Cerda</t>
  </si>
  <si>
    <t>José Eduardo Castro Sotelo</t>
  </si>
  <si>
    <t>Luis Alberto Vega Figueroa</t>
  </si>
  <si>
    <t>Abel Antonio Vazquez De la rosa</t>
  </si>
  <si>
    <t>Vicente Muñoz Sanchez</t>
  </si>
  <si>
    <t>Maria Candelaria Limas Perez</t>
  </si>
  <si>
    <t>Ricardo Rincon Martinez</t>
  </si>
  <si>
    <t>Jose Ricardo Lopez Marin</t>
  </si>
  <si>
    <t>Jose Alfonso Pesquera Rodriguez</t>
  </si>
  <si>
    <t>Bertha Silvia Garcia Suarez</t>
  </si>
  <si>
    <t>Monica Estefania Paredes Garcia</t>
  </si>
  <si>
    <t>Maria Elena Juarez Lopez</t>
  </si>
  <si>
    <t>Mildred Esmeralda Beltran Bobadilla</t>
  </si>
  <si>
    <t>Jacquelyn Tellez Vergara</t>
  </si>
  <si>
    <t>Jazmin Alejandra Nava Ibañez</t>
  </si>
  <si>
    <t>Mariely Chan Posos</t>
  </si>
  <si>
    <t>Gabriel AMed Rico Rocha</t>
  </si>
  <si>
    <t>Jassen Bigvai Hernandez Jacinto</t>
  </si>
  <si>
    <t>Rigoberto Gutierrez Castillo</t>
  </si>
  <si>
    <t>Cesar Guillermo Rubio Llamas</t>
  </si>
  <si>
    <t>Alejandro Alencastro Jimenez</t>
  </si>
  <si>
    <t>Roberto Gutierrez Sanchez</t>
  </si>
  <si>
    <t>Missael de Jesus Lomeli Rodriguez (986537)</t>
  </si>
  <si>
    <t>Ricardo Orozco Soto (851430)</t>
  </si>
  <si>
    <t>Omar Karin Hernandez Rojas (35359)</t>
  </si>
  <si>
    <t>Carlos Augusto Agredano Ornelas (1127660)</t>
  </si>
  <si>
    <t>Luis Eduardo Aceves Rodriguez (4026705)</t>
  </si>
  <si>
    <t xml:space="preserve">Materials Administrator </t>
  </si>
  <si>
    <t xml:space="preserve">Lean </t>
  </si>
  <si>
    <t>Antonio Hernández Martín</t>
  </si>
  <si>
    <t>Jorge Abel Garcia Zamudio</t>
  </si>
  <si>
    <t>Fernando Herrera Trejo</t>
  </si>
  <si>
    <t>Pedro Jara González</t>
  </si>
  <si>
    <t>Ulises Gerardo Hernandez De Alba</t>
  </si>
  <si>
    <t>Jose Miguel Ortega De La Cruz</t>
  </si>
  <si>
    <t>Julian Ricardo Michel Herran</t>
  </si>
  <si>
    <t>Jose de Jesús Loera Haro</t>
  </si>
  <si>
    <t>Wendy Figueroa Aguilar</t>
  </si>
  <si>
    <t>Ignacia Guadalupe Soltero Rosales</t>
  </si>
  <si>
    <t>Galilea Gallardo Gutierrez</t>
  </si>
  <si>
    <t>Juan Antonio Becerra Armenta</t>
  </si>
  <si>
    <t>Neftali Yosed Morales Gonzalez</t>
  </si>
  <si>
    <t>Biviana Berenice Sanchez Gutierrez</t>
  </si>
  <si>
    <t>Joel Enrique Del Castillo Gonzalez</t>
  </si>
  <si>
    <t>Abigail Cruz Barajas</t>
  </si>
  <si>
    <t>Liliana Elizabeth Ramirez Salas</t>
  </si>
  <si>
    <t>Paula Jacqueline Tiscareño Juarez</t>
  </si>
  <si>
    <t>Belia Denis Mondragon Gomez</t>
  </si>
  <si>
    <t>Eberardo Parra Hernandez</t>
  </si>
  <si>
    <t>Fryda Lucrecia Carrion Aranda</t>
  </si>
  <si>
    <t>Julian Zavala Rios</t>
  </si>
  <si>
    <t>Jesus Flores Ramos</t>
  </si>
  <si>
    <t>Carlos David Michel Flores</t>
  </si>
  <si>
    <t>Jose Pedro Lopez Villavicencio</t>
  </si>
  <si>
    <t>Mariana Torillo Monroy</t>
  </si>
  <si>
    <t>Jose Guillermo Trujillo Ramirez (1088220)</t>
  </si>
  <si>
    <t>Jessica Jacqueline Delgado Parra (1046386)</t>
  </si>
  <si>
    <t>Martha Noemi Aguayo Reyes (4010783)</t>
  </si>
  <si>
    <t>Marcos Osbaldo Villafan Garcia (950916)</t>
  </si>
  <si>
    <t>Marco Antonio Rodriguez Plascido (32943)</t>
  </si>
  <si>
    <t>MX-GDL-MECH Plastics-Support [Primary Function]</t>
  </si>
  <si>
    <t xml:space="preserve">Quality Compliance Specialist </t>
  </si>
  <si>
    <t xml:space="preserve">Design Quality Engineer </t>
  </si>
  <si>
    <t>Nuevo Ingreso</t>
  </si>
  <si>
    <t>Mariana Lizeth de la Rocha Gómez</t>
  </si>
  <si>
    <t>Jose Yahir Gonzalez Pinto</t>
  </si>
  <si>
    <t>Isaias Marquez de Leon</t>
  </si>
  <si>
    <t>Fernando Ibarra Avila</t>
  </si>
  <si>
    <t>Kazlova Estefanía Lamas Ramírez</t>
  </si>
  <si>
    <t>Vanessa Esparza Tamayo</t>
  </si>
  <si>
    <t>Osvaldo Romero Jauregui</t>
  </si>
  <si>
    <t>Dulce Paola Rosas Peraza</t>
  </si>
  <si>
    <t>Jasmin Aguilar Hernandez</t>
  </si>
  <si>
    <t>Alma Erika Santana Madrid</t>
  </si>
  <si>
    <t>Neydy Nayeli Cisneros Cuellar</t>
  </si>
  <si>
    <t>Jorge Arturo Guerrero Escobedo</t>
  </si>
  <si>
    <t>Evelyn Citlalli Aguayo Beltran</t>
  </si>
  <si>
    <t>Xochitl Yadira Castañeda Arandas</t>
  </si>
  <si>
    <t>Maria De Jesus Muñoz Plascencia</t>
  </si>
  <si>
    <t>Elizabeth Anahi Castillon Moreno</t>
  </si>
  <si>
    <t>Juan Carlos Ñol Camacho</t>
  </si>
  <si>
    <t>Dinora Isabel Martinez Dominguez</t>
  </si>
  <si>
    <t>Karla Janete Guzman Barrera</t>
  </si>
  <si>
    <t>Norely Montserrat Osorio Rodriguez</t>
  </si>
  <si>
    <t>Daniela Citlaly Guillen Ventura</t>
  </si>
  <si>
    <t>Jose Luis Zamora Velez</t>
  </si>
  <si>
    <t>Raul Lopez Garcia</t>
  </si>
  <si>
    <t>Ismael Alejandro Gonzalez Ramirez</t>
  </si>
  <si>
    <t>Axel Jhair Guardado Olvera</t>
  </si>
  <si>
    <t>Luna Marisela Correa Medina</t>
  </si>
  <si>
    <t>Miriam Guadalupe Ramos Gomez</t>
  </si>
  <si>
    <t>Janeth Gisela Hernandez Magallanes</t>
  </si>
  <si>
    <t>Ada Paulina Navarro Rodriguez</t>
  </si>
  <si>
    <t>Maria Fernanda Ortiz Espinoza</t>
  </si>
  <si>
    <t>Karla Roxana Urbina Sanchez</t>
  </si>
  <si>
    <t>Norma Angelica Escalante Sanchez</t>
  </si>
  <si>
    <t>Hiber Ruben Lopez Garcia</t>
  </si>
  <si>
    <t>Jorge Luis Ibarra Hueso</t>
  </si>
  <si>
    <t>Yaneth Anahi Roman Navarro</t>
  </si>
  <si>
    <t>Maria De Lourdes Gonzalez Miranda</t>
  </si>
  <si>
    <t>Carlos Daniel Sagrero Jimenez</t>
  </si>
  <si>
    <t>Maria Brenda Rosario Calderon Bañuelos</t>
  </si>
  <si>
    <t>Juan Luis Valdez Jimenez (29410)</t>
  </si>
  <si>
    <t xml:space="preserve">Logistics Analyst </t>
  </si>
  <si>
    <t>Lizabeth Novoa Pesqueda</t>
  </si>
  <si>
    <t>Transfer IN</t>
  </si>
  <si>
    <t>Erika Patricia Zuñiga Carrillo</t>
  </si>
  <si>
    <t>Mario Antonio Ojeda Garcia</t>
  </si>
  <si>
    <t>Jairo Noe Amaya Huerta</t>
  </si>
  <si>
    <t>Elisa Flores Gonzalez</t>
  </si>
  <si>
    <t>Alicia Iñiguez Ramos</t>
  </si>
  <si>
    <t>Aurora Santiago Jimenez</t>
  </si>
  <si>
    <t>Kenia Nallely Meza Rodriguez</t>
  </si>
  <si>
    <t>Juan Antonio Medina Mendoza</t>
  </si>
  <si>
    <t>Karely Del Carmen Gonzalez Gonzalez</t>
  </si>
  <si>
    <t>Adrian Ramírez Reyes</t>
  </si>
  <si>
    <t>Erik Sanchez Quevedo</t>
  </si>
  <si>
    <t>Kevin Carrazco Alvarez</t>
  </si>
  <si>
    <t>Misael Isai Gomez Lomeli</t>
  </si>
  <si>
    <t>Mauricio Moreno Muñoz</t>
  </si>
  <si>
    <t>Gerardo Sánchez Aguilar</t>
  </si>
  <si>
    <t>Vivianne Mora Tejeda</t>
  </si>
  <si>
    <t>Gloria Leticia Estrada Blanco</t>
  </si>
  <si>
    <t>Maria De Jesus Sifuentes Carrillo</t>
  </si>
  <si>
    <t>Vanessa Cervantes Lopez</t>
  </si>
  <si>
    <t>Silvestre Gonzalez Conchas</t>
  </si>
  <si>
    <t>Irene Cisneros Haro</t>
  </si>
  <si>
    <t>Abigail Rico Dominguez</t>
  </si>
  <si>
    <t>Juan Luis Valdez Jimenez</t>
  </si>
  <si>
    <t>Maria Auxilio Susana Garcia Sanchez</t>
  </si>
  <si>
    <t>Sahian Rosales Melendez</t>
  </si>
  <si>
    <t>Maria Gabriela De La Torre Quintero</t>
  </si>
  <si>
    <t>Jessica Yebra Lopez</t>
  </si>
  <si>
    <t>Carmen Ortega Gonzalez</t>
  </si>
  <si>
    <t>Marco Antonio Lopez Navarro</t>
  </si>
  <si>
    <t>Dolores Evelia Huerta Navarro</t>
  </si>
  <si>
    <t>Victor Manuel Olmeda Chiguil</t>
  </si>
  <si>
    <t>Zayra Fernanda Garcia Garcia</t>
  </si>
  <si>
    <t>Luis Miguel Hernandez Sandoval</t>
  </si>
  <si>
    <t>Lourdes Esmeralda Morales Sanchez</t>
  </si>
  <si>
    <t>Lucero Guadalupe Lucas Carlos</t>
  </si>
  <si>
    <t>Blanca Angelica Villafranco Rivera</t>
  </si>
  <si>
    <t>Jaime Abraham Castañeda Garcia</t>
  </si>
  <si>
    <t>Oscar Eduardo Torres De la Cruz</t>
  </si>
  <si>
    <t>Yolanda Reveles Nuñez</t>
  </si>
  <si>
    <t>Rosa Isela Hernandez Marcial</t>
  </si>
  <si>
    <t>Luis Angel Ramirez Hernandez</t>
  </si>
  <si>
    <t>Veronica Morales Gutierrez</t>
  </si>
  <si>
    <t>Alma Lilia Arellano Arganda</t>
  </si>
  <si>
    <t>Leticia Blanco Vivanco</t>
  </si>
  <si>
    <t>Maria Viridiana Gonzalez Curiel</t>
  </si>
  <si>
    <t>Dulce Alejandra Partida Martinez</t>
  </si>
  <si>
    <t>Jose De Jesus Benitez Ortiz</t>
  </si>
  <si>
    <t>Maria Concepcion Quezada Guzman</t>
  </si>
  <si>
    <t>Maria Guadalupe Gonzalez Cuevas</t>
  </si>
  <si>
    <t>Ana Carolina Resendiz Nolasco</t>
  </si>
  <si>
    <t>Delia Barajas Suarez</t>
  </si>
  <si>
    <t>Nancy Fonseca Zuñiga</t>
  </si>
  <si>
    <t>Maria De Jesus Chavez Gonzalez</t>
  </si>
  <si>
    <t>Anacleta Chavez Gonzalez</t>
  </si>
  <si>
    <t>Ivan Vidal Cruz</t>
  </si>
  <si>
    <t>Maria Guadalupe Hernandez Contreras</t>
  </si>
  <si>
    <t>Jorge Jauregui Salazar</t>
  </si>
  <si>
    <t>Natalia Torres Serrano</t>
  </si>
  <si>
    <t>Mayra Noemi Espinoza Ibarra</t>
  </si>
  <si>
    <t>Julia Montserrat Abundis Aguirre</t>
  </si>
  <si>
    <t>Beatriz Adriana Villa Lopez</t>
  </si>
  <si>
    <t>Gil Alejandro Arjon Gonzalez</t>
  </si>
  <si>
    <t>Noelia Contreras Gomez</t>
  </si>
  <si>
    <t>Danna Yoselyne Villa Rodriguez</t>
  </si>
  <si>
    <t>Ariana Montserrat Alejos Meza</t>
  </si>
  <si>
    <t>Maria Guadalupe Piña Luna</t>
  </si>
  <si>
    <t>Fidel Martinez Encarnacion</t>
  </si>
  <si>
    <t>Maria Lucia Gonzalez Rebollo</t>
  </si>
  <si>
    <t>Bertha Paola Jimenez Chavez</t>
  </si>
  <si>
    <t>Sara Yulisa Rosales Banderas</t>
  </si>
  <si>
    <t>Lesly Guadalupe Angel Barragan</t>
  </si>
  <si>
    <t>Carlos Adan Martinez Silva</t>
  </si>
  <si>
    <t>Maria Guadalupe Gonzalez Gomez</t>
  </si>
  <si>
    <t>Giomar Alejandro Andrade Ocampo</t>
  </si>
  <si>
    <t>Marcela Montserrat Navarro Larios</t>
  </si>
  <si>
    <t>Veronica Castañon Corona</t>
  </si>
  <si>
    <t>Cinthia Abundis Ocampo</t>
  </si>
  <si>
    <t>Karina Perez Duran</t>
  </si>
  <si>
    <t>Dulce Maria Arreola Martinez</t>
  </si>
  <si>
    <t>Yadira Carolina Aguilar Nuñez</t>
  </si>
  <si>
    <t>Myriam Zitlalit Espinoza Tovar</t>
  </si>
  <si>
    <t>Valeria Alejandra Sanchez Renteria</t>
  </si>
  <si>
    <t>Angeles Yaquelin Flores Perez</t>
  </si>
  <si>
    <t>Carolina Flores Perez</t>
  </si>
  <si>
    <t>Carolina Urias Hernandez</t>
  </si>
  <si>
    <t>Yesenia Margarita Jasso Moreno</t>
  </si>
  <si>
    <t>Fredy Emmanuel Rubio Vega</t>
  </si>
  <si>
    <t>Maribel Navarro Moyeda</t>
  </si>
  <si>
    <t>Sandra Leticia Rivera Garcia</t>
  </si>
  <si>
    <t>Santiago Rodriguez Jimenez</t>
  </si>
  <si>
    <t>Leonardo Javier Nuñez Garcia</t>
  </si>
  <si>
    <t>Victor Ruben Nieves Algaba</t>
  </si>
  <si>
    <t>Airam Yajali Perez Garcia</t>
  </si>
  <si>
    <t>Brenda Hernandez Hernandez</t>
  </si>
  <si>
    <t>Santiaga Varona Damian</t>
  </si>
  <si>
    <t>Alejandra De La Cruz Fajardo</t>
  </si>
  <si>
    <t>Mayra Vianey Flores Plascencia</t>
  </si>
  <si>
    <t>Martha Berenice Cordero Valle</t>
  </si>
  <si>
    <t>Guadalupe Ayala Trujillo</t>
  </si>
  <si>
    <t>Angeles Sinahi Hernandez Monico</t>
  </si>
  <si>
    <t>Andrea Cortez Rivera</t>
  </si>
  <si>
    <t>Karina Delgado Rios</t>
  </si>
  <si>
    <t>Ana Lilia Flores Hernandez</t>
  </si>
  <si>
    <t>Elizet Flores Hernandez</t>
  </si>
  <si>
    <t>Raymundo Soria Espitia</t>
  </si>
  <si>
    <t>Eric Alejandro Lopez Huerta</t>
  </si>
  <si>
    <t>Enri Jared Macias Ruiz</t>
  </si>
  <si>
    <t>Aymar Esthefania Huerta Guerrero</t>
  </si>
  <si>
    <t>Mauricio Solis Garcia</t>
  </si>
  <si>
    <t>Angelica Cristina Martinez Garin</t>
  </si>
  <si>
    <t>Alonso Valentin Sanchez Valencia</t>
  </si>
  <si>
    <t>Paula Graciela Tiscareño Mendoza</t>
  </si>
  <si>
    <t>Sandra Ramirez Hernandez</t>
  </si>
  <si>
    <t>Luis Gerardo Roa Flores</t>
  </si>
  <si>
    <t>Jose Francisco Juarez Nuñez</t>
  </si>
  <si>
    <t>Ana Rosa Davila Cortes</t>
  </si>
  <si>
    <t>Jose Elias Posadas Lopez</t>
  </si>
  <si>
    <t>Emmanuel De Jesus Navarro Davalos</t>
  </si>
  <si>
    <t>Pedro Eduardo Navarro Corona</t>
  </si>
  <si>
    <t>Kevin Alejandro Molina Gonzalez</t>
  </si>
  <si>
    <t>Anabel Margarita Arellano Cabrera</t>
  </si>
  <si>
    <t>Felix Yoav Torres Medina</t>
  </si>
  <si>
    <t>Cynthia Vanessa Rodriguez Flores</t>
  </si>
  <si>
    <t>Rebeca Alessandra Moreno Castillo</t>
  </si>
  <si>
    <t>Dulce Maria Garcia Flores</t>
  </si>
  <si>
    <t>Maria Jose Martinez Flores</t>
  </si>
  <si>
    <t>Julissa Lizeth Perez Serrano</t>
  </si>
  <si>
    <t>Jose Alberto Garcia Jasso</t>
  </si>
  <si>
    <t>Kytzia Jazmin Figueroa Santiago</t>
  </si>
  <si>
    <t>Karen Azucena Hernandez Guzman</t>
  </si>
  <si>
    <t>Fatima De Lourdes Vargas Cervantes</t>
  </si>
  <si>
    <t>Marely Jackelin Chavez Puga</t>
  </si>
  <si>
    <t>Oscar Ulises Morales Sanchez</t>
  </si>
  <si>
    <t>Salvador Martinez Vega</t>
  </si>
  <si>
    <t>Carlos Martin Godinez Casillas</t>
  </si>
  <si>
    <t>Tania Lucia Santana Regalado</t>
  </si>
  <si>
    <t>Jonathan Armando Vega Rangel</t>
  </si>
  <si>
    <t>Leonardo Jose Calderon Nuñez</t>
  </si>
  <si>
    <t>Esperanza Urbina Sanchez</t>
  </si>
  <si>
    <t>Edith Deyanira Guareño Jimenez</t>
  </si>
  <si>
    <t>Angela Cardenas Hernandez</t>
  </si>
  <si>
    <t>Brian Alejandro Ortiz Ibañez</t>
  </si>
  <si>
    <t>Gabriel Gonzalez Santa Cruz</t>
  </si>
  <si>
    <t>Katherine Lizette Soriano Haro</t>
  </si>
  <si>
    <t>Fernando Guijarro Espinoza</t>
  </si>
  <si>
    <t>Pedro Lopez Castellanos</t>
  </si>
  <si>
    <t>Elva Sofia Hernandez Diaz</t>
  </si>
  <si>
    <t>Valeria Anaksunamun Vela Camacho</t>
  </si>
  <si>
    <t>Karla Maria Jimenez Tello</t>
  </si>
  <si>
    <t>Alma Carlota Alcantar Torres</t>
  </si>
  <si>
    <t>Ignacio Alonso Reyes</t>
  </si>
  <si>
    <t>Marisela Garcia Lopez</t>
  </si>
  <si>
    <t>Jaqueline Monserrath Rizo Capote</t>
  </si>
  <si>
    <t>Said Gabriel Sandoval Arreola</t>
  </si>
  <si>
    <t>Inocente Flores Valdivia</t>
  </si>
  <si>
    <t>Karen Daniela Islas Galaviz</t>
  </si>
  <si>
    <t>Cristina Guzman Hernandez</t>
  </si>
  <si>
    <t>Alexis Daniel Zepeda Leal</t>
  </si>
  <si>
    <t>Martha Delia Sanchez Ovilla</t>
  </si>
  <si>
    <t>Joseph De Jesus Guzman Sandoval</t>
  </si>
  <si>
    <t>Mayra Janett Legaspi Ramirez</t>
  </si>
  <si>
    <t>Beatriz Adriana Vazquez Olivares</t>
  </si>
  <si>
    <t>Rosa Janeth Rocha Godoy</t>
  </si>
  <si>
    <t>Brenda Dulce Casillas Padilla</t>
  </si>
  <si>
    <t>Rosario Vazquez Reyes</t>
  </si>
  <si>
    <t>Luis Fernando Garcia Hernandez</t>
  </si>
  <si>
    <t>Jessica Alencastro Jimenez</t>
  </si>
  <si>
    <t>Leslie Noemi Andalon Zamudio</t>
  </si>
  <si>
    <t>Luis Angel Cordero Corona</t>
  </si>
  <si>
    <t>Veronica Guadalupe Alonso Flores</t>
  </si>
  <si>
    <t>Bertha Lilia Aguirre Rodriguez</t>
  </si>
  <si>
    <t>Jonathan Uriel Cordero Corona</t>
  </si>
  <si>
    <t>Mario Alberto Contreras De La Cruz</t>
  </si>
  <si>
    <t>Alondra Perez Sevilla</t>
  </si>
  <si>
    <t>Leslie Viridiana Reyes Neri</t>
  </si>
  <si>
    <t>Vanessa Alejandra Chavez Medina</t>
  </si>
  <si>
    <t>Ariatne Lizeth Chavez Medina</t>
  </si>
  <si>
    <t>Kenia Lopez Bañuelos</t>
  </si>
  <si>
    <t>Juan Carlos Ornelas Frias</t>
  </si>
  <si>
    <t>Jose Rafael Ibarra Colin</t>
  </si>
  <si>
    <t>Lupe Lorena Valladolid Avila</t>
  </si>
  <si>
    <t>Lorena Torrez Tejeda</t>
  </si>
  <si>
    <t>Leslie Karina Hernandez Garcia</t>
  </si>
  <si>
    <t>Laura Martinez Porras</t>
  </si>
  <si>
    <t>Cynthia Yanilet Martinez Alvarado</t>
  </si>
  <si>
    <t>Joaquin Alexander Ayala Santana</t>
  </si>
  <si>
    <t>Edgar Samuel Orozco Rodriguez</t>
  </si>
  <si>
    <t>Sara Reyes Hernandez</t>
  </si>
  <si>
    <t>Rodrigo Ramirez Gonzalez</t>
  </si>
  <si>
    <t>Jose Miguel Flores Moreno</t>
  </si>
  <si>
    <t>Daniel Ramirez Castañeda</t>
  </si>
  <si>
    <t>Sinai Martinez Martinez</t>
  </si>
  <si>
    <t>Olivia Martinez Delgado</t>
  </si>
  <si>
    <t>Vanesa Yaravi Macias Guillen</t>
  </si>
  <si>
    <t>Evangelina Sandoval Alcaraz</t>
  </si>
  <si>
    <t>Carmen Michelle Castillo Cisneros</t>
  </si>
  <si>
    <t>Luis Francisco Ambriz Silva</t>
  </si>
  <si>
    <t>German Delgado Zapata</t>
  </si>
  <si>
    <t>Maria Del Rocio Torres Morales</t>
  </si>
  <si>
    <t>Irma Edith Sanchez Beltran</t>
  </si>
  <si>
    <t>Yesenia Alvarez Salazar</t>
  </si>
  <si>
    <t>Adan Ayon Santiago</t>
  </si>
  <si>
    <t>Fabiola Diaz Aviña</t>
  </si>
  <si>
    <t>Irwing Ariel Aguilar Chan (Comercializadora de Innovacion y Vanguardia SA de CV)</t>
  </si>
  <si>
    <t>Enrique Martinez Torres</t>
  </si>
  <si>
    <t>Martha Alicia Vera Flores</t>
  </si>
  <si>
    <t>Fatima Elizabeth Villalobos Martinez</t>
  </si>
  <si>
    <t>Andres Martin Rico Partida</t>
  </si>
  <si>
    <t>Zulema Jazmin Herrera Mojarro</t>
  </si>
  <si>
    <t>Devora Llerena Gama</t>
  </si>
  <si>
    <t>Jessica Alejandra Salazar Gutierrez</t>
  </si>
  <si>
    <t>Federico Castro Victoria</t>
  </si>
  <si>
    <t>Maria Isabel Solis Roque</t>
  </si>
  <si>
    <t>Jose Alfonso Pesquera Rodriguez (31543)</t>
  </si>
  <si>
    <t>Ernesto Alonso Sanchez (22810)</t>
  </si>
  <si>
    <t>Carlos Gustavo Alvarez Garcia (26754)</t>
  </si>
  <si>
    <t>Karen Cristina Garibay Bautista (1180608)</t>
  </si>
  <si>
    <t>MX-GDL-Guad North-B16-Ciena [Primary Function]</t>
  </si>
  <si>
    <t>EHS</t>
  </si>
  <si>
    <t>Nuevo ingreso</t>
  </si>
  <si>
    <t>Jorge Tonatiuh Méndez Guareña</t>
  </si>
  <si>
    <t>Marieli Aylin Pantaleon Molina</t>
  </si>
  <si>
    <t>Luis Antonio Cedillo Gómez</t>
  </si>
  <si>
    <t>Josué Emmanuel Cruz Chávez</t>
  </si>
  <si>
    <t>David Antonio Diaz Ramirez</t>
  </si>
  <si>
    <t>Erick Roberto Perez Estrada</t>
  </si>
  <si>
    <t>Francisco David Palomares Cabrera</t>
  </si>
  <si>
    <t>Juan Jesus Bravo Orozco</t>
  </si>
  <si>
    <t>Miguel Angel Soto Hernández</t>
  </si>
  <si>
    <t>Fernando Antonio Cortes Covarrubias</t>
  </si>
  <si>
    <t>Luis Octavio Angulo Higuera</t>
  </si>
  <si>
    <t>Arturo de Jesus Gil Hernandez</t>
  </si>
  <si>
    <t>Maria Del Rosario Regalado Navarro</t>
  </si>
  <si>
    <t>Francisco Geovanni Martinez Salazar</t>
  </si>
  <si>
    <t>Angel Gabriel Flores Jimenez</t>
  </si>
  <si>
    <t>Lorena Del Carmen Flores Vidal</t>
  </si>
  <si>
    <t>Citlali Elizabeth Villarreal Salazar</t>
  </si>
  <si>
    <t>Jamy Atziri Gonzalez Ramirez</t>
  </si>
  <si>
    <t>Fernando Daniel Meza Cuevas</t>
  </si>
  <si>
    <t>Laura Elena Robledo Nuñez</t>
  </si>
  <si>
    <t>Juan Jose Flores Robles</t>
  </si>
  <si>
    <t>Victor Daniel Garcia Carrillo</t>
  </si>
  <si>
    <t>Angelica Yamileth Iñiguez Romero</t>
  </si>
  <si>
    <t>Ma. de Lourdes Ortega Reyna</t>
  </si>
  <si>
    <t>Diego Sanchez Narvaez</t>
  </si>
  <si>
    <t>Karina Tapia Montoya</t>
  </si>
  <si>
    <t>Enrique Sebastián Saldaña Guerrero (1157915)</t>
  </si>
  <si>
    <t>Viviana Berenice Quintero Curiel (886544)</t>
  </si>
  <si>
    <t>Jaime Antonio Navarro Hernandez (25033)</t>
  </si>
  <si>
    <t>Luis Gaytan Ramos (1176209)</t>
  </si>
  <si>
    <t>Karla Yamirel Lemus Osuna (967653)</t>
  </si>
  <si>
    <t>FLX-Reg Serv-Non Alloc-Mexico [Primary Function]</t>
  </si>
  <si>
    <t>Roberto Elias Robles Ochoa</t>
  </si>
  <si>
    <t>Material Expediter</t>
  </si>
  <si>
    <t>Jairo Raul Gonzalez Celiz (1161457)</t>
  </si>
  <si>
    <t>Andres Ignacio Castañon Rodriguez (32670) Organization</t>
  </si>
  <si>
    <t>Departamento</t>
  </si>
  <si>
    <t>IT</t>
  </si>
  <si>
    <t>IE</t>
  </si>
  <si>
    <t>Product</t>
  </si>
  <si>
    <t>HR</t>
  </si>
  <si>
    <t>Planning</t>
  </si>
  <si>
    <t>Automatitation</t>
  </si>
  <si>
    <t>Buyer</t>
  </si>
  <si>
    <t>Staff</t>
  </si>
  <si>
    <t>GM</t>
  </si>
  <si>
    <t>Program</t>
  </si>
  <si>
    <t>Traffic</t>
  </si>
  <si>
    <t>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</si>
</sst>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/dd/yy;@"/>
    <numFmt numFmtId="165" formatCode="[$-F800]dddd\,\ mmmm\ dd\,\ yyyy"/>
  </numFmts>
  <fonts count="4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9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9"/>
      <name val="Calibri"/>
      <family val="2"/>
      <charset val="1"/>
    </font>
    <font>
      <sz val="10"/>
      <color indexed="8"/>
      <name val="Arial"/>
      <family val="2"/>
    </font>
    <font>
      <sz val="9"/>
      <color rgb="FFFFFFFF"/>
      <name val="Calibri"/>
      <family val="2"/>
    </font>
    <font>
      <b/>
      <sz val="14"/>
      <color rgb="FF002060"/>
      <name val="Calibri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b/>
      <sz val="9"/>
      <color theme="1"/>
      <name val="Century Gothic"/>
      <family val="2"/>
    </font>
    <font>
      <b/>
      <sz val="9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b/>
      <sz val="11"/>
      <color rgb="FF000000"/>
      <name val="Calibri"/>
      <family val="2"/>
      <charset val="1"/>
    </font>
    <font>
      <b/>
      <sz val="9"/>
      <color theme="0"/>
      <name val="Calibri"/>
      <family val="2"/>
      <charset val="1"/>
    </font>
    <font>
      <i/>
      <sz val="8"/>
      <color theme="0" tint="-0.14999847407452621"/>
      <name val="Calibri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  <font>
      <b/>
      <sz val="9"/>
      <color rgb="FFC00000"/>
      <name val="Century Gothic"/>
      <family val="2"/>
    </font>
    <font>
      <b/>
      <sz val="9"/>
      <color rgb="FF00B0F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92D050"/>
      <name val="Century Gothic"/>
      <family val="2"/>
    </font>
    <font>
      <b/>
      <sz val="11"/>
      <color rgb="FF92D05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FFF00"/>
        <bgColor rgb="FF3333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medium">
        <color theme="1"/>
      </right>
      <top style="thin">
        <color theme="0" tint="-0.149998474074526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984740745262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/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 style="thin">
        <color theme="0" tint="-0.14999847407452621"/>
      </top>
      <bottom/>
      <diagonal/>
    </border>
  </borders>
  <cellStyleXfs count="147">
    <xf numFmtId="0" fontId="0" fillId="0" borderId="0"/>
    <xf numFmtId="0" fontId="24" fillId="0" borderId="0">
      <alignment wrapText="1"/>
    </xf>
    <xf numFmtId="0" fontId="24" fillId="0" borderId="0">
      <alignment wrapText="1"/>
    </xf>
    <xf numFmtId="0" fontId="24" fillId="0" borderId="0"/>
    <xf numFmtId="0" fontId="27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7" fillId="0" borderId="0" applyFont="0" applyFill="0" applyBorder="0" applyAlignment="0" applyProtection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0" fillId="0" borderId="0"/>
    <xf numFmtId="0" fontId="20" fillId="0" borderId="0"/>
    <xf numFmtId="44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19" fillId="0" borderId="0"/>
    <xf numFmtId="0" fontId="19" fillId="0" borderId="0"/>
    <xf numFmtId="44" fontId="19" fillId="0" borderId="0" applyFont="0" applyFill="0" applyBorder="0" applyAlignment="0" applyProtection="0"/>
    <xf numFmtId="0" fontId="18" fillId="0" borderId="0"/>
    <xf numFmtId="0" fontId="18" fillId="0" borderId="0"/>
    <xf numFmtId="44" fontId="18" fillId="0" borderId="0" applyFont="0" applyFill="0" applyBorder="0" applyAlignment="0" applyProtection="0"/>
    <xf numFmtId="0" fontId="17" fillId="0" borderId="0"/>
    <xf numFmtId="0" fontId="17" fillId="0" borderId="0"/>
    <xf numFmtId="44" fontId="17" fillId="0" borderId="0" applyFont="0" applyFill="0" applyBorder="0" applyAlignment="0" applyProtection="0"/>
    <xf numFmtId="0" fontId="16" fillId="0" borderId="0"/>
    <xf numFmtId="0" fontId="16" fillId="0" borderId="0"/>
    <xf numFmtId="44" fontId="16" fillId="0" borderId="0" applyFont="0" applyFill="0" applyBorder="0" applyAlignment="0" applyProtection="0"/>
    <xf numFmtId="0" fontId="15" fillId="0" borderId="0"/>
    <xf numFmtId="0" fontId="15" fillId="0" borderId="0"/>
    <xf numFmtId="44" fontId="15" fillId="0" borderId="0" applyFont="0" applyFill="0" applyBorder="0" applyAlignment="0" applyProtection="0"/>
    <xf numFmtId="0" fontId="14" fillId="0" borderId="0"/>
    <xf numFmtId="0" fontId="14" fillId="0" borderId="0"/>
    <xf numFmtId="44" fontId="14" fillId="0" borderId="0" applyFont="0" applyFill="0" applyBorder="0" applyAlignment="0" applyProtection="0"/>
    <xf numFmtId="0" fontId="26" fillId="0" borderId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2" fillId="0" borderId="0"/>
    <xf numFmtId="0" fontId="29" fillId="0" borderId="0"/>
    <xf numFmtId="43" fontId="26" fillId="0" borderId="0" applyFont="0" applyFill="0" applyBorder="0" applyAlignment="0" applyProtection="0"/>
    <xf numFmtId="0" fontId="11" fillId="0" borderId="0"/>
    <xf numFmtId="0" fontId="11" fillId="0" borderId="0"/>
    <xf numFmtId="44" fontId="11" fillId="0" borderId="0" applyFont="0" applyFill="0" applyBorder="0" applyAlignment="0" applyProtection="0"/>
    <xf numFmtId="0" fontId="10" fillId="0" borderId="0"/>
    <xf numFmtId="0" fontId="10" fillId="0" borderId="0"/>
    <xf numFmtId="44" fontId="10" fillId="0" borderId="0" applyFont="0" applyFill="0" applyBorder="0" applyAlignment="0" applyProtection="0"/>
    <xf numFmtId="0" fontId="9" fillId="0" borderId="0"/>
    <xf numFmtId="0" fontId="9" fillId="0" borderId="0"/>
    <xf numFmtId="44" fontId="9" fillId="0" borderId="0" applyFont="0" applyFill="0" applyBorder="0" applyAlignment="0" applyProtection="0"/>
    <xf numFmtId="0" fontId="8" fillId="0" borderId="0"/>
    <xf numFmtId="0" fontId="8" fillId="0" borderId="0"/>
    <xf numFmtId="44" fontId="8" fillId="0" borderId="0" applyFont="0" applyFill="0" applyBorder="0" applyAlignment="0" applyProtection="0"/>
    <xf numFmtId="0" fontId="7" fillId="0" borderId="0"/>
    <xf numFmtId="0" fontId="7" fillId="0" borderId="0"/>
    <xf numFmtId="44" fontId="7" fillId="0" borderId="0" applyFont="0" applyFill="0" applyBorder="0" applyAlignment="0" applyProtection="0"/>
    <xf numFmtId="0" fontId="6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7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26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>
      <alignment wrapText="1"/>
    </xf>
    <xf numFmtId="0" fontId="1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64" fontId="25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31" fillId="0" borderId="0" xfId="0" applyFont="1" applyAlignment="1">
      <alignment horizontal="center"/>
    </xf>
    <xf numFmtId="0" fontId="32" fillId="4" borderId="0" xfId="0" applyFont="1" applyFill="1" applyAlignment="1">
      <alignment horizontal="center"/>
    </xf>
    <xf numFmtId="14" fontId="0" fillId="0" borderId="0" xfId="0" applyNumberFormat="1"/>
    <xf numFmtId="1" fontId="37" fillId="5" borderId="3" xfId="0" applyNumberFormat="1" applyFont="1" applyFill="1" applyBorder="1" applyAlignment="1">
      <alignment horizontal="center"/>
    </xf>
    <xf numFmtId="1" fontId="37" fillId="0" borderId="4" xfId="0" applyNumberFormat="1" applyFont="1" applyBorder="1" applyAlignment="1">
      <alignment horizontal="center"/>
    </xf>
    <xf numFmtId="1" fontId="37" fillId="5" borderId="2" xfId="0" applyNumberFormat="1" applyFont="1" applyFill="1" applyBorder="1" applyAlignment="1">
      <alignment horizontal="center"/>
    </xf>
    <xf numFmtId="1" fontId="38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center" wrapText="1"/>
    </xf>
    <xf numFmtId="0" fontId="30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39" fillId="2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164" fontId="25" fillId="2" borderId="0" xfId="0" applyNumberFormat="1" applyFont="1" applyFill="1" applyAlignment="1">
      <alignment horizontal="center" vertical="center" wrapText="1"/>
    </xf>
    <xf numFmtId="0" fontId="0" fillId="0" borderId="6" xfId="0" applyBorder="1"/>
    <xf numFmtId="0" fontId="40" fillId="0" borderId="6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1" fontId="36" fillId="0" borderId="7" xfId="0" applyNumberFormat="1" applyFont="1" applyBorder="1" applyAlignment="1">
      <alignment horizontal="center"/>
    </xf>
    <xf numFmtId="1" fontId="36" fillId="0" borderId="8" xfId="0" applyNumberFormat="1" applyFont="1" applyBorder="1" applyAlignment="1">
      <alignment horizontal="center"/>
    </xf>
    <xf numFmtId="1" fontId="36" fillId="0" borderId="9" xfId="0" applyNumberFormat="1" applyFont="1" applyBorder="1" applyAlignment="1">
      <alignment horizontal="center"/>
    </xf>
    <xf numFmtId="1" fontId="38" fillId="0" borderId="5" xfId="0" applyNumberFormat="1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1" fontId="36" fillId="6" borderId="9" xfId="0" applyNumberFormat="1" applyFont="1" applyFill="1" applyBorder="1" applyAlignment="1">
      <alignment horizontal="center"/>
    </xf>
    <xf numFmtId="1" fontId="37" fillId="6" borderId="4" xfId="0" applyNumberFormat="1" applyFont="1" applyFill="1" applyBorder="1" applyAlignment="1">
      <alignment horizontal="center"/>
    </xf>
    <xf numFmtId="0" fontId="35" fillId="6" borderId="11" xfId="0" applyFont="1" applyFill="1" applyBorder="1" applyAlignment="1">
      <alignment horizontal="right"/>
    </xf>
    <xf numFmtId="0" fontId="35" fillId="6" borderId="12" xfId="0" applyFont="1" applyFill="1" applyBorder="1" applyAlignment="1">
      <alignment horizontal="right"/>
    </xf>
    <xf numFmtId="0" fontId="35" fillId="6" borderId="13" xfId="0" applyFont="1" applyFill="1" applyBorder="1" applyAlignment="1">
      <alignment horizontal="right"/>
    </xf>
    <xf numFmtId="0" fontId="41" fillId="0" borderId="0" xfId="0" applyFont="1"/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right"/>
    </xf>
    <xf numFmtId="0" fontId="43" fillId="0" borderId="0" xfId="0" applyFont="1" applyAlignment="1">
      <alignment horizontal="center"/>
    </xf>
    <xf numFmtId="0" fontId="42" fillId="0" borderId="10" xfId="0" applyFont="1" applyBorder="1" applyAlignment="1">
      <alignment horizontal="center"/>
    </xf>
    <xf numFmtId="0" fontId="44" fillId="0" borderId="0" xfId="0" applyFont="1" applyAlignment="1">
      <alignment horizontal="right"/>
    </xf>
    <xf numFmtId="0" fontId="44" fillId="0" borderId="0" xfId="0" applyFont="1" applyAlignment="1">
      <alignment horizontal="center"/>
    </xf>
    <xf numFmtId="0" fontId="0" fillId="4" borderId="0" xfId="0" applyFill="1"/>
    <xf numFmtId="165" fontId="0" fillId="0" borderId="0" xfId="0" applyNumberFormat="1" applyAlignment="1">
      <alignment horizontal="left"/>
    </xf>
    <xf numFmtId="0" fontId="0" fillId="0" borderId="0" xfId="0" pivotButton="1"/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" fontId="36" fillId="0" borderId="16" xfId="0" applyNumberFormat="1" applyFont="1" applyBorder="1" applyAlignment="1">
      <alignment horizontal="center"/>
    </xf>
    <xf numFmtId="1" fontId="36" fillId="6" borderId="16" xfId="0" applyNumberFormat="1" applyFont="1" applyFill="1" applyBorder="1" applyAlignment="1">
      <alignment horizontal="center"/>
    </xf>
    <xf numFmtId="1" fontId="47" fillId="5" borderId="18" xfId="0" applyNumberFormat="1" applyFont="1" applyFill="1" applyBorder="1" applyAlignment="1">
      <alignment horizontal="center"/>
    </xf>
    <xf numFmtId="1" fontId="47" fillId="5" borderId="19" xfId="0" applyNumberFormat="1" applyFont="1" applyFill="1" applyBorder="1" applyAlignment="1">
      <alignment horizontal="center"/>
    </xf>
    <xf numFmtId="1" fontId="47" fillId="0" borderId="20" xfId="0" applyNumberFormat="1" applyFont="1" applyBorder="1" applyAlignment="1">
      <alignment horizontal="center"/>
    </xf>
    <xf numFmtId="1" fontId="47" fillId="6" borderId="20" xfId="0" applyNumberFormat="1" applyFont="1" applyFill="1" applyBorder="1" applyAlignment="1">
      <alignment horizontal="center"/>
    </xf>
    <xf numFmtId="1" fontId="48" fillId="0" borderId="5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0" applyNumberFormat="1"/>
  </cellXfs>
  <cellStyles count="147">
    <cellStyle name="Comma 2" xfId="6" xr:uid="{A2B374FF-6D08-4D0B-8258-CB04DBC2665E}"/>
    <cellStyle name="Comma 2 15" xfId="8" xr:uid="{30627F6A-C429-4E3C-8FB5-494CDF1D3FB8}"/>
    <cellStyle name="Comma 2 15 2" xfId="74" xr:uid="{1B6DD082-4B99-4F7D-A5AB-6059AFA3B856}"/>
    <cellStyle name="Comma 2 2" xfId="21" xr:uid="{86CF6520-6C66-4E2A-B3B0-54F67B19FF5C}"/>
    <cellStyle name="Comma 2 2 2" xfId="86" xr:uid="{C5A406F2-1B57-4EB9-925E-9896127AA82D}"/>
    <cellStyle name="Comma 2 3" xfId="47" xr:uid="{023BDCE8-C840-4C51-8543-36131FB4C0FF}"/>
    <cellStyle name="Comma 2 3 2" xfId="111" xr:uid="{F21AA978-51E6-43EF-9D40-88F93CA95463}"/>
    <cellStyle name="Comma 2 4" xfId="72" xr:uid="{0C527519-80A9-4866-9772-54D1A0E2B43B}"/>
    <cellStyle name="Comma 3" xfId="50" xr:uid="{E752C13D-70EB-475F-9B5B-90EE00229E76}"/>
    <cellStyle name="Comma 3 2" xfId="113" xr:uid="{084C9477-1237-4B9A-BFE2-27510E18681D}"/>
    <cellStyle name="Currency 10" xfId="38" xr:uid="{3C35EA0C-1D94-4C8C-90CE-A78688AA8F2D}"/>
    <cellStyle name="Currency 10 2" xfId="103" xr:uid="{0704CB71-D42B-4C33-A558-B702405E72E2}"/>
    <cellStyle name="Currency 11" xfId="41" xr:uid="{3FC80EDE-1825-477B-A9E5-AADDC5ACBA5D}"/>
    <cellStyle name="Currency 11 2" xfId="106" xr:uid="{7B2EF15A-1606-4B51-B78E-BE20566BAB98}"/>
    <cellStyle name="Currency 12" xfId="45" xr:uid="{DD1D0674-AF18-473F-BEF7-36E0F31D2299}"/>
    <cellStyle name="Currency 12 2" xfId="109" xr:uid="{D345E466-727F-4628-BB6C-FF34D4F671C1}"/>
    <cellStyle name="Currency 13" xfId="53" xr:uid="{E338012F-6912-4DC2-8A00-A1D9E507B310}"/>
    <cellStyle name="Currency 13 2" xfId="116" xr:uid="{69C0B415-74BF-4602-909A-C7F6313DD806}"/>
    <cellStyle name="Currency 14" xfId="56" xr:uid="{C9D57B3B-593B-4B45-8D08-63C78A7EFEB4}"/>
    <cellStyle name="Currency 14 2" xfId="119" xr:uid="{8C11FAED-8549-4A40-BC64-0BF07D90DB66}"/>
    <cellStyle name="Currency 15" xfId="65" xr:uid="{F666E118-889F-421A-B77F-B75FEE12FB9A}"/>
    <cellStyle name="Currency 15 2" xfId="128" xr:uid="{14B17064-275F-4588-9353-2ADD6AF815FF}"/>
    <cellStyle name="Currency 16" xfId="68" xr:uid="{C3F9A80F-7AB5-4FB6-A956-9404595F27F3}"/>
    <cellStyle name="Currency 16 2" xfId="131" xr:uid="{32F141C7-8925-4E94-8696-8A67E9AFE6F8}"/>
    <cellStyle name="Currency 17" xfId="71" xr:uid="{46C1BC22-836D-45C8-86A0-D49A8FC7FCE6}"/>
    <cellStyle name="Currency 17 2" xfId="132" xr:uid="{26663848-964D-4C44-A881-92601DA4863E}"/>
    <cellStyle name="Currency 2" xfId="11" xr:uid="{2C0FD3E3-D05B-45BD-9214-2F0DD7F393E3}"/>
    <cellStyle name="Currency 2 2" xfId="59" xr:uid="{01008DD6-4C64-4C7A-9F5F-196CA1D1D901}"/>
    <cellStyle name="Currency 2 2 2" xfId="62" xr:uid="{4B8A4A7A-3F3C-4F76-BCA2-D09CB5481334}"/>
    <cellStyle name="Currency 2 2 2 2" xfId="125" xr:uid="{067C09AE-FD7C-4D4A-8E37-018655A4414D}"/>
    <cellStyle name="Currency 2 2 3" xfId="122" xr:uid="{B4D8BD2F-D1C0-499A-B1F6-5C9D96D737F2}"/>
    <cellStyle name="Currency 2 3" xfId="76" xr:uid="{7DB1B4ED-1605-472E-B016-73509BE06A13}"/>
    <cellStyle name="Currency 2 4" xfId="135" xr:uid="{D8B3A296-A84F-4345-8EFF-27FBBD429938}"/>
    <cellStyle name="Currency 2 5" xfId="139" xr:uid="{023341EE-7D35-488F-AC4D-D2917ECA647E}"/>
    <cellStyle name="Currency 2 6" xfId="143" xr:uid="{10B2AE56-3F87-47B6-9EDE-560327A6F158}"/>
    <cellStyle name="Currency 3" xfId="14" xr:uid="{76434556-96F8-4157-91C3-5665A80F27A2}"/>
    <cellStyle name="Currency 3 2" xfId="79" xr:uid="{5EE88976-1A37-4C30-82E7-CE34417958E2}"/>
    <cellStyle name="Currency 4" xfId="15" xr:uid="{F4CDE1B8-0D13-40A3-8449-D349934DB6DC}"/>
    <cellStyle name="Currency 4 2" xfId="80" xr:uid="{7321FE57-9B9F-4357-B46B-AC16781D2E19}"/>
    <cellStyle name="Currency 5" xfId="19" xr:uid="{7B0330A1-1A06-40F1-A9F1-F1D60C6EA70C}"/>
    <cellStyle name="Currency 5 2" xfId="84" xr:uid="{48D1CC2B-A63B-42D4-A1D7-D8D9B168D01D}"/>
    <cellStyle name="Currency 6" xfId="26" xr:uid="{716F3BA8-47B1-4BE5-BA25-9BCD93C859DD}"/>
    <cellStyle name="Currency 6 2" xfId="91" xr:uid="{6CC9A49E-F780-4312-8ED7-7D84EC5CFE86}"/>
    <cellStyle name="Currency 7" xfId="29" xr:uid="{BF5742D5-EB46-4A68-B632-884666F844AE}"/>
    <cellStyle name="Currency 7 2" xfId="94" xr:uid="{F8B788CF-FE8A-4D91-A7A2-6084D553D885}"/>
    <cellStyle name="Currency 8" xfId="32" xr:uid="{2F196F8B-6783-44DE-AA0E-469809F3934E}"/>
    <cellStyle name="Currency 8 2" xfId="97" xr:uid="{2B86DC38-637A-4CFF-BEF0-C91F3B82DA9B}"/>
    <cellStyle name="Currency 9" xfId="35" xr:uid="{FC603650-2671-4C71-8851-414B25BDB82F}"/>
    <cellStyle name="Currency 9 2" xfId="100" xr:uid="{252083DB-EB43-4675-92B9-057B7ECC8ECA}"/>
    <cellStyle name="Normal" xfId="0" builtinId="0"/>
    <cellStyle name="Normal 10" xfId="17" xr:uid="{3AC8C200-B261-49D9-83B7-DB5DA2B4438C}"/>
    <cellStyle name="Normal 10 2" xfId="82" xr:uid="{BCEF2627-5AA8-42E4-BC4A-6670E5362B0A}"/>
    <cellStyle name="Normal 11" xfId="24" xr:uid="{18CAB051-060F-4374-98CD-9F8BD4AE66DF}"/>
    <cellStyle name="Normal 11 2" xfId="89" xr:uid="{5A6A4815-AAB7-4B40-AECF-FCFA23D5EB2A}"/>
    <cellStyle name="Normal 12" xfId="27" xr:uid="{6CB04A15-3B87-4A25-977E-A636DAB1498B}"/>
    <cellStyle name="Normal 12 2" xfId="92" xr:uid="{50F7FACC-5354-4D2E-BDAE-052D97678526}"/>
    <cellStyle name="Normal 13" xfId="30" xr:uid="{09CF8DF6-C4BB-40E9-AECA-CA415F55C418}"/>
    <cellStyle name="Normal 13 2" xfId="95" xr:uid="{3B519C19-CC09-43F7-9839-EE9C7C2AE6BB}"/>
    <cellStyle name="Normal 14" xfId="33" xr:uid="{229980C2-DCF0-43CA-8E85-4FFCEF6E5191}"/>
    <cellStyle name="Normal 14 2" xfId="98" xr:uid="{94F6ADB8-7677-45A9-8DD2-DDFAB5C6767E}"/>
    <cellStyle name="Normal 15" xfId="36" xr:uid="{8D7B85A7-1FDF-4F6D-9030-4A79C1FDA993}"/>
    <cellStyle name="Normal 15 2" xfId="101" xr:uid="{5C74F5AD-2C75-4133-B42C-ABA82023F22B}"/>
    <cellStyle name="Normal 16" xfId="39" xr:uid="{97D5A75C-BB03-4394-8F77-891543992F4D}"/>
    <cellStyle name="Normal 16 2" xfId="104" xr:uid="{43EDBEEC-2EBB-4C2A-9020-2578375A6A21}"/>
    <cellStyle name="Normal 17" xfId="43" xr:uid="{76A6B90D-647D-43D6-A29C-BA14821FFE9B}"/>
    <cellStyle name="Normal 17 2" xfId="107" xr:uid="{4781394A-A64D-4032-8F91-C5E69B11E6D8}"/>
    <cellStyle name="Normal 18" xfId="51" xr:uid="{DF7A83D8-9059-4073-A34E-3F218F8FBBCA}"/>
    <cellStyle name="Normal 18 2" xfId="114" xr:uid="{70D4208B-710B-4AED-A93F-974EAC42A080}"/>
    <cellStyle name="Normal 19" xfId="54" xr:uid="{0E17E744-7847-4E9B-8DD5-FA5F7D8EEEEE}"/>
    <cellStyle name="Normal 19 2" xfId="117" xr:uid="{8FF1FBA0-47F1-4156-9303-060ECE47EFF5}"/>
    <cellStyle name="Normal 2" xfId="1" xr:uid="{00000000-0005-0000-0000-000006000000}"/>
    <cellStyle name="Normal 2 2" xfId="42" xr:uid="{00257829-18CC-4B7E-A7CF-D8A19CC1F73E}"/>
    <cellStyle name="Normal 2 3" xfId="57" xr:uid="{CDE3DAF5-9855-4087-ABA3-83E21AE12F81}"/>
    <cellStyle name="Normal 2 3 2" xfId="60" xr:uid="{D69D77EF-167D-4701-9B13-BCF066438F43}"/>
    <cellStyle name="Normal 2 3 2 2" xfId="123" xr:uid="{B17914AB-34E1-444F-BAEE-AC7834494E22}"/>
    <cellStyle name="Normal 2 3 3" xfId="120" xr:uid="{1F030A0C-01B2-4790-9B1A-1B9C8348FB04}"/>
    <cellStyle name="Normal 2 4" xfId="146" xr:uid="{1732162D-197C-4E34-A821-341FB4600B5E}"/>
    <cellStyle name="Normal 20" xfId="63" xr:uid="{DA737AFA-CB35-4055-A268-14DDF2AF56D5}"/>
    <cellStyle name="Normal 20 2" xfId="126" xr:uid="{AD5FDDB6-D740-4A55-8830-677F0A53CF32}"/>
    <cellStyle name="Normal 21" xfId="66" xr:uid="{D9D96D01-99E8-49CD-84C8-88711D6B7473}"/>
    <cellStyle name="Normal 21 2" xfId="129" xr:uid="{A91C2DEC-6801-48C6-8EB0-1BD00C915F84}"/>
    <cellStyle name="Normal 22" xfId="69" xr:uid="{CA9429F0-BEAC-4503-A053-DB89124AFB49}"/>
    <cellStyle name="Normal 23" xfId="133" xr:uid="{77B87A6A-7B53-4469-B654-16AB088008DE}"/>
    <cellStyle name="Normal 24" xfId="137" xr:uid="{43767AA7-EF34-47B4-B63E-9B46DCA4DFB7}"/>
    <cellStyle name="Normal 25" xfId="141" xr:uid="{ECFC163D-88D1-4528-9942-2BF83F926FFE}"/>
    <cellStyle name="Normal 26" xfId="145" xr:uid="{54B04BD9-1A1D-4464-8273-717B9A07F290}"/>
    <cellStyle name="Normal 3" xfId="2" xr:uid="{00000000-0005-0000-0000-000007000000}"/>
    <cellStyle name="Normal 4" xfId="3" xr:uid="{00000000-0005-0000-0000-000008000000}"/>
    <cellStyle name="Normal 5" xfId="5" xr:uid="{A739CCB7-783C-49FB-8032-A0FB7728D577}"/>
    <cellStyle name="Normal 5 2" xfId="46" xr:uid="{E6048746-96F9-4FF3-A355-AD94A0E3F059}"/>
    <cellStyle name="Normal 5 2 2" xfId="110" xr:uid="{6672FEF4-4977-418C-A3C4-B936BF5C3251}"/>
    <cellStyle name="Normal 5 3" xfId="10" xr:uid="{FD2B89C9-928B-469A-B240-55410E0D9558}"/>
    <cellStyle name="Normal 5 3 10" xfId="44" xr:uid="{DB224590-DFD5-4A03-B0C4-ECF30714C192}"/>
    <cellStyle name="Normal 5 3 10 2" xfId="108" xr:uid="{47F55787-8592-485C-811A-B4EAF0F37188}"/>
    <cellStyle name="Normal 5 3 11" xfId="52" xr:uid="{B99FE855-00C6-4FCD-B959-C05FD58E8020}"/>
    <cellStyle name="Normal 5 3 11 2" xfId="115" xr:uid="{A3908E8E-9D9A-42E1-9112-CEF532B37317}"/>
    <cellStyle name="Normal 5 3 12" xfId="55" xr:uid="{67AC5108-81B5-45BE-9FE9-2E9725E02EF1}"/>
    <cellStyle name="Normal 5 3 12 2" xfId="118" xr:uid="{BC280BC4-F899-48D1-8403-B1CD61A1D7CE}"/>
    <cellStyle name="Normal 5 3 13" xfId="58" xr:uid="{F65B2E86-CDC4-4520-B229-22FB8EF0C6BA}"/>
    <cellStyle name="Normal 5 3 13 2" xfId="61" xr:uid="{BAF03682-982C-4723-91F0-F3B1D8CFC7D7}"/>
    <cellStyle name="Normal 5 3 13 2 2" xfId="124" xr:uid="{2EB4CF98-6A32-4947-AB86-6E07D11A9DA0}"/>
    <cellStyle name="Normal 5 3 13 3" xfId="121" xr:uid="{1E8F6E5E-4966-426E-9263-0CE2424327B7}"/>
    <cellStyle name="Normal 5 3 14" xfId="64" xr:uid="{55B18549-E093-4EEF-B695-F0B50DB567D4}"/>
    <cellStyle name="Normal 5 3 14 2" xfId="127" xr:uid="{993E12F8-9D09-4A4B-ADB9-236D1D1AE69A}"/>
    <cellStyle name="Normal 5 3 15" xfId="67" xr:uid="{5173501B-08C2-4EAA-93CC-589FFEF17F2A}"/>
    <cellStyle name="Normal 5 3 15 2" xfId="130" xr:uid="{86018200-7F00-4AB6-8B92-F0D1A1845334}"/>
    <cellStyle name="Normal 5 3 16" xfId="70" xr:uid="{66A60B8A-22E9-406B-BF19-D8C0C2596D60}"/>
    <cellStyle name="Normal 5 3 17" xfId="134" xr:uid="{A46F5E95-8B78-40AA-ACCD-8E8CC421888C}"/>
    <cellStyle name="Normal 5 3 18" xfId="138" xr:uid="{2B377976-F591-4589-839C-FB6DC55DCA99}"/>
    <cellStyle name="Normal 5 3 19" xfId="142" xr:uid="{3CE19F48-5098-4DCC-ABC5-88484A1EA291}"/>
    <cellStyle name="Normal 5 3 2" xfId="13" xr:uid="{C2C19D7B-0A86-45DC-853D-E97069436BA8}"/>
    <cellStyle name="Normal 5 3 2 2" xfId="78" xr:uid="{AEA3AF6B-6DC6-46B9-B568-449B88D8BB89}"/>
    <cellStyle name="Normal 5 3 3" xfId="18" xr:uid="{89C06D9D-3956-4DC6-A735-0B86195390B4}"/>
    <cellStyle name="Normal 5 3 3 2" xfId="83" xr:uid="{854F9CF6-477D-4955-9339-EBAEC9226423}"/>
    <cellStyle name="Normal 5 3 4" xfId="25" xr:uid="{FFE18946-134B-4BA7-83EE-87B9045077D6}"/>
    <cellStyle name="Normal 5 3 4 2" xfId="90" xr:uid="{C2382EE0-8339-45C8-915D-E2F7B34EEED6}"/>
    <cellStyle name="Normal 5 3 5" xfId="28" xr:uid="{9202D632-EA7A-4FE4-888E-F84E0A7EB64F}"/>
    <cellStyle name="Normal 5 3 5 2" xfId="93" xr:uid="{0420C39D-CCA4-4354-8EDB-33BF6170346A}"/>
    <cellStyle name="Normal 5 3 6" xfId="31" xr:uid="{733CD471-7FF9-437F-9D24-8D4402D6B0D9}"/>
    <cellStyle name="Normal 5 3 6 2" xfId="96" xr:uid="{F8651B81-DA0A-4318-ADA6-1A88680030F0}"/>
    <cellStyle name="Normal 5 3 7" xfId="34" xr:uid="{8BD005F2-0C03-42EA-B2A2-BB4F190A4F82}"/>
    <cellStyle name="Normal 5 3 7 2" xfId="99" xr:uid="{36FF5D8B-F15D-49F6-961A-C86391F3F3C8}"/>
    <cellStyle name="Normal 5 3 8" xfId="37" xr:uid="{F7F6D3A4-6BD3-46EA-A565-1CFE7F6E6C04}"/>
    <cellStyle name="Normal 5 3 8 2" xfId="102" xr:uid="{6E65422A-BA8F-4D53-BE8A-2E71E59C281D}"/>
    <cellStyle name="Normal 5 3 9" xfId="40" xr:uid="{FC5C3B55-49AC-45C3-A58C-6D840F9B47FE}"/>
    <cellStyle name="Normal 5 3 9 2" xfId="105" xr:uid="{5C3327CA-4125-43E6-8E06-6060BCC93DA3}"/>
    <cellStyle name="Normal 6" xfId="9" xr:uid="{041BDDF9-3A5F-4774-BD82-CC804FF27CDC}"/>
    <cellStyle name="Normal 6 2" xfId="23" xr:uid="{12C13E8B-D9EB-4E63-AA56-278A2D7CE727}"/>
    <cellStyle name="Normal 6 2 2" xfId="88" xr:uid="{6F6013D4-A297-4660-BF69-E4875A03B072}"/>
    <cellStyle name="Normal 6 3" xfId="49" xr:uid="{2D6E4670-C986-4C9C-8302-75713F10B882}"/>
    <cellStyle name="Normal 6 4" xfId="75" xr:uid="{7808F492-2134-4AF5-A031-E1532428135F}"/>
    <cellStyle name="Normal 7" xfId="7" xr:uid="{DE9A6468-6BDD-4BE4-9D42-62B7727A4136}"/>
    <cellStyle name="Normal 7 2" xfId="22" xr:uid="{0260D63D-E6D1-4BC1-B6E6-2E995C074A4C}"/>
    <cellStyle name="Normal 7 2 2" xfId="87" xr:uid="{0CC7C187-E7E8-4229-AF46-7150497BB718}"/>
    <cellStyle name="Normal 7 3" xfId="48" xr:uid="{E7C8CE80-8361-4BF6-8302-77D31B440DF9}"/>
    <cellStyle name="Normal 7 3 2" xfId="112" xr:uid="{E86DE030-6600-408D-99BC-5F26FB375CA5}"/>
    <cellStyle name="Normal 7 4" xfId="73" xr:uid="{059AAF75-0683-4C77-98CF-5AFE1DE6B6B6}"/>
    <cellStyle name="Normal 8" xfId="4" xr:uid="{2488A007-32E9-4459-BD11-ECC33561417E}"/>
    <cellStyle name="Normal 9" xfId="12" xr:uid="{8EA7488B-B81A-45A3-971F-6F147ED25F5A}"/>
    <cellStyle name="Normal 9 2" xfId="77" xr:uid="{F75E1BD9-491E-47E6-9ACA-BEE240E4134D}"/>
    <cellStyle name="Percent 2" xfId="16" xr:uid="{81DF0416-BB21-4AF8-9E66-7733C83992B3}"/>
    <cellStyle name="Percent 2 2" xfId="81" xr:uid="{B66B8997-AECF-4978-9B12-9F7B35699321}"/>
    <cellStyle name="Percent 3" xfId="20" xr:uid="{A157425D-7CFD-4E36-8D74-B1BA3E6F80BE}"/>
    <cellStyle name="Percent 3 2" xfId="85" xr:uid="{00A23B47-586C-42D2-9F98-213D4033F6E9}"/>
    <cellStyle name="Percent 4" xfId="136" xr:uid="{068255EE-2B8B-4228-B725-993DAEF15FA3}"/>
    <cellStyle name="Percent 5" xfId="140" xr:uid="{4E05BD29-C70D-4906-A974-D8F84C7F32D2}"/>
    <cellStyle name="Percent 6" xfId="144" xr:uid="{A1536B16-3C20-40DF-84AE-54CB65C64CBA}"/>
  </cellStyles>
  <dxfs count="134"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70C0"/>
      </font>
    </dxf>
    <dxf>
      <font>
        <b/>
        <i val="0"/>
        <color rgb="FF00B0F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00B0F0"/>
      </font>
    </dxf>
    <dxf>
      <font>
        <b/>
        <i val="0"/>
        <color rgb="FF92D050"/>
      </font>
    </dxf>
    <dxf>
      <font>
        <b/>
        <i val="0"/>
        <color rgb="FF0070C0"/>
      </font>
    </dxf>
    <dxf>
      <font>
        <b/>
        <i val="0"/>
        <color rgb="FF92D050"/>
      </font>
    </dxf>
    <dxf>
      <font>
        <b/>
        <i val="0"/>
        <color rgb="FFFFC000"/>
      </font>
    </dxf>
    <dxf>
      <font>
        <b val="0"/>
        <i/>
        <color theme="0" tint="-0.34998626667073579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00B0F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 val="0"/>
        <i/>
        <color theme="0" tint="-0.34998626667073579"/>
      </font>
    </dxf>
    <dxf>
      <font>
        <b/>
        <i val="0"/>
        <color rgb="FFFFC000"/>
      </font>
    </dxf>
    <dxf>
      <font>
        <b/>
        <i val="0"/>
        <color rgb="FF92D050"/>
      </font>
    </dxf>
    <dxf>
      <font>
        <b/>
        <i val="0"/>
        <color rgb="FF0070C0"/>
      </font>
    </dxf>
    <dxf>
      <font>
        <b/>
        <i val="0"/>
        <color rgb="FF00B0F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 val="0"/>
        <i/>
        <color theme="0" tint="-0.34998626667073579"/>
      </font>
    </dxf>
    <dxf>
      <font>
        <b/>
        <i val="0"/>
        <color rgb="FF92D050"/>
      </font>
    </dxf>
    <dxf>
      <font>
        <b/>
        <i val="0"/>
        <color rgb="FF0070C0"/>
      </font>
    </dxf>
    <dxf>
      <font>
        <b/>
        <i val="0"/>
        <color rgb="FF92D050"/>
      </font>
    </dxf>
    <dxf>
      <font>
        <b/>
        <i val="0"/>
        <color rgb="FFFFC000"/>
      </font>
    </dxf>
    <dxf>
      <font>
        <b val="0"/>
        <i/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00B0F0"/>
      </font>
    </dxf>
    <dxf>
      <font>
        <b/>
        <i val="0"/>
        <color rgb="FF00B0F0"/>
      </font>
    </dxf>
    <dxf>
      <font>
        <b/>
        <i val="0"/>
        <color rgb="FF0070C0"/>
      </font>
    </dxf>
    <dxf>
      <font>
        <b/>
        <i val="0"/>
        <color rgb="FF00B0F0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00B0F0"/>
      </font>
    </dxf>
    <dxf>
      <font>
        <b/>
        <i val="0"/>
        <color rgb="FF0070C0"/>
      </font>
    </dxf>
    <dxf>
      <font>
        <b/>
        <i val="0"/>
        <color rgb="FF92D050"/>
      </font>
    </dxf>
    <dxf>
      <font>
        <b/>
        <i val="0"/>
        <color rgb="FFFFC000"/>
      </font>
    </dxf>
    <dxf>
      <font>
        <b val="0"/>
        <i/>
        <color theme="0" tint="-0.34998626667073579"/>
      </font>
    </dxf>
    <dxf>
      <font>
        <b/>
        <i val="0"/>
        <color rgb="FF00B0F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C1750D1-ACFF-4CAE-940E-8294E9620894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BDD7EE"/>
      <rgbColor rgb="FF000080"/>
      <rgbColor rgb="FFFF00FF"/>
      <rgbColor rgb="FFFFD966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FF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a Perez" refreshedDate="46188.527401851854" createdVersion="8" refreshedVersion="8" minRefreshableVersion="3" recordCount="1458" xr:uid="{0F048EAF-200B-4D96-A718-32F85C5D8D92}">
  <cacheSource type="worksheet">
    <worksheetSource ref="A2:S1460" sheet="HC"/>
  </cacheSource>
  <cacheFields count="19">
    <cacheField name="ID" numFmtId="0">
      <sharedItems containsSemiMixedTypes="0" containsString="0" containsNumber="1" containsInteger="1" minValue="19147" maxValue="4124729"/>
    </cacheField>
    <cacheField name="Employee Name" numFmtId="0">
      <sharedItems/>
    </cacheField>
    <cacheField name="Tipo" numFmtId="0">
      <sharedItems/>
    </cacheField>
    <cacheField name="Clasificación" numFmtId="0">
      <sharedItems/>
    </cacheField>
    <cacheField name="Job Position" numFmtId="0">
      <sharedItems/>
    </cacheField>
    <cacheField name="Confirmación del manager" numFmtId="0">
      <sharedItems containsBlank="1"/>
    </cacheField>
    <cacheField name="Clasificación  Industrial" numFmtId="0">
      <sharedItems count="14">
        <s v="WH"/>
        <s v="Manufacturing "/>
        <s v="Process"/>
        <s v="QA"/>
        <s v="IDL"/>
        <s v="IE/Lean "/>
        <s v="Test/Debug"/>
        <s v="Equipment "/>
        <s v="Brigadista"/>
        <s v="AME"/>
        <s v="NPI"/>
        <s v="EHS"/>
        <s v="EHS "/>
        <s v="IDL "/>
      </sharedItems>
    </cacheField>
    <cacheField name="Área" numFmtId="0">
      <sharedItems/>
    </cacheField>
    <cacheField name="MANAGER LEVEL 01" numFmtId="0">
      <sharedItems/>
    </cacheField>
    <cacheField name="MANAGER LEVEL 02" numFmtId="0">
      <sharedItems/>
    </cacheField>
    <cacheField name="MANAGER LEVEL 03" numFmtId="0">
      <sharedItems/>
    </cacheField>
    <cacheField name="Turno" numFmtId="0">
      <sharedItems/>
    </cacheField>
    <cacheField name="Bldg" numFmtId="0">
      <sharedItems/>
    </cacheField>
    <cacheField name="CC" numFmtId="0">
      <sharedItems containsSemiMixedTypes="0" containsString="0" containsNumber="1" containsInteger="1" minValue="1200" maxValue="7400"/>
    </cacheField>
    <cacheField name="DIMS" numFmtId="0">
      <sharedItems/>
    </cacheField>
    <cacheField name="Primary" numFmtId="0">
      <sharedItems/>
    </cacheField>
    <cacheField name="Antigüedad" numFmtId="14">
      <sharedItems containsSemiMixedTypes="0" containsNonDate="0" containsDate="1" containsString="0" minDate="1993-12-15T00:00:00" maxDate="2026-06-16T00:00:00"/>
    </cacheField>
    <cacheField name="dias" numFmtId="14">
      <sharedItems containsSemiMixedTypes="0" containsNonDate="0" containsDate="1" containsString="0" minDate="2026-06-15T00:00:00" maxDate="2026-06-16T00:00:00"/>
    </cacheField>
    <cacheField name="Periodo en WD" numFmtId="0">
      <sharedItems containsSemiMixedTypes="0" containsString="0" containsNumber="1" minValue="0" maxValue="32.5205479452054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8">
  <r>
    <n v="1003203"/>
    <s v="German Ortiz de Santiago"/>
    <s v="Regular"/>
    <s v="Direct"/>
    <s v="Forklift Driver "/>
    <m/>
    <x v="0"/>
    <s v="Almacén"/>
    <s v="Abdiel Cervantes Castillo (866291)"/>
    <s v="Manuel Vazquez Maldonado (1146319)"/>
    <s v="Juan Jose Rivera Mendez (21344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09T00:00:00"/>
    <d v="2026-06-15T00:00:00"/>
    <n v="1.4301369863013698"/>
  </r>
  <r>
    <n v="4105793"/>
    <s v="Israel Villalpando Huizar"/>
    <s v="Regular"/>
    <s v="Direct"/>
    <s v="Warehouse Lead "/>
    <m/>
    <x v="0"/>
    <s v="Almacén"/>
    <s v="Abdiel Cervantes Castillo (866291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922501"/>
    <s v="Ana Maria Flores Machuca"/>
    <s v="Regular"/>
    <s v="Direct"/>
    <s v="Material Expediter "/>
    <m/>
    <x v="0"/>
    <s v="Almacén"/>
    <s v="Abdiel Cervantes Castillo (866291)"/>
    <s v="Manuel Vazquez Maldonado (1146319)"/>
    <s v="Juan Jose Rivera Mendez (21344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1001749"/>
    <s v="Erika Patricia Zuñiga Carrillo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29625"/>
    <s v="Maria De Lourdes Balderas Gonzal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003495"/>
    <s v="Victor Manuel Olmeda Chiguil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23357"/>
    <s v="Esmeralda Herrera Arzate"/>
    <s v="Regular"/>
    <s v="Direct"/>
    <s v="Lead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0-08-27T00:00:00"/>
    <d v="2026-06-15T00:00:00"/>
    <n v="5.8027397260273972"/>
  </r>
  <r>
    <n v="4067204"/>
    <s v="Maria Guadalupe Gonzalez Cuevas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83948"/>
    <s v="Anacleta Chavez Gonzal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00076"/>
    <s v="Josefina Anguiano Rodriguez"/>
    <s v="Regular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6T00:00:00"/>
    <d v="2026-06-15T00:00:00"/>
    <n v="2.1095890410958904"/>
  </r>
  <r>
    <n v="4101396"/>
    <s v="Juan Antonio Becerra Armenta"/>
    <s v="Fixed Term"/>
    <s v="Direct"/>
    <s v="Assembler "/>
    <m/>
    <x v="1"/>
    <s v="IST"/>
    <s v="Abraham Medina Aranda (939195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03260"/>
    <s v="Brenda Lugo Orrantia"/>
    <s v="Regular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9T00:00:00"/>
    <d v="2026-06-15T00:00:00"/>
    <n v="1.8794520547945206"/>
  </r>
  <r>
    <n v="4104372"/>
    <s v="Dulce Maria Jose Vela Prado"/>
    <s v="Regular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22T00:00:00"/>
    <d v="2026-06-15T00:00:00"/>
    <n v="1.8136986301369864"/>
  </r>
  <r>
    <n v="4106070"/>
    <s v="Jenifer Monserrat Soto Silv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13283"/>
    <s v="Maria Araceli Esparza Medina"/>
    <s v="Regular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22557"/>
    <s v="Patricia Acevedo Rodarte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58"/>
    <s v="Nora Gomez Gutierr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34"/>
    <s v="Gabriela Michelle Tapia Garci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044"/>
    <s v="Neftali Yosed Morales Gonzalez"/>
    <s v="Fixed Term"/>
    <s v="Direct"/>
    <s v="Assembler "/>
    <m/>
    <x v="1"/>
    <s v="IST"/>
    <s v="Abraham Medina Aranda (939195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098"/>
    <s v="Jorge Arturo Guerrero Escobedo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03"/>
    <s v="Evelyn Citlalli Aguayo Beltran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28"/>
    <s v="Axel Jhair Guardado Olver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31"/>
    <s v="Miriam Guadalupe Ramos Gom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34"/>
    <s v="Ada Paulina Navarro Rodrigu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88"/>
    <s v="Giomar Alejandro Andrade Ocampo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190"/>
    <s v="Veronica Castañon Coron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199"/>
    <s v="Angeles Yaquelin Flores Per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23"/>
    <s v="Angeles Sinahi Hernandez Monico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25"/>
    <s v="Karina Delgado Rios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26"/>
    <s v="Ana Lilia Flores Hernand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27"/>
    <s v="Elizet Flores Hernand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1"/>
    <s v="Enri Jared Macias Rui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3"/>
    <s v="Mauricio Solis Garci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4"/>
    <s v="Angelica Cristina Martinez Garin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4"/>
    <s v="Emmanuel De Jesus Navarro Davalos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6"/>
    <s v="Kevin Alejandro Molina Gonzale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8"/>
    <s v="Felix Yoav Torres Medin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405"/>
    <s v="Vanessa Alejandra Chavez Medin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6"/>
    <s v="Ariatne Lizeth Chavez Medin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7"/>
    <s v="Kenia Lopez Bañuelos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9"/>
    <s v="Jose Rafael Ibarra Colin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10"/>
    <s v="Lupe Lorena Valladolid Avila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855488"/>
    <s v="Leticia Diaz Cruz"/>
    <s v="Fixed Term"/>
    <s v="Direct"/>
    <s v="Assembler "/>
    <m/>
    <x v="1"/>
    <s v="IST"/>
    <s v="Abraham Medina Aranda (939195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947316"/>
    <s v="Jesus Flores Ramos"/>
    <s v="Fixed Term"/>
    <s v="Direct"/>
    <s v="Assembler "/>
    <m/>
    <x v="1"/>
    <s v="IST"/>
    <s v="Abraham Medina Aranda (939195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1229869"/>
    <s v="Julian Daniel Gonzalez Mayoral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29549"/>
    <s v="Ana Berenice Rodriguez Parra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5-03-31T00:00:00"/>
    <d v="2026-06-15T00:00:00"/>
    <n v="1.2082191780821918"/>
  </r>
  <r>
    <n v="37249"/>
    <s v="Juan Manuel Martinez Ruvalcaba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19T00:00:00"/>
    <d v="2026-06-15T00:00:00"/>
    <n v="1.5698630136986302"/>
  </r>
  <r>
    <n v="4055778"/>
    <s v="Daniel Adrian Lopez Martinez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4-07T00:00:00"/>
    <d v="2026-06-15T00:00:00"/>
    <n v="4.1917808219178081"/>
  </r>
  <r>
    <n v="4064868"/>
    <s v="Sergio Eduardo Ville Camacho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6-09T00:00:00"/>
    <d v="2026-06-15T00:00:00"/>
    <n v="1.0164383561643835"/>
  </r>
  <r>
    <n v="4075577"/>
    <s v="Gabriela Vega Oliden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2-19T00:00:00"/>
    <d v="2026-06-15T00:00:00"/>
    <n v="3.4904109589041097"/>
  </r>
  <r>
    <n v="4094652"/>
    <s v="Leonardo Rafael Rodriguez Vargas"/>
    <s v="Regular"/>
    <s v="Direct"/>
    <s v="Inspection &amp; Repair Operator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124193"/>
    <s v="Karina Perez Duran"/>
    <s v="Fixed Term"/>
    <s v="Direct"/>
    <s v="Assembler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1"/>
    <s v="Dulce Maria Garcia Flores"/>
    <s v="Fixed Term"/>
    <s v="Direct"/>
    <s v="Assembler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75211"/>
    <s v="Janeth De Anda Centeno"/>
    <s v="Regular"/>
    <s v="Direct"/>
    <s v="Repair Technician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4-07-15T00:00:00"/>
    <d v="2026-06-15T00:00:00"/>
    <n v="1.9178082191780821"/>
  </r>
  <r>
    <n v="4124194"/>
    <s v="Dulce Maria Arreola Martinez"/>
    <s v="Fixed Term"/>
    <s v="Direct"/>
    <s v="Assembler "/>
    <m/>
    <x v="2"/>
    <s v="Reparación"/>
    <s v="Adan Misael Aguilar Ibarra (108185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28332"/>
    <s v="Lizabeth Novoa Pesqueda"/>
    <s v="Regular"/>
    <s v="Direct"/>
    <s v="Quality Technician "/>
    <m/>
    <x v="3"/>
    <s v="ESD"/>
    <s v="Adiel Mauricio Arreola Barocio (35431)"/>
    <s v="Jaime Antonio Navarro Hernandez (25033)"/>
    <s v="Jose Santiago Ortega Limon (1181033)"/>
    <s v="Gdl 1"/>
    <s v="Bldg 29"/>
    <n v="1400"/>
    <s v="MFG North Guad, MEX 300-Flextronics Manufacturing Mex, S.A. de C.V.-Philo Cloud-CLOUD SERVER &amp; S-PCBA_GUAD_300-Philo VLP [Customer Dimensions]"/>
    <s v="MX-GDL-Guad North-B16-Ciena [Primary Function]"/>
    <d v="2008-03-10T00:00:00"/>
    <d v="2026-06-15T00:00:00"/>
    <n v="18.276712328767122"/>
  </r>
  <r>
    <n v="1007471"/>
    <s v="Karla Escamilla Rico"/>
    <s v="Regular"/>
    <s v="Indirect"/>
    <s v="Logistics Analyst "/>
    <m/>
    <x v="4"/>
    <s v="IDL"/>
    <s v="Adrian Garibay Bravo (34055)"/>
    <s v="Mario Cesar Gomez Valenzuela (25438)"/>
    <s v="Luis Fernando Leaño Gomez (25191)"/>
    <s v="Gdl 2"/>
    <s v="Bldg 29"/>
    <n v="642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575119"/>
    <s v="Marisol Tavares Rivera"/>
    <s v="Regular"/>
    <s v="Indirect"/>
    <s v="EH&amp;S Manager "/>
    <m/>
    <x v="4"/>
    <s v="IDL"/>
    <s v="Adriana del Rocio Escoto Muñoz (817618)"/>
    <s v="David Ociel Cruz Rodriguez (21864)"/>
    <s v="Carmen Lucia Ramirez Diaz De Sandi (25358)"/>
    <s v="Mix"/>
    <s v="Bldg 29"/>
    <n v="5110"/>
    <s v="MFG North Guad, MEX 300-Flextronics Manufacturing Mex, S.A. de C.V.-Philo Cloud-CLOUD SERVER &amp; S-PCBA_GUAD_300-Philo VLP [Customer Dimensions]"/>
    <s v="MX-GDL-Guad North CEC-Support [Primary Function]"/>
    <d v="2011-08-15T00:00:00"/>
    <d v="2026-06-15T00:00:00"/>
    <n v="14.843835616438357"/>
  </r>
  <r>
    <n v="1220565"/>
    <s v="Jacquelinne Mendoza Frias"/>
    <s v="Regular"/>
    <s v="Direct"/>
    <s v="Engineering Technician "/>
    <m/>
    <x v="5"/>
    <s v="Lean"/>
    <s v="Alan Rhamses Gutiérrez Torres (1179791)"/>
    <s v="Jose Alfonso Pesquera Rodriguez (31543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11-03T00:00:00"/>
    <d v="2026-06-15T00:00:00"/>
    <n v="0.61369863013698633"/>
  </r>
  <r>
    <n v="4047680"/>
    <s v="Carlos Alberto Barela Cervantes"/>
    <s v="Regular"/>
    <s v="Direct"/>
    <s v="Engineering Technician "/>
    <m/>
    <x v="5"/>
    <s v="Lean"/>
    <s v="Alan Rhamses Gutiérrez Torres (1179791)"/>
    <s v="Jose Alfonso Pesquera Rodriguez (31543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1-13T00:00:00"/>
    <d v="2026-06-15T00:00:00"/>
    <n v="4.4219178082191783"/>
  </r>
  <r>
    <n v="4109655"/>
    <s v="Daniel Alberto Jimenez Muñiz"/>
    <s v="Regular"/>
    <s v="Direct"/>
    <s v="Engineering Technician "/>
    <m/>
    <x v="5"/>
    <s v="Lean"/>
    <s v="Alan Rhamses Gutiérrez Torres (1179791)"/>
    <s v="Jose Alfonso Pesquera Rodriguez (31543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1-09T00:00:00"/>
    <d v="2026-06-15T00:00:00"/>
    <n v="1.4301369863013698"/>
  </r>
  <r>
    <n v="1174287"/>
    <s v="Carlos Eduardo Jasso Solis"/>
    <s v="Regular"/>
    <s v="Direct"/>
    <s v="Operations Training "/>
    <m/>
    <x v="1"/>
    <s v="Training"/>
    <s v="Alejandro Andrade López (1085416)"/>
    <s v="Ernesto Gomez Villagrana (21183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4066271"/>
    <s v="Karen Del Refugio Bañuelos Perez"/>
    <s v="Regular"/>
    <s v="Indirect"/>
    <s v="Operations Training "/>
    <m/>
    <x v="4"/>
    <s v="IDL"/>
    <s v="Alejandro Andrade López (1085416)"/>
    <s v="Ernesto Gomez Villagrana (21183)"/>
    <s v="Juan Carlos Tapia Lomeli (25276)"/>
    <s v="Gdl 1"/>
    <s v="Bldg 29"/>
    <n v="5700"/>
    <s v="MFG North Guad, MEX 300-Flextronics Manufacturing Mex, S.A. de C.V.-Philo Cloud-CLOUD SERVER &amp; S-PCBA_GUAD_300-Philo VLP [Customer Dimensions]"/>
    <s v="MX-GDL-Guad North CEC-Support [Primary Function]"/>
    <d v="2022-09-08T00:00:00"/>
    <d v="2026-06-15T00:00:00"/>
    <n v="3.7698630136986302"/>
  </r>
  <r>
    <n v="982384"/>
    <s v="Jose Armando Martinez Valencia"/>
    <s v="Regular"/>
    <s v="Indirect"/>
    <s v="Operations Training "/>
    <m/>
    <x v="4"/>
    <s v="IDL"/>
    <s v="Alejandro Andrade López (1085416)"/>
    <s v="Ernesto Gomez Villagrana (21183)"/>
    <s v="Juan Carlos Tapia Lomeli (25276)"/>
    <s v="Gdl 2"/>
    <s v="Bldg 29"/>
    <n v="5700"/>
    <s v="MFG North Guad, MEX 300-Flextronics Manufacturing Mex, S.A. de C.V.-Philo Cloud-CLOUD SERVER &amp; S-PCBA_GUAD_300-Philo VLP [Customer Dimensions]"/>
    <s v="MX-GDL-Guad North CEC-Support [Primary Function]"/>
    <d v="2017-03-22T00:00:00"/>
    <d v="2026-06-15T00:00:00"/>
    <n v="9.2383561643835623"/>
  </r>
  <r>
    <n v="1124451"/>
    <s v="Marcos Misael Lopez Ramirez"/>
    <s v="Regular"/>
    <s v="Indirect"/>
    <s v="Software Test Development Engineer "/>
    <m/>
    <x v="4"/>
    <s v="NPI"/>
    <s v="Alejandro Loza Haro (10324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21-03-01T00:00:00"/>
    <d v="2026-06-15T00:00:00"/>
    <n v="5.2931506849315069"/>
  </r>
  <r>
    <n v="1232850"/>
    <s v="Antonio Hernández Martín"/>
    <s v="Regular"/>
    <s v="Indirect"/>
    <s v="Test Engineer "/>
    <m/>
    <x v="4"/>
    <s v="IDL"/>
    <s v="Alejandro Loza Haro (10324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5-25T00:00:00"/>
    <d v="2026-06-15T00:00:00"/>
    <n v="5.7534246575342465E-2"/>
  </r>
  <r>
    <n v="980847"/>
    <s v="Diego Sanchez Narvaez"/>
    <s v="Regular"/>
    <s v="Indirect"/>
    <s v="Test Engineer "/>
    <m/>
    <x v="4"/>
    <s v="NPI"/>
    <s v="Alejandro Loza Haro (10324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04T00:00:00"/>
    <d v="2026-06-15T00:00:00"/>
    <n v="2.7808219178082192"/>
  </r>
  <r>
    <n v="31676"/>
    <s v="Ricardo Mendoza Moreno"/>
    <s v="Regular"/>
    <s v="Indirect"/>
    <s v="Test Engineer "/>
    <m/>
    <x v="4"/>
    <s v="NPI"/>
    <s v="Alejandro Loza Haro (10324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05-01-10T00:00:00"/>
    <d v="2026-06-15T00:00:00"/>
    <n v="21.44109589041096"/>
  </r>
  <r>
    <n v="34665"/>
    <s v="Lucio Robles Martinez"/>
    <s v="Regular"/>
    <s v="Indirect"/>
    <s v="Test Engineer "/>
    <m/>
    <x v="4"/>
    <s v="NPI"/>
    <s v="Alejandro Loza Haro (10324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09-02-24T00:00:00"/>
    <d v="2026-06-15T00:00:00"/>
    <n v="17.315068493150687"/>
  </r>
  <r>
    <n v="1007160"/>
    <s v="Alberto Fabian Ramirez Gonzalez"/>
    <s v="Regular"/>
    <s v="Direct"/>
    <s v="Quality Technician "/>
    <m/>
    <x v="3"/>
    <s v="Calidad"/>
    <s v="Alonso Padilla Jimenez (1180833)"/>
    <s v="Juan Jose Alonzo Casillas (31849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7-04-03T00:00:00"/>
    <d v="2026-06-15T00:00:00"/>
    <n v="9.205479452054794"/>
  </r>
  <r>
    <n v="30057"/>
    <s v="Maria Gabriela De La Torre Quintero"/>
    <s v="Regular"/>
    <s v="Direct"/>
    <s v="Quality Technician "/>
    <m/>
    <x v="3"/>
    <s v="Calidad"/>
    <s v="Alonso Padilla Jimenez (1180833)"/>
    <s v="Juan Jose Alonzo Casillas (31849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9-04-06T00:00:00"/>
    <d v="2026-06-15T00:00:00"/>
    <n v="17.202739726027396"/>
  </r>
  <r>
    <n v="4059365"/>
    <s v="Maria Viridiana Gonzalez Curiel"/>
    <s v="Regular"/>
    <s v="Direct"/>
    <s v="Quality Technician "/>
    <m/>
    <x v="3"/>
    <s v="Calidad"/>
    <s v="Alonso Padilla Jimenez (1180833)"/>
    <s v="Juan Jose Alonzo Casillas (31849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06-06T00:00:00"/>
    <d v="2026-06-15T00:00:00"/>
    <n v="4.0273972602739727"/>
  </r>
  <r>
    <n v="32125"/>
    <s v="Ramon Israel Reyes Olmedo"/>
    <s v="Regular"/>
    <s v="Direct"/>
    <s v="Quality Technician "/>
    <m/>
    <x v="3"/>
    <s v="Calidad"/>
    <s v="Alonso Padilla Jimenez (1180833)"/>
    <s v="Juan Jose Alonzo Casillas (31849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5-10-24T00:00:00"/>
    <d v="2026-06-15T00:00:00"/>
    <n v="20.654794520547945"/>
  </r>
  <r>
    <n v="35977"/>
    <s v="Ma del Carmen Ruiz Ramos"/>
    <s v="Regular"/>
    <s v="Direct"/>
    <s v="Quality Technician "/>
    <m/>
    <x v="3"/>
    <s v="Calidad"/>
    <s v="Alonso Padilla Jimenez (1180833)"/>
    <s v="Juan Jose Alonzo Casillas (31849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7-05-14T00:00:00"/>
    <d v="2026-06-15T00:00:00"/>
    <n v="19.101369863013698"/>
  </r>
  <r>
    <n v="4058745"/>
    <s v="Brenda Araceli Maldonado Velazco"/>
    <s v="Regular"/>
    <s v="Direct"/>
    <s v="Quality Technician "/>
    <m/>
    <x v="3"/>
    <s v="Calidad"/>
    <s v="Alonso Padilla Jimenez (1180833)"/>
    <s v="Juan Jose Alonzo Casillas (31849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05-26T00:00:00"/>
    <d v="2026-06-15T00:00:00"/>
    <n v="4.0575342465753428"/>
  </r>
  <r>
    <n v="42520"/>
    <s v="Laura Liliana Flores Moran"/>
    <s v="Regular"/>
    <s v="Direct"/>
    <s v="Quality Technician "/>
    <m/>
    <x v="3"/>
    <s v="Calidad"/>
    <s v="Alonso Padilla Jimenez (1180833)"/>
    <s v="Juan Jose Alonzo Casillas (31849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Support [Primary Function]"/>
    <d v="2021-03-04T00:00:00"/>
    <d v="2026-06-15T00:00:00"/>
    <n v="5.2849315068493148"/>
  </r>
  <r>
    <n v="4026559"/>
    <s v="Edwin Alan Lopez Limon"/>
    <s v="Regular"/>
    <s v="Direct"/>
    <s v="Materials Lead "/>
    <m/>
    <x v="0"/>
    <s v="Control de producción"/>
    <s v="Ana Cristina Rizo Ocegueda (1002436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0-10-01T00:00:00"/>
    <d v="2026-06-15T00:00:00"/>
    <n v="5.7068493150684931"/>
  </r>
  <r>
    <n v="4029499"/>
    <s v="Brenda Itzel Perez Garcia"/>
    <s v="Regular"/>
    <s v="Direct"/>
    <s v="Material Handler "/>
    <m/>
    <x v="0"/>
    <s v="Control de producción"/>
    <s v="Ana Cristina Rizo Ocegueda (1002436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33714"/>
    <s v="Mildred Esmeralda Beltran Bobadilla"/>
    <s v="Regular"/>
    <s v="Direct"/>
    <s v="Material Handler "/>
    <m/>
    <x v="0"/>
    <s v="Control de producción"/>
    <s v="Ana Cristina Rizo Ocegueda (1002436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1-02-08T00:00:00"/>
    <d v="2026-06-15T00:00:00"/>
    <n v="5.3506849315068497"/>
  </r>
  <r>
    <n v="4080140"/>
    <s v="Ilse Fatima Lopez Tapia"/>
    <s v="Regular"/>
    <s v="Direct"/>
    <s v="Material Handler "/>
    <m/>
    <x v="0"/>
    <s v="Control de producción"/>
    <s v="Ana Cristina Rizo Ocegueda (1002436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2-02T00:00:00"/>
    <d v="2026-06-15T00:00:00"/>
    <n v="3.3671232876712329"/>
  </r>
  <r>
    <n v="4117095"/>
    <s v="Citlali Elizabeth Villarreal Salazar"/>
    <s v="Regular"/>
    <s v="Direct"/>
    <s v="Material Handler "/>
    <m/>
    <x v="0"/>
    <s v="Control de producción"/>
    <s v="Anay Navarro Moyeda (851163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5-10-16T00:00:00"/>
    <d v="2026-06-15T00:00:00"/>
    <n v="0.66301369863013704"/>
  </r>
  <r>
    <n v="4100913"/>
    <s v="Martha Elena Avila Martinez"/>
    <s v="Regular"/>
    <s v="Direct"/>
    <s v="Material Handler "/>
    <m/>
    <x v="0"/>
    <s v="Control de producción"/>
    <s v="Anay Navarro Moyeda (851163)"/>
    <s v="Miguel Francisco Barajas Nares (32924)"/>
    <s v="Veronica Judith Coss y Leon Gonzalez (1018211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03043"/>
    <s v="Hilario Hernandez Espinoza"/>
    <s v="Regular"/>
    <s v="Direct"/>
    <s v="Material Handler "/>
    <m/>
    <x v="0"/>
    <s v="Control de producción"/>
    <s v="Anay Navarro Moyeda (851163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110089"/>
    <s v="Fernando Zazueta Ocegueda"/>
    <s v="Regular"/>
    <s v="Direct"/>
    <s v="Material Handler "/>
    <m/>
    <x v="0"/>
    <s v="Control de producción"/>
    <s v="Anay Navarro Moyeda (851163)"/>
    <s v="Miguel Francisco Barajas Nares (32924)"/>
    <s v="Veronica Judith Coss y Leon Gonzalez (1018211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16T00:00:00"/>
    <d v="2026-06-15T00:00:00"/>
    <n v="1.4109589041095891"/>
  </r>
  <r>
    <n v="4122728"/>
    <s v="Miguel Alejandro Valle Dominguez"/>
    <s v="Fixed Term"/>
    <s v="Direct"/>
    <s v="Material Handler "/>
    <m/>
    <x v="0"/>
    <s v="Control de producción"/>
    <s v="Anay Navarro Moyeda (851163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3005377"/>
    <s v="Sahian Rosales Melendez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36609"/>
    <s v="Maria Guadalupe Corona Leon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63223"/>
    <s v="Maria Concepcion Quezada Guzman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01547"/>
    <s v="Viridiana Guadalupe Baez Castañon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4045"/>
    <s v="Biviana Berenice Sanchez Gutierrez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573709"/>
    <s v="Maria Del Rocio Torres Morales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83834"/>
    <s v="Irma Edith Sanchez Beltran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414"/>
    <s v="Cynthia Yanilet Martinez Alvarado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66"/>
    <s v="Fernando Guijarro Espinoza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4"/>
    <s v="Joseph De Jesus Guzman Sandoval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0"/>
    <s v="Karen Daniela Islas Galaviz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7"/>
    <s v="Rosa Janeth Rocha Godoy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69"/>
    <s v="Valeria Anaksunamun Vela Camacho"/>
    <s v="Fixed Term"/>
    <s v="Direct"/>
    <s v="Assembler "/>
    <m/>
    <x v="1"/>
    <s v="SMT"/>
    <s v="Andres Ignacio Castañon Rodriguez (3267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014765"/>
    <s v="Juan Enrique Aranda Barajas"/>
    <s v="Regular"/>
    <s v="Indirect"/>
    <s v="Business Systems Analyst "/>
    <m/>
    <x v="4"/>
    <s v="IDL"/>
    <s v="Antonio Hernandez Garcia (836170)"/>
    <s v="Ricardo Villa (31335)"/>
    <s v="Alex Romano (34260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22-01-17T00:00:00"/>
    <d v="2026-06-15T00:00:00"/>
    <n v="4.4109589041095889"/>
  </r>
  <r>
    <n v="4049034"/>
    <s v="Selim Jassem Aisa Zapata"/>
    <s v="Regular"/>
    <s v="Indirect"/>
    <s v="Delivery Business Systems Analyst "/>
    <m/>
    <x v="4"/>
    <s v="IDL"/>
    <s v="Antonio Hernandez Garcia (836170)"/>
    <s v="Ricardo Villa (31335)"/>
    <s v="Alex Romano (34260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22-01-27T00:00:00"/>
    <d v="2026-06-15T00:00:00"/>
    <n v="4.3835616438356162"/>
  </r>
  <r>
    <n v="27145"/>
    <s v="Maria De La Cruz Alfas Quintero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28566"/>
    <s v="Susana Garcia Cervantes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4-14T00:00:00"/>
    <d v="2026-06-15T00:00:00"/>
    <n v="18.18082191780822"/>
  </r>
  <r>
    <n v="28585"/>
    <s v="Marcedalia Rangel Garcia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11-21T00:00:00"/>
    <d v="2026-06-15T00:00:00"/>
    <n v="9.5698630136986296"/>
  </r>
  <r>
    <n v="30099"/>
    <s v="Rosaura Cazares Alcantara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07-04T00:00:00"/>
    <d v="2026-06-15T00:00:00"/>
    <n v="9.9534246575342458"/>
  </r>
  <r>
    <n v="4030401"/>
    <s v="Lourdes Esmeralda Morales Sanchez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40949"/>
    <s v="Carlos Gonzalez Alcala"/>
    <s v="Regular"/>
    <s v="Direct"/>
    <s v="Lead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9-09T00:00:00"/>
    <d v="2026-06-15T00:00:00"/>
    <n v="4.7671232876712333"/>
  </r>
  <r>
    <n v="4058936"/>
    <s v="Jesus Garcia Pablo"/>
    <s v="Regular"/>
    <s v="Direct"/>
    <s v="Lead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5-30T00:00:00"/>
    <d v="2026-06-15T00:00:00"/>
    <n v="4.0465753424657533"/>
  </r>
  <r>
    <n v="4063236"/>
    <s v="Sarahi Becerra Garcia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4070675"/>
    <s v="Karla Janet Avalos Canter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074357"/>
    <s v="Rosalba Salazar Benavides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77392"/>
    <s v="Luz Gabriela Tovar Luna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12T00:00:00"/>
    <d v="2026-06-15T00:00:00"/>
    <n v="3.4246575342465753"/>
  </r>
  <r>
    <n v="4087740"/>
    <s v="Maria Estibalis Montiel Dia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088080"/>
    <s v="Maria Fernanda Rosas Pacheco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090673"/>
    <s v="Andrik Sebastian Arellano Contreras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96053"/>
    <s v="Alma Erika Santana Madrid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098052"/>
    <s v="Antonia Antunez Rabadan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08T00:00:00"/>
    <d v="2026-06-15T00:00:00"/>
    <n v="2.4356164383561643"/>
  </r>
  <r>
    <n v="4100692"/>
    <s v="Karla Danae Gonzalez Vazque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101972"/>
    <s v="Fabiola Teresa Lopez Nuñe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0T00:00:00"/>
    <d v="2026-06-15T00:00:00"/>
    <n v="1.9863013698630136"/>
  </r>
  <r>
    <n v="4101975"/>
    <s v="Yarizabeth Castro De La Cru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0T00:00:00"/>
    <d v="2026-06-15T00:00:00"/>
    <n v="1.9863013698630136"/>
  </r>
  <r>
    <n v="4102092"/>
    <s v="Maria De La Luz Miranda Lozano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4T00:00:00"/>
    <d v="2026-06-15T00:00:00"/>
    <n v="1.9753424657534246"/>
  </r>
  <r>
    <n v="4102228"/>
    <s v="Ana Maria Huerta Garcia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7T00:00:00"/>
    <d v="2026-06-15T00:00:00"/>
    <n v="1.9671232876712328"/>
  </r>
  <r>
    <n v="4103015"/>
    <s v="Martha Cecilia Viera Anguiano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104687"/>
    <s v="Dulce Maria Ochoa Razo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29T00:00:00"/>
    <d v="2026-06-15T00:00:00"/>
    <n v="1.7945205479452055"/>
  </r>
  <r>
    <n v="4105531"/>
    <s v="Vanessa Elizabeth Luna Ramire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3T00:00:00"/>
    <d v="2026-06-15T00:00:00"/>
    <n v="1.726027397260274"/>
  </r>
  <r>
    <n v="4106727"/>
    <s v="Alicia Nayeli Murillo Ledezma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07T00:00:00"/>
    <d v="2026-06-15T00:00:00"/>
    <n v="1.6027397260273972"/>
  </r>
  <r>
    <n v="4108795"/>
    <s v="Maria Arcelia Villagomez Duarte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12468"/>
    <s v="Amparo Olivos Hernandez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2474"/>
    <s v="Ivan Daniel Andrade Aceves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2476"/>
    <s v="Aurora Trejo Lazaro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5838"/>
    <s v="Fidel Martinez Encarnacion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1071"/>
    <s v="Yohana Araceli Celaya Velazquez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078"/>
    <s v="Edwin Alejandro Villanueva Castro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28"/>
    <s v="Ana Jacqueline Morales Perez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2"/>
    <s v="Anthony Ismael Rodriguez Rubio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37"/>
    <s v="Cynthia Elizabeth Arroyo Perales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38"/>
    <s v="Miriam Alejandra Camarena Avelar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40"/>
    <s v="Rosa Gabriela Celas Castillo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59"/>
    <s v="Maria Jazmine Salomon Acevedo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38"/>
    <s v="Dante Neftali Prieto Salazar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39"/>
    <s v="Diana Montserrat Lomeli Suarez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1"/>
    <s v="Marisol Tellez Sanchez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53"/>
    <s v="Karla Elizabeth Padilla Escobedo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104"/>
    <s v="Xochitl Yadira Castañeda Arandas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30"/>
    <s v="Luna Marisela Correa Medin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250"/>
    <s v="Rebeca Alessandra Moreno Castillo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2"/>
    <s v="Maria Jose Martinez Flores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63"/>
    <s v="Brian Alejandro Ortiz Ibañez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3"/>
    <s v="Alondra Perez Sevill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4"/>
    <s v="Leslie Viridiana Reyes Neri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11"/>
    <s v="Lorena Torrez Tejed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12"/>
    <s v="Leslie Karina Hernandez Garci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578481"/>
    <s v="Elvia Macias Garci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844587"/>
    <s v="Maria Marlene Bañuelos Vazquez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861091"/>
    <s v="Carlos Alberto Zuñiga Tamayo"/>
    <s v="Regular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967766"/>
    <s v="Andres Martin Rico Partida"/>
    <s v="Fixed Term"/>
    <s v="Direct"/>
    <s v="Assemble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88695"/>
    <s v="Cecilia Tejeda Lopez"/>
    <s v="Regular"/>
    <s v="Direct"/>
    <s v="SMT Operator "/>
    <m/>
    <x v="1"/>
    <s v="SMT"/>
    <s v="Arturo Sandoval Briseño (22845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17T00:00:00"/>
    <d v="2026-06-15T00:00:00"/>
    <n v="2.8301369863013699"/>
  </r>
  <r>
    <n v="28587"/>
    <s v="Alma Araceli Aceves Tamayo"/>
    <s v="Regular"/>
    <s v="Direct"/>
    <s v="Technical Production Lead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4-28T00:00:00"/>
    <d v="2026-06-15T00:00:00"/>
    <n v="18.142465753424659"/>
  </r>
  <r>
    <n v="4038148"/>
    <s v="Angelica Maria Quintana Castañeda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5-27T00:00:00"/>
    <d v="2026-06-15T00:00:00"/>
    <n v="5.0547945205479454"/>
  </r>
  <r>
    <n v="4049725"/>
    <s v="Sandra Veronica Quezada Gonzalez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068798"/>
    <s v="Angelica Karina Lopez Nava"/>
    <s v="Regular"/>
    <s v="Direct"/>
    <s v="Lead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29T00:00:00"/>
    <d v="2026-06-15T00:00:00"/>
    <n v="3.7123287671232879"/>
  </r>
  <r>
    <n v="4070917"/>
    <s v="Esmeralda Caudillo Neri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20T00:00:00"/>
    <d v="2026-06-15T00:00:00"/>
    <n v="3.6547945205479451"/>
  </r>
  <r>
    <n v="4100682"/>
    <s v="Rosalinda Ulloa Felix"/>
    <s v="Regular"/>
    <s v="Direct"/>
    <s v="Lead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103251"/>
    <s v="Araceli Leal Ramirez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9T00:00:00"/>
    <d v="2026-06-15T00:00:00"/>
    <n v="1.8794520547945206"/>
  </r>
  <r>
    <n v="4103333"/>
    <s v="Adrian Valadez Gonzalez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13269"/>
    <s v="Brenda Esmeralda Cruz Rosas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13274"/>
    <s v="Isaac Salomon Escobedo Gonzalez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20853"/>
    <s v="Ma. Del Rosario Hernandez Villanueva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120855"/>
    <s v="Laura Yesenia Berenice Delgado Venegas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121080"/>
    <s v="Yolanda Cobian Candido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26"/>
    <s v="Jocelyn Jazmin Zapata Rios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36"/>
    <s v="Marcelina De La Rosa Serio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3"/>
    <s v="Karla Veronica Rodriguez Donato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5"/>
    <s v="Valeria Alejandra Garcia Valdivia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214"/>
    <s v="Cecilia Garcia Segundo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3T00:00:00"/>
    <d v="2026-06-15T00:00:00"/>
    <n v="0.30684931506849317"/>
  </r>
  <r>
    <n v="4122503"/>
    <s v="Sergio Eduardo Garcia Cordero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735"/>
    <s v="Esmeralda Abigail Martinez Olver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36"/>
    <s v="Fernando Ruben Vertti Piñ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2"/>
    <s v="Aslhey Sherlin Mancilla Escobar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5"/>
    <s v="Diana Guadalupe Salcido Escobar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9"/>
    <s v="Armando Medina Delgado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50"/>
    <s v="Clara Fragedes Garcia Garci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54"/>
    <s v="Alma Janette Lopez Rez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85"/>
    <s v="Daniela Mendez Morales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92"/>
    <s v="Cesar Ulises Bolaños Plascenci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538"/>
    <s v="Luis Francisco Ambriz Silv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921680"/>
    <s v="Nalleli Alejandra Carlos Flores"/>
    <s v="Regular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4124245"/>
    <s v="Pedro Eduardo Navarro Corona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55349"/>
    <s v="Veronica Morales Gutierrez"/>
    <s v="Fixed Term"/>
    <s v="Direct"/>
    <s v="Assembler "/>
    <m/>
    <x v="1"/>
    <s v="IST"/>
    <s v="Beatriz Rodriguez Juarez (28673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007730"/>
    <s v="Maria Azucena De Leon Garcia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19T00:00:00"/>
    <d v="2026-06-15T00:00:00"/>
    <n v="1.4876712328767123"/>
  </r>
  <r>
    <n v="1159301"/>
    <s v="Jesús Pablo Membrila Marrón"/>
    <s v="Regular"/>
    <s v="Direct"/>
    <s v="Debug Technician "/>
    <m/>
    <x v="1"/>
    <s v="RMAs"/>
    <s v="Benito Martinez Santiago (31572)"/>
    <s v="Marco Antonio Lozano Gómez (1139161)"/>
    <s v="Oscar Daniel Ocampo de la Barrera (101361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7-25T00:00:00"/>
    <d v="2026-06-15T00:00:00"/>
    <n v="3.893150684931507"/>
  </r>
  <r>
    <n v="31143"/>
    <s v="Martha Norma Avalos Terrones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4038476"/>
    <s v="Demian Alejandro Estrada Gudiño"/>
    <s v="Regular"/>
    <s v="Direct"/>
    <s v="Lead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2T00:00:00"/>
    <d v="2026-06-15T00:00:00"/>
    <n v="2.1205479452054794"/>
  </r>
  <r>
    <n v="4065207"/>
    <s v="Laura Lizette Gutierrez Nuñez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073504"/>
    <s v="Delia Barajas Suarez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84136"/>
    <s v="Ilse Georgina Marquez Rayas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13T00:00:00"/>
    <d v="2026-06-15T00:00:00"/>
    <n v="3.2602739726027399"/>
  </r>
  <r>
    <n v="4087417"/>
    <s v="Yesenia Montserrat Alonso Rodriguez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20T00:00:00"/>
    <d v="2026-06-15T00:00:00"/>
    <n v="3.1561643835616437"/>
  </r>
  <r>
    <n v="4088433"/>
    <s v="Hugo Alejandro Roldan Garcia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3T00:00:00"/>
    <d v="2026-06-15T00:00:00"/>
    <n v="0.30684931506849317"/>
  </r>
  <r>
    <n v="4102223"/>
    <s v="Karla Araceli Lopez Cerros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13304"/>
    <s v="Jaime Dario Diaz Vera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121087"/>
    <s v="Karina Balderas Montes"/>
    <s v="Regular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46"/>
    <s v="Alexander Farid Guevara Lomas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4211"/>
    <s v="Santiaga Varona Damian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55358"/>
    <s v="Martha Alicia Vera Flores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57605"/>
    <s v="Ma. de Lourdes Ortega Reyna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86015"/>
    <s v="Federico Castro Victoria"/>
    <s v="Fixed Term"/>
    <s v="Direct"/>
    <s v="Assembler "/>
    <m/>
    <x v="1"/>
    <s v="RMAs"/>
    <s v="Benito Martinez Santiago (31572)"/>
    <s v="Marco Antonio Lozano Gómez (113916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99936"/>
    <s v="Ana Karen Chavez Echeverria"/>
    <s v="Regular"/>
    <s v="Direct"/>
    <s v="Quality Auditor "/>
    <m/>
    <x v="3"/>
    <s v="Calidad"/>
    <s v="Bertha Daniela Vazquez Lopez (4009618)"/>
    <s v="Gabriel Castellanos Ortiz (899712)"/>
    <s v="Simon Pedro Gradilla Palafox (862068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20783"/>
    <s v="Maria Eugenia Solorzano Montaño"/>
    <s v="Regular"/>
    <s v="Direct"/>
    <s v="Quality Auditor "/>
    <m/>
    <x v="3"/>
    <s v="Calidad"/>
    <s v="Bertha Daniela Vazquez Lopez (4009618)"/>
    <s v="Gabriel Castellanos Ortiz (899712)"/>
    <s v="Simon Pedro Gradilla Palafox (862068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2T00:00:00"/>
    <d v="2026-06-15T00:00:00"/>
    <n v="0.33698630136986302"/>
  </r>
  <r>
    <n v="4120785"/>
    <s v="Mariana Montserrat Iriarte Ornelas"/>
    <s v="Regular"/>
    <s v="Direct"/>
    <s v="Quality Auditor "/>
    <m/>
    <x v="3"/>
    <s v="Calidad"/>
    <s v="Bertha Daniela Vazquez Lopez (4009618)"/>
    <s v="Gabriel Castellanos Ortiz (899712)"/>
    <s v="Simon Pedro Gradilla Palafox (862068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2T00:00:00"/>
    <d v="2026-06-15T00:00:00"/>
    <n v="0.33698630136986302"/>
  </r>
  <r>
    <n v="879649"/>
    <s v="Ma. Cristina Garcia Anguiano"/>
    <s v="Regular"/>
    <s v="Direct"/>
    <s v="Quality Auditor "/>
    <m/>
    <x v="3"/>
    <s v="Calidad"/>
    <s v="Bertha Daniela Vazquez Lopez (4009618)"/>
    <s v="Gabriel Castellanos Ortiz (899712)"/>
    <s v="Simon Pedro Gradilla Palafox (862068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1-11T00:00:00"/>
    <d v="2026-06-15T00:00:00"/>
    <n v="2.4273972602739726"/>
  </r>
  <r>
    <n v="1207573"/>
    <s v="Citlahli De Jesus Muriedas Ortiz"/>
    <s v="Regular"/>
    <s v="Direct"/>
    <s v="Engineering Technician "/>
    <m/>
    <x v="5"/>
    <s v="Industrial "/>
    <s v="Brenda Isabel García Mora (1205758)"/>
    <s v="Marco Antonio Meza Mancilla (586265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5-12T00:00:00"/>
    <d v="2026-06-15T00:00:00"/>
    <n v="1.0931506849315069"/>
  </r>
  <r>
    <n v="1221038"/>
    <s v="Maria Fernanda Equihua Distancia"/>
    <s v="Regular"/>
    <s v="Direct"/>
    <s v="Engineering Technician "/>
    <m/>
    <x v="5"/>
    <s v="Industrial "/>
    <s v="Brenda Isabel García Mora (1205758)"/>
    <s v="Marco Antonio Meza Mancilla (58626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11-10T00:00:00"/>
    <d v="2026-06-15T00:00:00"/>
    <n v="0.59452054794520548"/>
  </r>
  <r>
    <n v="1170436"/>
    <s v="Jose Manuel Silva Gonzal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2-05T00:00:00"/>
    <d v="2026-06-15T00:00:00"/>
    <n v="3.5287671232876714"/>
  </r>
  <r>
    <n v="19147"/>
    <s v="Jose Juan Hernandez Barcenas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Support [Primary Function]"/>
    <d v="2023-08-31T00:00:00"/>
    <d v="2026-06-15T00:00:00"/>
    <n v="2.7917808219178082"/>
  </r>
  <r>
    <n v="21296"/>
    <s v="Laura Angelica Herrera Per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09T00:00:00"/>
    <d v="2026-06-15T00:00:00"/>
    <n v="1.515068493150685"/>
  </r>
  <r>
    <n v="27435"/>
    <s v="Sonia Villalobos Carrillo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7-10-01T00:00:00"/>
    <d v="2026-06-15T00:00:00"/>
    <n v="18.717808219178082"/>
  </r>
  <r>
    <n v="28486"/>
    <s v="Carlos Eduardo Hernandez Rangel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Support [Primary Function]"/>
    <d v="2018-08-02T00:00:00"/>
    <d v="2026-06-15T00:00:00"/>
    <n v="7.8739726027397259"/>
  </r>
  <r>
    <n v="28880"/>
    <s v="Mariana Perez Martin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5-05T00:00:00"/>
    <d v="2026-06-15T00:00:00"/>
    <n v="1.1123287671232878"/>
  </r>
  <r>
    <n v="3006901"/>
    <s v="Carlos Rafael Villalvazo Salcido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6-23T00:00:00"/>
    <d v="2026-06-15T00:00:00"/>
    <n v="0.9780821917808219"/>
  </r>
  <r>
    <n v="37211"/>
    <s v="Beatriz Jimenez Casillas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5-30T00:00:00"/>
    <d v="2026-06-15T00:00:00"/>
    <n v="10.049315068493151"/>
  </r>
  <r>
    <n v="4038622"/>
    <s v="Pablo Lopez Sanch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20T00:00:00"/>
    <d v="2026-06-15T00:00:00"/>
    <n v="0.15342465753424658"/>
  </r>
  <r>
    <n v="4041485"/>
    <s v="Carmen Lucila Garcia Ramir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Support [Primary Function]"/>
    <d v="2021-09-20T00:00:00"/>
    <d v="2026-06-15T00:00:00"/>
    <n v="4.7369863013698632"/>
  </r>
  <r>
    <n v="4063335"/>
    <s v="Ruth Noemi Rodriguez Ayala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8-04T00:00:00"/>
    <d v="2026-06-15T00:00:00"/>
    <n v="3.8657534246575342"/>
  </r>
  <r>
    <n v="4074785"/>
    <s v="Carlos Antonio Alvarez Gonzal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2-08T00:00:00"/>
    <d v="2026-06-15T00:00:00"/>
    <n v="3.5205479452054793"/>
  </r>
  <r>
    <n v="4087429"/>
    <s v="Diego Ramirez Santiago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Support [Primary Function]"/>
    <d v="2023-04-20T00:00:00"/>
    <d v="2026-06-15T00:00:00"/>
    <n v="3.1561643835616437"/>
  </r>
  <r>
    <n v="4106887"/>
    <s v="Brandon Jose Ochoa Diaz"/>
    <s v="Fixed Term"/>
    <s v="Direct"/>
    <s v="Assembler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4236"/>
    <s v="Paula Graciela Tiscareño Mendoza"/>
    <s v="Fixed Term"/>
    <s v="Direct"/>
    <s v="Assembler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6"/>
    <s v="Julissa Lizeth Perez Serrano"/>
    <s v="Fixed Term"/>
    <s v="Direct"/>
    <s v="Assembler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7"/>
    <s v="Jose Alberto Garcia Jasso"/>
    <s v="Fixed Term"/>
    <s v="Direct"/>
    <s v="Assembler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76212"/>
    <s v="Monica Elizabeth Sanchez Sanchez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6-17T00:00:00"/>
    <d v="2026-06-15T00:00:00"/>
    <n v="7"/>
  </r>
  <r>
    <n v="578380"/>
    <s v="Jorge Alfredo Valdovinos Arredondo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09T00:00:00"/>
    <d v="2026-06-15T00:00:00"/>
    <n v="1.515068493150685"/>
  </r>
  <r>
    <n v="955253"/>
    <s v="Luis Alfonso Casas Avila"/>
    <s v="Regular"/>
    <s v="Direct"/>
    <s v="Repair Technician "/>
    <m/>
    <x v="2"/>
    <s v="Reparación"/>
    <s v="Brenda Noemi Bonilla Gutierrez (1196936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8-09-13T00:00:00"/>
    <d v="2026-06-15T00:00:00"/>
    <n v="7.7589041095890412"/>
  </r>
  <r>
    <n v="4094491"/>
    <s v="Brandon Abraham Rubio Valencia"/>
    <s v="Regular"/>
    <s v="Direct"/>
    <s v="Material Expediter "/>
    <m/>
    <x v="0"/>
    <s v="Almacén"/>
    <s v="Bryan Alejandro Beatris Nuñez (3003401)"/>
    <s v="Manuel Vazquez Maldonado (1146319)"/>
    <s v="Juan Jose Rivera Mendez (21344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13302"/>
    <s v="Atziri Dayann Mendoza Elias"/>
    <s v="Regular"/>
    <s v="Direct"/>
    <s v="Material Expediter "/>
    <m/>
    <x v="0"/>
    <s v="Almacén"/>
    <s v="Bryan Alejandro Beatris Nuñez (3003401)"/>
    <s v="Manuel Vazquez Maldonado (1146319)"/>
    <s v="Juan Jose Rivera Mendez (21344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122881"/>
    <s v="Naydelin Casandra Llamas Segura"/>
    <s v="Fixed Term"/>
    <s v="Direct"/>
    <s v="Material Expediter "/>
    <m/>
    <x v="0"/>
    <s v="Almacén"/>
    <s v="Bryan Alejandro Beatris Nuñez (3003401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29410"/>
    <s v="Juan Luis Valdez Jimenez"/>
    <s v="Regular"/>
    <s v="Direct"/>
    <s v="Quality Technician "/>
    <m/>
    <x v="3"/>
    <s v="SQA"/>
    <s v="Bryan Edtzel de Dios Sanchez Ortega (1170326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8-07-14T00:00:00"/>
    <d v="2026-06-15T00:00:00"/>
    <n v="17.931506849315067"/>
  </r>
  <r>
    <n v="1088220"/>
    <s v="Jose Guillermo Trujillo Ramirez"/>
    <s v="Regular"/>
    <s v="Indirect"/>
    <s v="Failure Analysis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7-31T00:00:00"/>
    <d v="2026-06-15T00:00:00"/>
    <n v="2.8767123287671232"/>
  </r>
  <r>
    <n v="1153806"/>
    <s v="Jesus Eduardo Aramburo Audelo"/>
    <s v="Regular"/>
    <s v="Indirect"/>
    <s v="Failure Analysis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5-09T00:00:00"/>
    <d v="2026-06-15T00:00:00"/>
    <n v="4.1041095890410961"/>
  </r>
  <r>
    <n v="1171980"/>
    <s v="Jorge Ignacio Diaz De Dios"/>
    <s v="Regular"/>
    <s v="Indirect"/>
    <s v="Test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12-26T00:00:00"/>
    <d v="2026-06-15T00:00:00"/>
    <n v="3.4712328767123286"/>
  </r>
  <r>
    <n v="1182291"/>
    <s v="Gonzalo Iván De la Cruz Orozco"/>
    <s v="Regular"/>
    <s v="Indirect"/>
    <s v="Failure Analysis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04T00:00:00"/>
    <d v="2026-06-15T00:00:00"/>
    <n v="2.7808219178082192"/>
  </r>
  <r>
    <n v="1183466"/>
    <s v="Erik Alejandro Ruiz Lopez"/>
    <s v="Regular"/>
    <s v="Indirect"/>
    <s v="Test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23-10-02T00:00:00"/>
    <d v="2026-06-15T00:00:00"/>
    <n v="2.7041095890410958"/>
  </r>
  <r>
    <n v="1230871"/>
    <s v="Exon Rodrigo De anda Valdez"/>
    <s v="Regular"/>
    <s v="Indirect"/>
    <s v="Test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26-04-27T00:00:00"/>
    <d v="2026-06-15T00:00:00"/>
    <n v="0.13424657534246576"/>
  </r>
  <r>
    <n v="22810"/>
    <s v="Ernesto Alonso Sanchez"/>
    <s v="Regular"/>
    <s v="Indirect"/>
    <s v="Test Engineer "/>
    <m/>
    <x v="4"/>
    <s v="IDL"/>
    <s v="Carlos Alberto Castañeda Muñoz (33755)"/>
    <s v="Rogelio Guzman Sanchez (1173106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2-06-18T00:00:00"/>
    <d v="2026-06-15T00:00:00"/>
    <n v="14"/>
  </r>
  <r>
    <n v="1157915"/>
    <s v="Enrique Sebastián Saldaña Guerrero"/>
    <s v="Regular"/>
    <s v="Indirect"/>
    <s v="Product Engineer "/>
    <m/>
    <x v="4"/>
    <s v="IDL"/>
    <s v="Carlos Antonio Gastelum Torres (96741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7-04T00:00:00"/>
    <d v="2026-06-15T00:00:00"/>
    <n v="3.9506849315068493"/>
  </r>
  <r>
    <n v="1192835"/>
    <s v="Luis Diego Anaya Zamudio"/>
    <s v="Regular"/>
    <s v="Indirect"/>
    <s v="Product Engineer "/>
    <m/>
    <x v="4"/>
    <s v="IDL"/>
    <s v="Carlos Antonio Gastelum Torres (96741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4-07-22T00:00:00"/>
    <d v="2026-06-15T00:00:00"/>
    <n v="1.8986301369863015"/>
  </r>
  <r>
    <n v="1202083"/>
    <s v="Juan Manuel Pérez Maldonado"/>
    <s v="Regular"/>
    <s v="Indirect"/>
    <s v="Product Engineer "/>
    <m/>
    <x v="4"/>
    <s v="IDL"/>
    <s v="Carlos Antonio Gastelum Torres (96741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2-17T00:00:00"/>
    <d v="2026-06-15T00:00:00"/>
    <n v="1.3232876712328767"/>
  </r>
  <r>
    <n v="974994"/>
    <s v="Teresa Neri Figueroa"/>
    <s v="Regular"/>
    <s v="Indirect"/>
    <s v="Product Engineer "/>
    <m/>
    <x v="4"/>
    <s v="IDL"/>
    <s v="Carlos Antonio Gastelum Torres (96741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7-14T00:00:00"/>
    <d v="2026-06-15T00:00:00"/>
    <n v="0.92054794520547945"/>
  </r>
  <r>
    <n v="22966"/>
    <s v="Maria De Jesus Sifuentes Carrillo"/>
    <s v="Regular"/>
    <s v="Direct"/>
    <s v="Technical Production Lead "/>
    <m/>
    <x v="1"/>
    <s v="SMT"/>
    <s v="Carlos Augusto Agredano Ornelas (112766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2-01-28T00:00:00"/>
    <d v="2026-06-15T00:00:00"/>
    <n v="24.394520547945206"/>
  </r>
  <r>
    <n v="4060613"/>
    <s v="Gabriela Garcia Quintero"/>
    <s v="Fixed Term"/>
    <s v="Direct"/>
    <s v="Assembler "/>
    <m/>
    <x v="1"/>
    <s v="SMT"/>
    <s v="Carlos Augusto Agredano Ornelas (1127660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13067"/>
    <s v="Bianca Esmeralda Campos Sandoval"/>
    <s v="Fixed Term"/>
    <s v="Direct"/>
    <s v="Assembler "/>
    <m/>
    <x v="1"/>
    <s v="SMT"/>
    <s v="Carlos Augusto Agredano Ornelas (1127660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1070953"/>
    <s v="Miguel Arturo Mundo Rincon"/>
    <s v="Regular"/>
    <s v="Indirect"/>
    <s v="HR Generalist "/>
    <m/>
    <x v="4"/>
    <s v="IDL"/>
    <s v="Carlos Eduardo Lomeli Navarro (835935)"/>
    <s v="Veronica Elizabeth Zarate Olvera (25485)"/>
    <s v="Jose Carlos Barajas Gonzalez (24454)"/>
    <s v="Mix"/>
    <s v="Bldg 29"/>
    <n v="7300"/>
    <s v="MFG North Guad, MEX 300-Flextronics Manufacturing Mex, S.A. de C.V.-Philo Cloud-CLOUD SERVER &amp; S-PCBA_GUAD_300-Philo VLP [Customer Dimensions]"/>
    <s v="MX-GDL-Guad North CEC-Ops-B30-Philo [Primary Function]"/>
    <d v="2018-07-09T00:00:00"/>
    <d v="2026-06-15T00:00:00"/>
    <n v="7.9397260273972599"/>
  </r>
  <r>
    <n v="1157750"/>
    <s v="Diego Armando Nuñez Allan"/>
    <s v="Regular"/>
    <s v="Indirect"/>
    <s v="HR Generalist "/>
    <m/>
    <x v="4"/>
    <s v="IDL"/>
    <s v="Carlos Eduardo Lomeli Navarro (835935)"/>
    <s v="Veronica Elizabeth Zarate Olvera (25485)"/>
    <s v="Jose Carlos Barajas Gonzalez (24454)"/>
    <s v="Mix"/>
    <s v="Bldg 29"/>
    <n v="7300"/>
    <s v="MFG North Guad, MEX 300-Flextronics Manufacturing Mex, S.A. de C.V.-Philo Cloud-CLOUD SERVER &amp; S-PCBA_GUAD_300-Philo VLP [Customer Dimensions]"/>
    <s v="MX-GDL-Guad North CEC-Support [Primary Function]"/>
    <d v="2022-07-04T00:00:00"/>
    <d v="2026-06-15T00:00:00"/>
    <n v="3.9506849315068493"/>
  </r>
  <r>
    <n v="1168875"/>
    <s v="Paola Perez Villalpando"/>
    <s v="Regular"/>
    <s v="Indirect"/>
    <s v="HR Generalist "/>
    <m/>
    <x v="4"/>
    <s v="IDL"/>
    <s v="Carlos Eduardo Lomeli Navarro (835935)"/>
    <s v="Veronica Elizabeth Zarate Olvera (25485)"/>
    <s v="Jose Carlos Barajas Gonzalez (24454)"/>
    <s v="Mix"/>
    <s v="Bldg 29"/>
    <n v="7300"/>
    <s v="MFG North Guad, MEX 300-Flextronics Manufacturing Mex, S.A. de C.V.-Philo Cloud-CLOUD SERVER &amp; S-PCBA_GUAD_300-Philo VLP [Customer Dimensions]"/>
    <s v="MX-GDL-Guad North CEC-Support [Primary Function]"/>
    <d v="2022-11-14T00:00:00"/>
    <d v="2026-06-15T00:00:00"/>
    <n v="3.5863013698630137"/>
  </r>
  <r>
    <n v="1171637"/>
    <s v="Kattia Guadalupe Miramontes Rodriguez"/>
    <s v="Regular"/>
    <s v="Indirect"/>
    <s v="HR Generalist "/>
    <m/>
    <x v="4"/>
    <s v="IDL"/>
    <s v="Carlos Eduardo Lomeli Navarro (835935)"/>
    <s v="Veronica Elizabeth Zarate Olvera (25485)"/>
    <s v="Jose Carlos Barajas Gonzalez (24454)"/>
    <s v="Mix"/>
    <s v="Bldg 29"/>
    <n v="7300"/>
    <s v="MFG North Guad, MEX 300-Flextronics Manufacturing Mex, S.A. de C.V.-Philo Cloud-CLOUD SERVER &amp; S-PCBA_GUAD_300-Philo VLP [Customer Dimensions]"/>
    <s v="MX-GDL-Guad North CEC-Support [Primary Function]"/>
    <d v="2022-12-19T00:00:00"/>
    <d v="2026-06-15T00:00:00"/>
    <n v="3.4904109589041097"/>
  </r>
  <r>
    <n v="27942"/>
    <s v="Victor Manuel Nuñez Salazar"/>
    <s v="Regular"/>
    <s v="Indirect"/>
    <s v="HR Generalist "/>
    <m/>
    <x v="4"/>
    <s v="IDL"/>
    <s v="Carlos Eduardo Lomeli Navarro (835935)"/>
    <s v="Veronica Elizabeth Zarate Olvera (25485)"/>
    <s v="Jose Carlos Barajas Gonzalez (24454)"/>
    <s v="Gdl 3"/>
    <s v="Bldg 29"/>
    <n v="7300"/>
    <s v="MFG North Guad, MEX 300-Flextronics Manufacturing Mex, S.A. de C.V.-Philo Cloud-CLOUD SERVER &amp; S-PCBA_GUAD_300-Philo VLP [Customer Dimensions]"/>
    <s v="MX-GDL-Guad North CEC-Support [Primary Function]"/>
    <d v="2008-01-21T00:00:00"/>
    <d v="2026-06-15T00:00:00"/>
    <n v="18.410958904109588"/>
  </r>
  <r>
    <n v="1007515"/>
    <s v="Jose de Jesus Sotelo Jimenez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18-09-17T00:00:00"/>
    <d v="2026-06-15T00:00:00"/>
    <n v="7.7479452054794518"/>
  </r>
  <r>
    <n v="1018160"/>
    <s v="Rafael Carreon Almeida"/>
    <s v="Fixed Term"/>
    <s v="Direct"/>
    <s v="Assembler "/>
    <m/>
    <x v="2"/>
    <s v="Reparación"/>
    <s v="Carlos Fabian Garcia Lopez (1183099)"/>
    <s v="Juan Manuel Mendoza Vazquez (851159)"/>
    <s v="Monica Maria Carrillo Renteria (2504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1081858"/>
    <s v="Adan Misael Aguilar Ibarra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8-09-24T00:00:00"/>
    <d v="2026-06-15T00:00:00"/>
    <n v="7.7287671232876711"/>
  </r>
  <r>
    <n v="1193041"/>
    <s v="Gerardo Geovany Sanchez Oliva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4-07-29T00:00:00"/>
    <d v="2026-06-15T00:00:00"/>
    <n v="1.8794520547945206"/>
  </r>
  <r>
    <n v="1193487"/>
    <s v="Evelyn Paola Loera Herrera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5T00:00:00"/>
    <d v="2026-06-15T00:00:00"/>
    <n v="1.8602739726027397"/>
  </r>
  <r>
    <n v="1196936"/>
    <s v="Brenda Noemi Bonilla Gutierrez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2"/>
    <s v="Bldg 29"/>
    <n v="1200"/>
    <s v="MFG North Guad, MEX 300-Flextronics Manufacturing Mex, S.A. de C.V.-Philo Cloud-CLOUD SERVER &amp; S-PCBA_GUAD_300-Philo VLP [Customer Dimensions]"/>
    <s v="MX-GDL-Guad North LSC-B10-B6-Ops-Philo [Primary Function]"/>
    <d v="2024-10-14T00:00:00"/>
    <d v="2026-06-15T00:00:00"/>
    <n v="1.6684931506849314"/>
  </r>
  <r>
    <n v="4021505"/>
    <s v="Fatima Concepcion Zuñiga Vazquez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0-08-05T00:00:00"/>
    <d v="2026-06-15T00:00:00"/>
    <n v="5.8630136986301373"/>
  </r>
  <r>
    <n v="612718"/>
    <s v="Ivan Palacios Gomez"/>
    <s v="Regular"/>
    <s v="Direct"/>
    <s v="Associate Production Supervisor "/>
    <m/>
    <x v="2"/>
    <s v="Reparación"/>
    <s v="Carlos Fabian Garcia Lopez (1183099)"/>
    <s v="Juan Manuel Mendoza Vazquez (851159)"/>
    <s v="Monica Maria Carrillo Renteria (2504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25T00:00:00"/>
    <d v="2026-06-15T00:00:00"/>
    <n v="1.5534246575342465"/>
  </r>
  <r>
    <n v="1125908"/>
    <s v="Mariana Camargo Lavin"/>
    <s v="Regular"/>
    <s v="Indirect"/>
    <s v="Purchasing Manager Direct "/>
    <m/>
    <x v="4"/>
    <s v="IDL"/>
    <s v="Carlos Gilberto Chavez Gonzalez (1009044)"/>
    <s v="Manuel Alejandro Torres Delgado (22349)"/>
    <s v="Ruben Cesar Nyul Vazquez (1975170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21-03-29T00:00:00"/>
    <d v="2026-06-15T00:00:00"/>
    <n v="5.2164383561643834"/>
  </r>
  <r>
    <n v="1127092"/>
    <s v="Andrea Guisel Bravo Rodriguez"/>
    <s v="Regular"/>
    <s v="Indirect"/>
    <s v="Material Planning Analyst "/>
    <m/>
    <x v="4"/>
    <s v="IDL"/>
    <s v="Carlos Gilberto Chavez Gonzalez (1009044)"/>
    <s v="Manuel Alejandro Torres Delgado (22349)"/>
    <s v="Ruben Cesar Nyul Vazquez (1975170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21-04-19T00:00:00"/>
    <d v="2026-06-15T00:00:00"/>
    <n v="5.1589041095890407"/>
  </r>
  <r>
    <n v="1131236"/>
    <s v="María Fernanda Olmeda Lara"/>
    <s v="Regular"/>
    <s v="Indirect"/>
    <s v="Master Scheduler "/>
    <m/>
    <x v="4"/>
    <s v="IDL"/>
    <s v="Carlos Gilberto Chavez Gonzalez (1009044)"/>
    <s v="Manuel Alejandro Torres Delgado (22349)"/>
    <s v="Ruben Cesar Nyul Vazquez (1975170)"/>
    <s v="Mix"/>
    <s v="Bldg 29"/>
    <n v="6490"/>
    <s v="MFG North Guad, MEX 300-Flextronics Manufacturing Mex, S.A. de C.V.-Philo Cloud-CLOUD SERVER &amp; S-PCBA_GUAD_300-Philo VLP [Customer Dimensions]"/>
    <s v="MX-GDL-Guad North CEC-Ops-B30-Philo [Primary Function]"/>
    <d v="2021-06-14T00:00:00"/>
    <d v="2026-06-15T00:00:00"/>
    <n v="5.0054794520547947"/>
  </r>
  <r>
    <n v="32255"/>
    <s v="Horacio Alejandro Cortez Perez"/>
    <s v="Regular"/>
    <s v="Indirect"/>
    <s v="Material Planning Analyst "/>
    <m/>
    <x v="4"/>
    <s v="IDL"/>
    <s v="Carlos Gilberto Chavez Gonzalez (1009044)"/>
    <s v="Manuel Alejandro Torres Delgado (22349)"/>
    <s v="Ruben Cesar Nyul Vazquez (1975170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06-09-04T00:00:00"/>
    <d v="2026-06-15T00:00:00"/>
    <n v="19.791780821917808"/>
  </r>
  <r>
    <n v="3002710"/>
    <s v="Sandra Lizbeth Becerra Mata"/>
    <s v="Regular"/>
    <s v="Direct"/>
    <s v="Materials Lead "/>
    <m/>
    <x v="0"/>
    <s v="Control de producción"/>
    <s v="Carlos Gustavo Alvarez Garcia (26754)"/>
    <s v="Eric Saul Espinoza Villegas (1003669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1-01-21T00:00:00"/>
    <d v="2026-06-15T00:00:00"/>
    <n v="5.4"/>
  </r>
  <r>
    <n v="4070341"/>
    <s v="Angel Emmanuel Sandoval Mendez"/>
    <s v="Regular"/>
    <s v="Direct"/>
    <s v="Material Handler "/>
    <m/>
    <x v="0"/>
    <s v="Control de producción"/>
    <s v="Carlos Gustavo Alvarez Garcia (26754)"/>
    <s v="Eric Saul Espinoza Villegas (1003669)"/>
    <s v="Veronica Judith Coss y Leon Gonzalez (1018211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13T00:00:00"/>
    <d v="2026-06-15T00:00:00"/>
    <n v="3.6739726027397261"/>
  </r>
  <r>
    <n v="1127660"/>
    <s v="Carlos Augusto Agredano Ornelas"/>
    <s v="Regular"/>
    <s v="Direct"/>
    <s v="Operations Manager "/>
    <m/>
    <x v="1"/>
    <s v="SMT"/>
    <s v="Carlos Toscano Vazquez (1006179)"/>
    <s v="Oscar Daniel Ocampo de la Barrera (1013610)"/>
    <s v="Ricardo Lozano Malacara (34385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4-26T00:00:00"/>
    <d v="2026-06-15T00:00:00"/>
    <n v="5.13972602739726"/>
  </r>
  <r>
    <n v="1158107"/>
    <s v="Nohemi Guadalupe Cruz Laureano"/>
    <s v="Regular"/>
    <s v="Direct"/>
    <s v="Production Supervisor "/>
    <m/>
    <x v="1"/>
    <s v="SMT"/>
    <s v="Carlos Toscano Vazquez (1006179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2-07-11T00:00:00"/>
    <d v="2026-06-15T00:00:00"/>
    <n v="3.9315068493150687"/>
  </r>
  <r>
    <n v="1167876"/>
    <s v="Erika Lizette Guerrero Martinez"/>
    <s v="Regular"/>
    <s v="Direct"/>
    <s v="Associate Production Supervisor "/>
    <m/>
    <x v="1"/>
    <s v="SMT"/>
    <s v="Carlos Toscano Vazquez (1006179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31T00:00:00"/>
    <d v="2026-06-15T00:00:00"/>
    <n v="3.6246575342465754"/>
  </r>
  <r>
    <n v="1176209"/>
    <s v="Luis Gaytan Ramos"/>
    <s v="Regular"/>
    <s v="Direct"/>
    <s v="Associate Production Supervisor "/>
    <m/>
    <x v="1"/>
    <s v="SMT"/>
    <s v="Carlos Toscano Vazquez (1006179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21T00:00:00"/>
    <d v="2026-06-15T00:00:00"/>
    <n v="3.2383561643835614"/>
  </r>
  <r>
    <n v="22845"/>
    <s v="Arturo Sandoval Briseño"/>
    <s v="Regular"/>
    <s v="Direct"/>
    <s v="Production Supervisor "/>
    <m/>
    <x v="1"/>
    <s v="SMT"/>
    <s v="Carlos Toscano Vazquez (1006179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9-06-22T00:00:00"/>
    <d v="2026-06-15T00:00:00"/>
    <n v="16.991780821917807"/>
  </r>
  <r>
    <n v="32670"/>
    <s v="Andres Ignacio Castañon Rodriguez"/>
    <s v="Regular"/>
    <s v="Direct"/>
    <s v="Production Supervisor "/>
    <m/>
    <x v="1"/>
    <s v="SMT"/>
    <s v="Carlos Toscano Vazquez (1006179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Support [Primary Function]"/>
    <d v="2006-07-31T00:00:00"/>
    <d v="2026-06-15T00:00:00"/>
    <n v="19.887671232876713"/>
  </r>
  <r>
    <n v="33731"/>
    <s v="Rafael Cortes Larios"/>
    <s v="Regular"/>
    <s v="Direct"/>
    <s v="Production Manager "/>
    <m/>
    <x v="1"/>
    <s v="SMT"/>
    <s v="Carlos Toscano Vazquez (1006179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10-17T00:00:00"/>
    <d v="2026-06-15T00:00:00"/>
    <n v="9.6657534246575345"/>
  </r>
  <r>
    <n v="927513"/>
    <s v="Luis Ernesto Montes Vazquez"/>
    <s v="Regular"/>
    <s v="Direct"/>
    <s v="Associate Production Supervisor "/>
    <m/>
    <x v="1"/>
    <s v="SMT"/>
    <s v="Carlos Toscano Vazquez (1006179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5-06-08T00:00:00"/>
    <d v="2026-06-15T00:00:00"/>
    <n v="11.027397260273972"/>
  </r>
  <r>
    <n v="960934"/>
    <s v="Daniel Abraham Humberto Sánchez García"/>
    <s v="Regular"/>
    <s v="Direct"/>
    <s v="Production Supervisor "/>
    <m/>
    <x v="1"/>
    <s v="SMT"/>
    <s v="Carlos Toscano Vazquez (1006179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Support [Primary Function]"/>
    <d v="2022-04-04T00:00:00"/>
    <d v="2026-06-15T00:00:00"/>
    <n v="4.2"/>
  </r>
  <r>
    <n v="967653"/>
    <s v="Karla Yamirel Lemus Osuna"/>
    <s v="Regular"/>
    <s v="Direct"/>
    <s v="Associate Production Supervisor "/>
    <m/>
    <x v="1"/>
    <s v="SMT"/>
    <s v="Carlos Toscano Vazquez (1006179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11T00:00:00"/>
    <d v="2026-06-15T00:00:00"/>
    <n v="9.5890410958904104E-2"/>
  </r>
  <r>
    <n v="1095478"/>
    <s v="Dante Obed Torres Ruvalcaba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5-20T00:00:00"/>
    <d v="2026-06-15T00:00:00"/>
    <n v="7.0767123287671234"/>
  </r>
  <r>
    <n v="1150658"/>
    <s v="Cesar Alonso Calderon Lopez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04T00:00:00"/>
    <d v="2026-06-15T00:00:00"/>
    <n v="4.2"/>
  </r>
  <r>
    <n v="1154667"/>
    <s v="Adrian Quintero Alvizo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5-23T00:00:00"/>
    <d v="2026-06-15T00:00:00"/>
    <n v="4.065753424657534"/>
  </r>
  <r>
    <n v="1157724"/>
    <s v="Sonia Isela Hernandez Guerrero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7-04T00:00:00"/>
    <d v="2026-06-15T00:00:00"/>
    <n v="3.9506849315068493"/>
  </r>
  <r>
    <n v="1169388"/>
    <s v="Jesus Abraham Ortiz Lara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1-23T00:00:00"/>
    <d v="2026-06-15T00:00:00"/>
    <n v="3.5616438356164384"/>
  </r>
  <r>
    <n v="1174289"/>
    <s v="Jesus Eduardo Alatorre Hernandez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74352"/>
    <s v="Jonathan Angeles Quiterio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82179"/>
    <s v="Fernando Daniel Covarrubias Ornelas"/>
    <s v="Regular"/>
    <s v="Direct"/>
    <s v="Failure Analysis Technician "/>
    <m/>
    <x v="6"/>
    <s v="Diagnóstico"/>
    <s v="Catalina Veronica Torres Quiroga (38341)"/>
    <s v="Rogelio Guzman Sanchez (1173106)"/>
    <s v="Ricardo Lozano Malacara (3438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9-04T00:00:00"/>
    <d v="2026-06-15T00:00:00"/>
    <n v="2.7808219178082192"/>
  </r>
  <r>
    <n v="1196935"/>
    <s v="Irma Yamile Ortega Ortega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14T00:00:00"/>
    <d v="2026-06-15T00:00:00"/>
    <n v="1.6684931506849314"/>
  </r>
  <r>
    <n v="19156"/>
    <s v="Maria Esther Sanchez Haro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12-09T00:00:00"/>
    <d v="2026-06-15T00:00:00"/>
    <n v="6.5205479452054798"/>
  </r>
  <r>
    <n v="34301"/>
    <s v="Jorge Gonzalez Carrillo"/>
    <s v="Regular"/>
    <s v="Direct"/>
    <s v="Failure Analysis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5-06-29T00:00:00"/>
    <d v="2026-06-15T00:00:00"/>
    <n v="10.96986301369863"/>
  </r>
  <r>
    <n v="4014359"/>
    <s v="Veronica Guardado Paredes"/>
    <s v="Regular"/>
    <s v="Direct"/>
    <s v="Assembler "/>
    <m/>
    <x v="6"/>
    <s v="Diagnóstico"/>
    <s v="Catalina Veronica Torres Quiroga (38341)"/>
    <s v="Rogelio Guzman Sanchez (1173106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4T00:00:00"/>
    <d v="2026-06-15T00:00:00"/>
    <n v="1.9753424657534246"/>
  </r>
  <r>
    <n v="4037623"/>
    <s v="Evelyn Estefania Gutierrez Veliz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5-13T00:00:00"/>
    <d v="2026-06-15T00:00:00"/>
    <n v="5.0931506849315067"/>
  </r>
  <r>
    <n v="4124224"/>
    <s v="Andrea Cortez Rivera"/>
    <s v="Fixed Term"/>
    <s v="Direct"/>
    <s v="Assembler "/>
    <m/>
    <x v="6"/>
    <s v="Diagnóstico"/>
    <s v="Catalina Veronica Torres Quiroga (38341)"/>
    <s v="Rogelio Guzman Sanchez (1173106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63378"/>
    <s v="Jose Enrique Mora Pacheco"/>
    <s v="Regular"/>
    <s v="Direct"/>
    <s v="Debug Technician "/>
    <m/>
    <x v="6"/>
    <s v="Diagnóstico"/>
    <s v="Catalina Veronica Torres Quiroga (38341)"/>
    <s v="Rogelio Guzman Sanchez (1173106)"/>
    <s v="Ricardo Lozano Malacara (34385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4-12-19T00:00:00"/>
    <d v="2026-06-15T00:00:00"/>
    <n v="1.4876712328767123"/>
  </r>
  <r>
    <n v="584977"/>
    <s v="Jorge Andres Rivera Diaz"/>
    <s v="Regular"/>
    <s v="Indirect"/>
    <s v="Process Engineer "/>
    <m/>
    <x v="4"/>
    <s v="NPI"/>
    <s v="Christian Jesus Gonzalez Iñiguez (21810)"/>
    <s v="Abraham Sinuhe Garcia Valencia (2442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9-19T00:00:00"/>
    <d v="2026-06-15T00:00:00"/>
    <n v="3.7397260273972601"/>
  </r>
  <r>
    <n v="1020820"/>
    <s v="Elizabet Cesilia Ayala Vidal"/>
    <s v="Regular"/>
    <s v="Direct"/>
    <s v="Engineering Technician "/>
    <m/>
    <x v="5"/>
    <s v="Industrial "/>
    <s v="Christian Jonathan Velázquez Lucano (1180344)"/>
    <s v="Marco Antonio Meza Mancilla (58626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7-03T00:00:00"/>
    <d v="2026-06-15T00:00:00"/>
    <n v="8.956164383561644"/>
  </r>
  <r>
    <n v="1174356"/>
    <s v="Sergio Alejandro Ramos Carbajal"/>
    <s v="Regular"/>
    <s v="Direct"/>
    <s v="Engineering Technician "/>
    <m/>
    <x v="5"/>
    <s v="Industrial "/>
    <s v="Christian Jonathan Velázquez Lucano (1180344)"/>
    <s v="Marco Antonio Meza Mancilla (586265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75405"/>
    <s v="Miguel Cuautli Guevara"/>
    <s v="Regular"/>
    <s v="Direct"/>
    <s v="Engineering Technician "/>
    <m/>
    <x v="5"/>
    <s v="Industrial "/>
    <s v="Christian Jonathan Velázquez Lucano (1180344)"/>
    <s v="Marco Antonio Meza Mancilla (58626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06T00:00:00"/>
    <d v="2026-06-15T00:00:00"/>
    <n v="3.2794520547945205"/>
  </r>
  <r>
    <n v="1209601"/>
    <s v="Luis Eduardo Gonzalez Alarcon"/>
    <s v="Regular"/>
    <s v="Direct"/>
    <s v="Engineering Technician "/>
    <m/>
    <x v="5"/>
    <s v="Industrial "/>
    <s v="Christian Jonathan Velázquez Lucano (1180344)"/>
    <s v="Marco Antonio Meza Mancilla (58626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6-09T00:00:00"/>
    <d v="2026-06-15T00:00:00"/>
    <n v="1.0164383561643835"/>
  </r>
  <r>
    <n v="569394"/>
    <s v="Alejandra Camacho Alvarez"/>
    <s v="Regular"/>
    <s v="Direct"/>
    <s v="Process Engineering Technician "/>
    <m/>
    <x v="5"/>
    <s v="Industrial "/>
    <s v="Christian Jonathan Velázquez Lucano (1180344)"/>
    <s v="Marco Antonio Meza Mancilla (58626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10-12T00:00:00"/>
    <d v="2026-06-15T00:00:00"/>
    <n v="5.6767123287671231"/>
  </r>
  <r>
    <n v="29576"/>
    <s v="Maria Gabriela Mendoza Barajas"/>
    <s v="Regular"/>
    <s v="Indirect"/>
    <s v="Operations Training "/>
    <m/>
    <x v="4"/>
    <s v="IDL"/>
    <s v="Claudia Belen Garcia Lerena (31551)"/>
    <s v="Juan Carlos Tapia Lomeli (25276)"/>
    <s v="Jose Santiago Ortega Limon (1181033)"/>
    <s v="Gdl 3"/>
    <s v="Bldg 29"/>
    <n v="5700"/>
    <s v="MFG North Guad, MEX 300-Flextronics Manufacturing Mex, S.A. de C.V.-Philo Cloud-CLOUD SERVER &amp; S-PCBA_GUAD_300-Philo VLP [Customer Dimensions]"/>
    <s v="MX-GDL-Guad North CEC-Support [Primary Function]"/>
    <d v="2017-02-27T00:00:00"/>
    <d v="2026-06-15T00:00:00"/>
    <n v="9.3013698630136989"/>
  </r>
  <r>
    <n v="912884"/>
    <s v="Irene Karina Partida Quintero"/>
    <s v="Regular"/>
    <s v="Indirect"/>
    <s v="Operations Training "/>
    <m/>
    <x v="4"/>
    <s v="IDL"/>
    <s v="Claudia Belen Garcia Lerena (31551)"/>
    <s v="Juan Carlos Tapia Lomeli (25276)"/>
    <s v="Jose Santiago Ortega Limon (1181033)"/>
    <s v="Gdl 3"/>
    <s v="Bldg 29"/>
    <n v="5700"/>
    <s v="MFG North Guad, MEX 300-Flextronics Manufacturing Mex, S.A. de C.V.-Philo Cloud-CLOUD SERVER &amp; S-PCBA_GUAD_300-Philo VLP [Customer Dimensions]"/>
    <s v="MX-GDL-Guad North CEC-Support [Primary Function]"/>
    <d v="2016-05-16T00:00:00"/>
    <d v="2026-06-15T00:00:00"/>
    <n v="10.087671232876712"/>
  </r>
  <r>
    <n v="1008099"/>
    <s v="Jesus Fernando Andrade Cabral"/>
    <s v="Regular"/>
    <s v="Direct"/>
    <s v="Material Handler "/>
    <m/>
    <x v="0"/>
    <s v="Control de producción"/>
    <s v="Cristian Alejandro Gonzalez Mora (4089255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12-26T00:00:00"/>
    <d v="2026-06-15T00:00:00"/>
    <n v="3.4712328767123286"/>
  </r>
  <r>
    <n v="28155"/>
    <s v="Ma. Ofelia Lopez Fonseca"/>
    <s v="Regular"/>
    <s v="Direct"/>
    <s v="Material Handler "/>
    <m/>
    <x v="0"/>
    <s v="Control de producción"/>
    <s v="Cristian Alejandro Gonzalez Mora (4089255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8-02-11T00:00:00"/>
    <d v="2026-06-15T00:00:00"/>
    <n v="18.353424657534248"/>
  </r>
  <r>
    <n v="4124048"/>
    <s v="Joel Enrique Del Castillo Gonzalez"/>
    <s v="Fixed Term"/>
    <s v="Direct"/>
    <s v="Material Handler "/>
    <m/>
    <x v="0"/>
    <s v="Control de producción"/>
    <s v="Cristian Alejandro Gonzalez Mora (4089255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032408"/>
    <s v="Juan Diego Ramos Macias"/>
    <s v="Regular"/>
    <s v="Direct"/>
    <s v="Quality Auditor "/>
    <m/>
    <x v="3"/>
    <s v="RMAs"/>
    <s v="Cristina Netzayet Muñoz De la Cruz (983069)"/>
    <s v="Luis Rafael Camacho Torres (851676)"/>
    <s v="Omar Lozano Rodriguez (107096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1-21T00:00:00"/>
    <d v="2026-06-15T00:00:00"/>
    <n v="5.4"/>
  </r>
  <r>
    <n v="4090988"/>
    <s v="Ana Paula Francisco Castillo"/>
    <s v="Regular"/>
    <s v="Direct"/>
    <s v="Quality Auditor "/>
    <m/>
    <x v="3"/>
    <s v="RMAs"/>
    <s v="Cristina Netzayet Muñoz De la Cruz (983069)"/>
    <s v="Luis Rafael Camacho Torres (851676)"/>
    <s v="Omar Lozano Rodriguez (107096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6-22T00:00:00"/>
    <d v="2026-06-15T00:00:00"/>
    <n v="2.9835616438356163"/>
  </r>
  <r>
    <n v="4102296"/>
    <s v="Areli Alderete Serapio"/>
    <s v="Regular"/>
    <s v="Direct"/>
    <s v="Quality Auditor "/>
    <m/>
    <x v="3"/>
    <s v="RMAs"/>
    <s v="Cristina Netzayet Muñoz De la Cruz (983069)"/>
    <s v="Luis Rafael Camacho Torres (851676)"/>
    <s v="Omar Lozano Rodriguez (107096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1T00:00:00"/>
    <d v="2026-06-15T00:00:00"/>
    <n v="1.9561643835616438"/>
  </r>
  <r>
    <n v="1183072"/>
    <s v="Luis Fernando Corona Jauregui"/>
    <s v="Regular"/>
    <s v="Direct"/>
    <s v="Process Engineering Technician "/>
    <m/>
    <x v="2"/>
    <s v="Procesos"/>
    <s v="Crystal Azucena Rodriguez Gonzalez (1183229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9-25T00:00:00"/>
    <d v="2026-06-15T00:00:00"/>
    <n v="2.7232876712328768"/>
  </r>
  <r>
    <n v="1192823"/>
    <s v="Eduardo Varela Garcia"/>
    <s v="Regular"/>
    <s v="Direct"/>
    <s v="Process Engineering Technician "/>
    <m/>
    <x v="2"/>
    <s v="Procesos"/>
    <s v="Crystal Azucena Rodriguez Gonzalez (1183229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1234016"/>
    <s v="Erick Roberto Perez Estrada"/>
    <s v="Regular"/>
    <s v="Direct"/>
    <s v="Process Engineering Technician "/>
    <m/>
    <x v="2"/>
    <s v="Procesos"/>
    <s v="Crystal Azucena Rodriguez Gonzalez (1183229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15T00:00:00"/>
    <d v="2026-06-15T00:00:00"/>
    <n v="0"/>
  </r>
  <r>
    <n v="1013604"/>
    <s v="Gustavo Rodrigo Peña Ramos"/>
    <s v="Regular"/>
    <s v="Indirect"/>
    <s v="Process Engineer "/>
    <m/>
    <x v="4"/>
    <s v="IDL"/>
    <s v="Daniel Alejandro Zamora Avalos (1182904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7-05-08T00:00:00"/>
    <d v="2026-06-15T00:00:00"/>
    <n v="9.1095890410958908"/>
  </r>
  <r>
    <n v="1125917"/>
    <s v="Uciel Santiago Mendoza"/>
    <s v="Regular"/>
    <s v="Direct"/>
    <s v="Associate Production Supervisor "/>
    <m/>
    <x v="2"/>
    <s v="Procesos"/>
    <s v="Daniel Alejandro Zamora Avalos (118290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14T00:00:00"/>
    <d v="2026-06-15T00:00:00"/>
    <n v="1.6684931506849314"/>
  </r>
  <r>
    <n v="1183229"/>
    <s v="Crystal Azucena Rodriguez Gonzalez"/>
    <s v="Regular"/>
    <s v="Indirect"/>
    <s v="Process Engineer "/>
    <m/>
    <x v="4"/>
    <s v="IDL"/>
    <s v="Daniel Alejandro Zamora Avalos (1182904)"/>
    <s v="Juan Manuel Mendoza Vazquez (851159)"/>
    <s v="Monica Maria Carrillo Renteria (25040)"/>
    <s v="Gdl 1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25T00:00:00"/>
    <d v="2026-06-15T00:00:00"/>
    <n v="2.7232876712328768"/>
  </r>
  <r>
    <n v="1183242"/>
    <s v="Johanan Liseth González Ramírez"/>
    <s v="Regular"/>
    <s v="Direct"/>
    <s v="Process Engineering Technician "/>
    <m/>
    <x v="2"/>
    <s v="Procesos"/>
    <s v="Daniel Alejandro Zamora Avalos (118290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9-25T00:00:00"/>
    <d v="2026-06-15T00:00:00"/>
    <n v="2.7232876712328768"/>
  </r>
  <r>
    <n v="1211951"/>
    <s v="Karen Judith Ruiz Arevalo"/>
    <s v="Regular"/>
    <s v="Indirect"/>
    <s v="Process Engineer "/>
    <m/>
    <x v="4"/>
    <s v="IDL"/>
    <s v="Daniel Alejandro Zamora Avalos (1182904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7-07T00:00:00"/>
    <d v="2026-06-15T00:00:00"/>
    <n v="0.9397260273972603"/>
  </r>
  <r>
    <n v="1230875"/>
    <s v="Ricardo Delgado González"/>
    <s v="Regular"/>
    <s v="Indirect"/>
    <s v="Process Engineer "/>
    <m/>
    <x v="4"/>
    <s v="IDL"/>
    <s v="Daniel Alejandro Zamora Avalos (1182904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4-27T00:00:00"/>
    <d v="2026-06-15T00:00:00"/>
    <n v="0.13424657534246576"/>
  </r>
  <r>
    <n v="32905"/>
    <s v="Ramon Garcia Nuñez"/>
    <s v="Regular"/>
    <s v="Indirect"/>
    <s v="Process Engineer "/>
    <m/>
    <x v="4"/>
    <s v="IDL"/>
    <s v="Daniel Alejandro Zamora Avalos (1182904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11-08-15T00:00:00"/>
    <d v="2026-06-15T00:00:00"/>
    <n v="14.843835616438357"/>
  </r>
  <r>
    <n v="1177573"/>
    <s v="Eliot Eduardo Gaytan Garcia"/>
    <s v="Regular"/>
    <s v="Direct"/>
    <s v="Engineering Technician "/>
    <m/>
    <x v="7"/>
    <s v="Equipos"/>
    <s v="Daniel Hernandez Vallin (600327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24T00:00:00"/>
    <d v="2026-06-15T00:00:00"/>
    <n v="3.1452054794520548"/>
  </r>
  <r>
    <n v="579219"/>
    <s v="Gustavo Iran Baez Boeta"/>
    <s v="Regular"/>
    <s v="Direct"/>
    <s v="Engineering Technician "/>
    <m/>
    <x v="7"/>
    <s v="Equipos"/>
    <s v="Daniel Hernandez Vallin (600327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3-14T00:00:00"/>
    <d v="2026-06-15T00:00:00"/>
    <n v="10.260273972602739"/>
  </r>
  <r>
    <n v="29452"/>
    <s v="Guillermo Rodriguez Tapia"/>
    <s v="Regular"/>
    <s v="Direct"/>
    <s v="Warehouse Lead "/>
    <m/>
    <x v="8"/>
    <s v="Brigadista"/>
    <s v="David Rizo Vera (574310)"/>
    <s v="Luis Alberto Villarreal Delgado (1006198)"/>
    <s v="Adriana del Rocio Escoto Muñoz (817618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8-07-21T00:00:00"/>
    <d v="2026-06-15T00:00:00"/>
    <n v="17.912328767123288"/>
  </r>
  <r>
    <n v="4032822"/>
    <s v="Jazhiel Aldair Barrera Quezada"/>
    <s v="Regular"/>
    <s v="Direct"/>
    <s v="Warehouse Lead "/>
    <m/>
    <x v="8"/>
    <s v="Brigadista"/>
    <s v="David Rizo Vera (574310)"/>
    <s v="Luis Alberto Villarreal Delgado (1006198)"/>
    <s v="Adriana del Rocio Escoto Muñoz (817618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1-01-28T00:00:00"/>
    <d v="2026-06-15T00:00:00"/>
    <n v="5.3808219178082188"/>
  </r>
  <r>
    <n v="4038040"/>
    <s v="Michell Nazareth Campos Briseño"/>
    <s v="Regular"/>
    <s v="Direct"/>
    <s v="Assembler "/>
    <m/>
    <x v="8"/>
    <s v="Brigadista"/>
    <s v="David Rizo Vera (574310)"/>
    <s v="Luis Alberto Villarreal Delgado (1006198)"/>
    <s v="Adriana del Rocio Escoto Muñoz (817618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1-14T00:00:00"/>
    <d v="2026-06-15T00:00:00"/>
    <n v="3.5863013698630137"/>
  </r>
  <r>
    <n v="25507"/>
    <s v="Martha Jimenez Campos"/>
    <s v="Regular"/>
    <s v="Direct"/>
    <s v="Quality Auditor "/>
    <m/>
    <x v="3"/>
    <s v="Calidad"/>
    <s v="Elizabeth Garcia Chavez (1096155)"/>
    <s v="Patricia Guadalupe Vazquez Hurtado (1203876)"/>
    <s v="Ulises Noe Vega Arreola (926305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9-08-26T00:00:00"/>
    <d v="2026-06-15T00:00:00"/>
    <n v="6.8082191780821919"/>
  </r>
  <r>
    <n v="4104525"/>
    <s v="Liliana Varillas Cordero"/>
    <s v="Regular"/>
    <s v="Direct"/>
    <s v="Quality Auditor "/>
    <m/>
    <x v="3"/>
    <s v="Calidad"/>
    <s v="Elizabeth Garcia Chavez (1096155)"/>
    <s v="Patricia Guadalupe Vazquez Hurtado (1203876)"/>
    <s v="Ulises Noe Vega Arreola (92630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26T00:00:00"/>
    <d v="2026-06-15T00:00:00"/>
    <n v="1.8027397260273972"/>
  </r>
  <r>
    <n v="4112904"/>
    <s v="Nancy Alejandra Gabriel Morales"/>
    <s v="Regular"/>
    <s v="Direct"/>
    <s v="Quality Auditor "/>
    <m/>
    <x v="3"/>
    <s v="Calidad"/>
    <s v="Elizabeth Garcia Chavez (1096155)"/>
    <s v="Patricia Guadalupe Vazquez Hurtado (1203876)"/>
    <s v="Ulises Noe Vega Arreola (926305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06"/>
    <s v="Estefany Yesenia Rosales Romero"/>
    <s v="Regular"/>
    <s v="Direct"/>
    <s v="Quality Auditor "/>
    <m/>
    <x v="3"/>
    <s v="Calidad"/>
    <s v="Elizabeth Garcia Chavez (1096155)"/>
    <s v="Patricia Guadalupe Vazquez Hurtado (1203876)"/>
    <s v="Ulises Noe Vega Arreola (926305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83"/>
    <s v="Juan Pablo Davalos Reyes"/>
    <s v="Regular"/>
    <s v="Direct"/>
    <s v="Quality Auditor "/>
    <m/>
    <x v="3"/>
    <s v="Calidad"/>
    <s v="Elizabeth Garcia Chavez (1096155)"/>
    <s v="Patricia Guadalupe Vazquez Hurtado (1203876)"/>
    <s v="Ulises Noe Vega Arreola (926305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1175737"/>
    <s v="Diego Armando Mariscal Ramírez"/>
    <s v="Regular"/>
    <s v="Direct"/>
    <s v="Engineering Technician "/>
    <m/>
    <x v="2"/>
    <s v="Producto"/>
    <s v="Enrique Sebastián Saldaña Guerrero (1157915)"/>
    <s v="Carlos Antonio Gastelum Torres (967415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13T00:00:00"/>
    <d v="2026-06-15T00:00:00"/>
    <n v="3.2602739726027399"/>
  </r>
  <r>
    <n v="32291"/>
    <s v="Carlos Arturo Garcia Miranda"/>
    <s v="Regular"/>
    <s v="Direct"/>
    <s v="Engineering Technician "/>
    <m/>
    <x v="7"/>
    <s v="Equipos"/>
    <s v="Eric Joel Ramirez Rodriguez (31887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6-09-25T00:00:00"/>
    <d v="2026-06-15T00:00:00"/>
    <n v="19.734246575342464"/>
  </r>
  <r>
    <n v="25396"/>
    <s v="Julian Ricardo Michel Herran"/>
    <s v="Regular"/>
    <s v="Indirect"/>
    <s v="Equipment Maintenance Engineer "/>
    <m/>
    <x v="4"/>
    <s v="IDL"/>
    <s v="Eric Joel Ramirez Rodriguez (31887)"/>
    <s v="Fernando Eliseo Jimenez Santiago (1091628)"/>
    <s v="Monica Maria Carrillo Renteria (25040)"/>
    <s v="Gdl 3"/>
    <s v="Bldg 29"/>
    <n v="6900"/>
    <s v="MFG North Guad, MEX 300-Flextronics Manufacturing Mex, S.A. de C.V.-Philo Cloud-CLOUD SERVER &amp; S-PCBA_GUAD_300-Philo VLP [Customer Dimensions]"/>
    <s v="MX-GDL-Guad North CEC-Support [Primary Function]"/>
    <d v="2001-11-05T00:00:00"/>
    <d v="2026-06-15T00:00:00"/>
    <n v="24.624657534246577"/>
  </r>
  <r>
    <n v="949869"/>
    <s v="Carlos David Michel Flores"/>
    <s v="Regular"/>
    <s v="Indirect"/>
    <s v="Equipment Maintenance Engineer "/>
    <m/>
    <x v="4"/>
    <s v="IDL"/>
    <s v="Eric Joel Ramirez Rodriguez (31887)"/>
    <s v="Fernando Eliseo Jimenez Santiago (1091628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5-12-07T00:00:00"/>
    <d v="2026-06-15T00:00:00"/>
    <n v="10.528767123287672"/>
  </r>
  <r>
    <n v="963444"/>
    <s v="Jose Pedro Lopez Villavicencio"/>
    <s v="Regular"/>
    <s v="Indirect"/>
    <s v="Equipment Maintenance Engineer "/>
    <m/>
    <x v="4"/>
    <s v="IDL"/>
    <s v="Eric Joel Ramirez Rodriguez (31887)"/>
    <s v="Fernando Eliseo Jimenez Santiago (1091628)"/>
    <s v="Monica Maria Carrillo Renteria (25040)"/>
    <s v="Gdl 1"/>
    <s v="Bldg 29"/>
    <n v="6900"/>
    <s v="MFG North Guad, MEX 300-Flextronics Manufacturing Mex, S.A. de C.V.-Philo Cloud-CLOUD SERVER &amp; S-PCBA_GUAD_300-Philo VLP [Customer Dimensions]"/>
    <s v="MX-GDL-Guad North CEC-Support [Primary Function]"/>
    <d v="2016-07-18T00:00:00"/>
    <d v="2026-06-15T00:00:00"/>
    <n v="9.9150684931506845"/>
  </r>
  <r>
    <n v="25695"/>
    <s v="Maria Candelaria Limas Perez"/>
    <s v="Regular"/>
    <s v="Direct"/>
    <s v="Materials Lead "/>
    <m/>
    <x v="0"/>
    <s v="Control de producción"/>
    <s v="Eric Saul Espinoza Villegas (1003669)"/>
    <s v="Veronica Judith Coss y Leon Gonzalez (1018211)"/>
    <s v="Pedro Vargas Aviña (992296)"/>
    <s v="Mix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0-08-07T00:00:00"/>
    <d v="2026-06-15T00:00:00"/>
    <n v="25.87123287671233"/>
  </r>
  <r>
    <n v="26754"/>
    <s v="Carlos Gustavo Alvarez Garcia"/>
    <s v="Regular"/>
    <s v="Direct"/>
    <s v="Materials Lead "/>
    <m/>
    <x v="0"/>
    <s v="Control de producción"/>
    <s v="Eric Saul Espinoza Villegas (1003669)"/>
    <s v="Veronica Judith Coss y Leon Gonzalez (1018211)"/>
    <s v="Pedro Vargas Aviña (992296)"/>
    <s v="Mix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6-10-30T00:00:00"/>
    <d v="2026-06-15T00:00:00"/>
    <n v="19.638356164383563"/>
  </r>
  <r>
    <n v="986429"/>
    <s v="Jose Cruz Gonzalez Gonzalez"/>
    <s v="Regular"/>
    <s v="Direct"/>
    <s v="Materials Lead "/>
    <m/>
    <x v="0"/>
    <s v="Control de producción"/>
    <s v="Eric Saul Espinoza Villegas (1003669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10-25T00:00:00"/>
    <d v="2026-06-15T00:00:00"/>
    <n v="9.6438356164383556"/>
  </r>
  <r>
    <n v="1085420"/>
    <s v="Mario Alberto Oseguera Zuñiga"/>
    <s v="Regular"/>
    <s v="Indirect"/>
    <s v="Test Engineer "/>
    <m/>
    <x v="4"/>
    <s v="IDL"/>
    <s v="Erik Alejandro Ruiz Lopez (1183466)"/>
    <s v="Carlos Alberto Castañeda Muñoz (33755)"/>
    <s v="Rogelio Guzman Sanchez (1173106)"/>
    <s v="Gdl 1"/>
    <s v="Bldg 29"/>
    <n v="6900"/>
    <s v="MFG North Guad, MEX 300-Flextronics Manufacturing Mex, S.A. de C.V.-Philo Cloud-CLOUD SERVER &amp; S-PCBA_GUAD_300-Philo VLP [Customer Dimensions]"/>
    <s v="MX-GDL-Guad North CEC-Support [Primary Function]"/>
    <d v="2018-11-05T00:00:00"/>
    <d v="2026-06-15T00:00:00"/>
    <n v="7.6136986301369864"/>
  </r>
  <r>
    <n v="1126210"/>
    <s v="Eduardo Roberto Mendoza Romero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05T00:00:00"/>
    <d v="2026-06-15T00:00:00"/>
    <n v="5.1972602739726028"/>
  </r>
  <r>
    <n v="1165438"/>
    <s v="Edson Guerrero Meraz"/>
    <s v="Regular"/>
    <s v="Indirect"/>
    <s v="Test Engineer "/>
    <m/>
    <x v="4"/>
    <s v="IDL"/>
    <s v="Erik Alejandro Ruiz Lopez (1183466)"/>
    <s v="Carlos Alberto Castañeda Muñoz (33755)"/>
    <s v="Rogelio Guzman Sanchez (1173106)"/>
    <s v="Gdl 1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22-10-03T00:00:00"/>
    <d v="2026-06-15T00:00:00"/>
    <n v="3.7013698630136984"/>
  </r>
  <r>
    <n v="1171493"/>
    <s v="Luis Enrique Hernandez de la Paz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9-08T00:00:00"/>
    <d v="2026-06-15T00:00:00"/>
    <n v="0.76712328767123283"/>
  </r>
  <r>
    <n v="1228566"/>
    <s v="Luis Angel Montiel Moreno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1232567"/>
    <s v="Vicente Muñoz Sanchez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18T00:00:00"/>
    <d v="2026-06-15T00:00:00"/>
    <n v="7.6712328767123292E-2"/>
  </r>
  <r>
    <n v="1234022"/>
    <s v="Francisco David Palomares Cabrera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15T00:00:00"/>
    <d v="2026-06-15T00:00:00"/>
    <n v="0"/>
  </r>
  <r>
    <n v="1234056"/>
    <s v="Fernando Antonio Cortes Covarrubias"/>
    <s v="Regular"/>
    <s v="Direct"/>
    <s v="Test Technician "/>
    <m/>
    <x v="6"/>
    <s v="Pruebas"/>
    <s v="Erik Alejandro Ruiz Lopez (118346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15T00:00:00"/>
    <d v="2026-06-15T00:00:00"/>
    <n v="0"/>
  </r>
  <r>
    <n v="1001752"/>
    <s v="Mario Antonio Ojeda Garci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007445"/>
    <s v="Patricia Guadalupe Lopez Lop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6T00:00:00"/>
    <d v="2026-06-15T00:00:00"/>
    <n v="1.7178082191780821"/>
  </r>
  <r>
    <n v="1008694"/>
    <s v="Elisa Flores Gonzal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009061"/>
    <s v="Rosalva Medina Lop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7-04-17T00:00:00"/>
    <d v="2026-06-15T00:00:00"/>
    <n v="9.1671232876712327"/>
  </r>
  <r>
    <n v="28159"/>
    <s v="Irene Cisneros Haro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8-06-18T00:00:00"/>
    <d v="2026-06-15T00:00:00"/>
    <n v="7.9972602739726026"/>
  </r>
  <r>
    <n v="25696"/>
    <s v="Susana Magdalena Reyes Castellanos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0-08-07T00:00:00"/>
    <d v="2026-06-15T00:00:00"/>
    <n v="25.87123287671233"/>
  </r>
  <r>
    <n v="30036"/>
    <s v="Juan Pablo Lopez Ramir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9-03-23T00:00:00"/>
    <d v="2026-06-15T00:00:00"/>
    <n v="17.241095890410961"/>
  </r>
  <r>
    <n v="3006193"/>
    <s v="Mayra Lizette Luna Hernand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34891"/>
    <s v="Salvador Montiel Llamas"/>
    <s v="Regular"/>
    <s v="Direct"/>
    <s v="Engineering Technician "/>
    <m/>
    <x v="1"/>
    <s v="SMT"/>
    <s v="Erika Lizette Guerrero Martinez (1167876)"/>
    <s v="Carlos Toscano Vazquez (1006179)"/>
    <s v="Oscar Daniel Ocampo de la Barrera (101361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1999-11-29T00:00:00"/>
    <d v="2026-06-15T00:00:00"/>
    <n v="26.561643835616437"/>
  </r>
  <r>
    <n v="4004444"/>
    <s v="RAMON ANTONIO BUENROSTRO IBARRA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6-16T00:00:00"/>
    <d v="2026-06-15T00:00:00"/>
    <n v="4"/>
  </r>
  <r>
    <n v="4014918"/>
    <s v="Juan Carlos Maldonado Acosta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23462"/>
    <s v="Luis Miguel Hernandez Sandoval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34978"/>
    <s v="Lucero Guadalupe Lucas Carlos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52998"/>
    <s v="Yolanda Reveles Nuñ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53898"/>
    <s v="Ana Isabel Santos Torres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59378"/>
    <s v="Gloria Villarreal Gonzalez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6-06T00:00:00"/>
    <d v="2026-06-15T00:00:00"/>
    <n v="4.0273972602739727"/>
  </r>
  <r>
    <n v="4070676"/>
    <s v="Jose Ismael Ramirez Mendoza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78418"/>
    <s v="Gisell Guadalupe Santiago Rodrigu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089687"/>
    <s v="Jasmin Aguilar Hernand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96061"/>
    <s v="Maria Guadalupe Hernandez Contreras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00698"/>
    <s v="Yesenia Adelaida Huesca Saucedo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103340"/>
    <s v="Maria Guadalupe Arevalos Gom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03342"/>
    <s v="Angelica Sarahi Sanchez Mancilla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18813"/>
    <s v="Lesly Guadalupe Angel Barragan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1086"/>
    <s v="Angeles Isabel Rodriguez Gutierr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090"/>
    <s v="Jose Alfredo Galindo Aguilar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1"/>
    <s v="Samantha Sarahi Ramirez Marquez"/>
    <s v="Regular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50"/>
    <s v="Elvira Elizabeth Negrete Franc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68"/>
    <s v="Nora Daniela Rocha Naranj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80"/>
    <s v="Elena Jocelyn Davila Per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11"/>
    <s v="Yessenia De Jesus Contreras Muño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72"/>
    <s v="Maria Guadalupe Sandoval Valenzuel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2973"/>
    <s v="Viviana Abigail Macedo Calvill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2995"/>
    <s v="Graciela Ramirez Gom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2999"/>
    <s v="Luisa Josseline Flores Plascenci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030"/>
    <s v="Alondra Fernanda Sarco Serran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173"/>
    <s v="Adriana Corona Ruvalcab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23T00:00:00"/>
    <d v="2026-06-15T00:00:00"/>
    <n v="0.14520547945205478"/>
  </r>
  <r>
    <n v="4124053"/>
    <s v="Belia Denis Mondragon Gom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054"/>
    <s v="Eberardo Parra Hernand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055"/>
    <s v="Fryda Lucrecia Carrion Arand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107"/>
    <s v="Elizabeth Anahi Castillon Moren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09"/>
    <s v="Dinora Isabel Martinez Domingu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10"/>
    <s v="Karla Janete Guzman Barrer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12"/>
    <s v="Norely Montserrat Osorio Rodrigu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13"/>
    <s v="Daniela Citlaly Guillen Ventur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16"/>
    <s v="Ismael Alejandro Gonzalez Ramir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38"/>
    <s v="Karla Roxana Urbina Sanch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40"/>
    <s v="Norma Angelica Escalante Sanch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43"/>
    <s v="Yaneth Anahi Roman Navarr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207"/>
    <s v="Leonardo Javier Nuñez Garci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08"/>
    <s v="Victor Ruben Nieves Algab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09"/>
    <s v="Airam Yajali Perez Garci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13"/>
    <s v="Mayra Vianey Flores Plascenci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16"/>
    <s v="Guadalupe Ayala Trujillo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9"/>
    <s v="Karen Azucena Hernandez Guzman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1"/>
    <s v="Fatima De Lourdes Vargas Cervantes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2"/>
    <s v="Marely Jackelin Chavez Pug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3"/>
    <s v="Oscar Ulises Morales Sanch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9"/>
    <s v="Esperanza Urbina Sanch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12"/>
    <s v="Edith Deyanira Guareño Jimen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97"/>
    <s v="Luis Angel Cordero Coron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0"/>
    <s v="Bertha Lilia Aguirre Rodriguez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1"/>
    <s v="Jonathan Uriel Cordero Corona"/>
    <s v="Fixed Term"/>
    <s v="Direct"/>
    <s v="Assemble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554820"/>
    <s v="MARIA ISABEL VARGAS CAMARENA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7T00:00:00"/>
    <d v="2026-06-15T00:00:00"/>
    <n v="1.9671232876712328"/>
  </r>
  <r>
    <n v="602572"/>
    <s v="Virginia Rodriguez Cortez"/>
    <s v="Regular"/>
    <s v="Direct"/>
    <s v="SMT Operator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20T00:00:00"/>
    <d v="2026-06-15T00:00:00"/>
    <n v="1.2383561643835617"/>
  </r>
  <r>
    <n v="966149"/>
    <s v="Gabriel de Jesus Gonzalez Garcia"/>
    <s v="Regular"/>
    <s v="Direct"/>
    <s v="Lead "/>
    <m/>
    <x v="1"/>
    <s v="SMT"/>
    <s v="Erika Lizette Guerrero Martinez (1167876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7-11T00:00:00"/>
    <d v="2026-06-15T00:00:00"/>
    <n v="3.9315068493150687"/>
  </r>
  <r>
    <n v="1182120"/>
    <s v="Luis Fermin Vasquez Lugo"/>
    <s v="Regular"/>
    <s v="Indirect"/>
    <s v="Test Engineer "/>
    <m/>
    <x v="4"/>
    <s v="IDL"/>
    <s v="Ernesto Alonso Sanchez (22810)"/>
    <s v="Carlos Alberto Castañeda Muñoz (33755)"/>
    <s v="Rogelio Guzman Sanchez (1173106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04T00:00:00"/>
    <d v="2026-06-15T00:00:00"/>
    <n v="2.7808219178082192"/>
  </r>
  <r>
    <n v="1008666"/>
    <s v="Patricia Ruiz Calderon"/>
    <s v="Regular"/>
    <s v="Direct"/>
    <s v="Inspection &amp; Repair Operato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05-13T00:00:00"/>
    <d v="2026-06-15T00:00:00"/>
    <n v="7.095890410958904"/>
  </r>
  <r>
    <n v="1171150"/>
    <s v="Ezbehidy Aridahy Ramírez García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Support [Primary Function]"/>
    <d v="2022-12-12T00:00:00"/>
    <d v="2026-06-15T00:00:00"/>
    <n v="3.5095890410958903"/>
  </r>
  <r>
    <n v="1209628"/>
    <s v="Cinthya Mercedes Rodríguez Ramir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6-09T00:00:00"/>
    <d v="2026-06-15T00:00:00"/>
    <n v="1.0164383561643835"/>
  </r>
  <r>
    <n v="1231400"/>
    <s v="Aldo Aaron Davalos Mena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29003"/>
    <s v="Abigail Rico Dominguez"/>
    <s v="Regular"/>
    <s v="Direct"/>
    <s v="Inspection &amp; Repair Operato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6-02T00:00:00"/>
    <d v="2026-06-15T00:00:00"/>
    <n v="18.046575342465754"/>
  </r>
  <r>
    <n v="19950"/>
    <s v="Yamile Colis Gom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5-30T00:00:00"/>
    <d v="2026-06-15T00:00:00"/>
    <n v="10.049315068493151"/>
  </r>
  <r>
    <n v="3007637"/>
    <s v="Alfonso Saul Molina Ramos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0T00:00:00"/>
    <d v="2026-06-15T00:00:00"/>
    <n v="1.2657534246575342"/>
  </r>
  <r>
    <n v="36930"/>
    <s v="Javier Campos Espinoza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21-02-11T00:00:00"/>
    <d v="2026-06-15T00:00:00"/>
    <n v="5.3424657534246576"/>
  </r>
  <r>
    <n v="37470"/>
    <s v="Jesus Eliseo Garcia Garcia"/>
    <s v="Regular"/>
    <s v="Direct"/>
    <s v="Inspection &amp; Repair Operato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11-09T00:00:00"/>
    <d v="2026-06-15T00:00:00"/>
    <n v="9.6027397260273979"/>
  </r>
  <r>
    <n v="4013193"/>
    <s v="Pedro Alejandro Delgado Duran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24T00:00:00"/>
    <d v="2026-06-15T00:00:00"/>
    <n v="1.2273972602739727"/>
  </r>
  <r>
    <n v="4056518"/>
    <s v="Gloria Romero Martin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09T00:00:00"/>
    <d v="2026-06-15T00:00:00"/>
    <n v="1.515068493150685"/>
  </r>
  <r>
    <n v="4057793"/>
    <s v="Aram Jeter Vega Ortega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5-16T00:00:00"/>
    <d v="2026-06-15T00:00:00"/>
    <n v="4.0849315068493155"/>
  </r>
  <r>
    <n v="4063304"/>
    <s v="Guadalupe Andrade Evari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19T00:00:00"/>
    <d v="2026-06-15T00:00:00"/>
    <n v="1.5698630136986302"/>
  </r>
  <r>
    <n v="4063923"/>
    <s v="Carlos Omar Bautista Magallon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Support [Primary Function]"/>
    <d v="2022-08-11T00:00:00"/>
    <d v="2026-06-15T00:00:00"/>
    <n v="3.8465753424657536"/>
  </r>
  <r>
    <n v="4079576"/>
    <s v="Luis Mario Acosta Mora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26T00:00:00"/>
    <d v="2026-06-15T00:00:00"/>
    <n v="3.3863013698630136"/>
  </r>
  <r>
    <n v="4110730"/>
    <s v="Gil Alejandro Arjon Gonzalez"/>
    <s v="Fixed Term"/>
    <s v="Direct"/>
    <s v="Assemble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2997"/>
    <s v="Hector Eduardo Olivarria Gonzalez"/>
    <s v="Fixed Term"/>
    <s v="Direct"/>
    <s v="Assemble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026"/>
    <s v="Hector Manuel Diaz Gonzalez"/>
    <s v="Fixed Term"/>
    <s v="Direct"/>
    <s v="Assemble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027"/>
    <s v="Osvaldo Manuel Morales Perez"/>
    <s v="Fixed Term"/>
    <s v="Direct"/>
    <s v="Assembler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569261"/>
    <s v="Santiago Villafaña Gallegos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02T00:00:00"/>
    <d v="2026-06-15T00:00:00"/>
    <n v="1.5342465753424657"/>
  </r>
  <r>
    <n v="574093"/>
    <s v="Maria de los Angeles Rojas Hernand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-B29-CEC-Ops-Cisco [Primary Function]"/>
    <d v="2025-05-05T00:00:00"/>
    <d v="2026-06-15T00:00:00"/>
    <n v="1.1123287671232878"/>
  </r>
  <r>
    <n v="816618"/>
    <s v="Omar Jorge Camacho Chav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25T00:00:00"/>
    <d v="2026-06-15T00:00:00"/>
    <n v="1.5534246575342465"/>
  </r>
  <r>
    <n v="834847"/>
    <s v="Bety Sanchez Gutierr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Support [Primary Function]"/>
    <d v="2020-01-13T00:00:00"/>
    <d v="2026-06-15T00:00:00"/>
    <n v="6.4246575342465757"/>
  </r>
  <r>
    <n v="855275"/>
    <s v="Maria Guadalupe Alvarez Manilla Ramirez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6-02T00:00:00"/>
    <d v="2026-06-15T00:00:00"/>
    <n v="4.0383561643835613"/>
  </r>
  <r>
    <n v="900810"/>
    <s v="Joel Morales Salmeron"/>
    <s v="Regular"/>
    <s v="Direct"/>
    <s v="Repair Technician "/>
    <m/>
    <x v="2"/>
    <s v="Reparación"/>
    <s v="Evelyn Paola Loera Herrera (1193487)"/>
    <s v="Carlos Fabian Garcia Lopez (1183099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15-06-29T00:00:00"/>
    <d v="2026-06-15T00:00:00"/>
    <n v="10.96986301369863"/>
  </r>
  <r>
    <n v="23000"/>
    <s v="Jose Nieves Gutierrez Gutierrez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3-12-29T00:00:00"/>
    <d v="2026-06-15T00:00:00"/>
    <n v="22.476712328767125"/>
  </r>
  <r>
    <n v="3003401"/>
    <s v="Bryan Alejandro Beatris Nuñez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Support [Primary Function]"/>
    <d v="2018-03-01T00:00:00"/>
    <d v="2026-06-15T00:00:00"/>
    <n v="8.2958904109589042"/>
  </r>
  <r>
    <n v="4011124"/>
    <s v="MARIA DEL ROCIO RUBIO RUIZ"/>
    <s v="Regular"/>
    <s v="Direct"/>
    <s v="Material Expedite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1-30T00:00:00"/>
    <d v="2026-06-15T00:00:00"/>
    <n v="3.3753424657534246"/>
  </r>
  <r>
    <n v="4080336"/>
    <s v="Mario Alberto Cisneros Garcia"/>
    <s v="Regular"/>
    <s v="Direct"/>
    <s v="Material Expedite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2-02T00:00:00"/>
    <d v="2026-06-15T00:00:00"/>
    <n v="3.3671232876712329"/>
  </r>
  <r>
    <n v="582908"/>
    <s v="Luis Ernesto Aguirre Alvarez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1-11-22T00:00:00"/>
    <d v="2026-06-15T00:00:00"/>
    <n v="14.572602739726028"/>
  </r>
  <r>
    <n v="587351"/>
    <s v="Francisco Javier Romero Mendez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Support [Primary Function]"/>
    <d v="2026-04-20T00:00:00"/>
    <d v="2026-06-15T00:00:00"/>
    <n v="0.15342465753424658"/>
  </r>
  <r>
    <n v="921278"/>
    <s v="Gustavo Eduardo Lechuga Arroyo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2-29T00:00:00"/>
    <d v="2026-06-15T00:00:00"/>
    <n v="10.298630136986301"/>
  </r>
  <r>
    <n v="930752"/>
    <s v="Enrique Martinez Torres"/>
    <s v="Regular"/>
    <s v="Direct"/>
    <s v="Warehouse Supervisor "/>
    <m/>
    <x v="0"/>
    <s v="Almacén"/>
    <s v="Fatima Alejandra Hernandez Amezola (961675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Support [Primary Function]"/>
    <d v="2026-06-08T00:00:00"/>
    <d v="2026-06-15T00:00:00"/>
    <n v="1.9178082191780823E-2"/>
  </r>
  <r>
    <n v="1012907"/>
    <s v="Ricardo Souza Pulido"/>
    <s v="Regular"/>
    <s v="Indirect"/>
    <s v="Equipment Maintenance Manag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7-05-02T00:00:00"/>
    <d v="2026-06-15T00:00:00"/>
    <n v="9.1260273972602732"/>
  </r>
  <r>
    <n v="21858"/>
    <s v="Orlando Javier Ruiz Diaz"/>
    <s v="Regular"/>
    <s v="Indirect"/>
    <s v="Equipment Maintenance Engine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07-05-21T00:00:00"/>
    <d v="2026-06-15T00:00:00"/>
    <n v="19.082191780821919"/>
  </r>
  <r>
    <n v="23521"/>
    <s v="Jose Adan Najar Plasencia"/>
    <s v="Regular"/>
    <s v="Indirect"/>
    <s v="Equipment Maintenance Engineer "/>
    <m/>
    <x v="4"/>
    <s v="IDL"/>
    <s v="Fernando Eliseo Jimenez Santiago (1091628)"/>
    <s v="Monica Maria Carrillo Renteria (25040)"/>
    <s v="Ricardo Lozano Malacara (34385)"/>
    <s v="Gdl 3"/>
    <s v="Bldg 29"/>
    <n v="6900"/>
    <s v="MFG North Guad, MEX 300-Flextronics Manufacturing Mex, S.A. de C.V.-Philo Cloud-CLOUD SERVER &amp; S-PCBA_GUAD_300-Philo VLP [Customer Dimensions]"/>
    <s v="MX-GDL-Guad North CEC-Support [Primary Function]"/>
    <d v="1999-11-15T00:00:00"/>
    <d v="2026-06-15T00:00:00"/>
    <n v="26.6"/>
  </r>
  <r>
    <n v="31887"/>
    <s v="Eric Joel Ramirez Rodriguez"/>
    <s v="Regular"/>
    <s v="Indirect"/>
    <s v="Automation Engine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02-02-25T00:00:00"/>
    <d v="2026-06-15T00:00:00"/>
    <n v="24.317808219178083"/>
  </r>
  <r>
    <n v="600327"/>
    <s v="Daniel Hernandez Vallin"/>
    <s v="Regular"/>
    <s v="Indirect"/>
    <s v="Automation Engine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1-06-20T00:00:00"/>
    <d v="2026-06-15T00:00:00"/>
    <n v="14.997260273972604"/>
  </r>
  <r>
    <n v="952588"/>
    <s v="Ivan Ricardo Martinez Murillo"/>
    <s v="Regular"/>
    <s v="Indirect"/>
    <s v="Equipment Maintenance Engine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6-01-18T00:00:00"/>
    <d v="2026-06-15T00:00:00"/>
    <n v="10.413698630136986"/>
  </r>
  <r>
    <n v="992785"/>
    <s v="Paola Monserrath Torres Muñoz"/>
    <s v="Regular"/>
    <s v="Indirect"/>
    <s v="Automation Engineer "/>
    <m/>
    <x v="4"/>
    <s v="IDL"/>
    <s v="Fernando Eliseo Jimenez Santiago (1091628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16-12-26T00:00:00"/>
    <d v="2026-06-15T00:00:00"/>
    <n v="9.4739726027397264"/>
  </r>
  <r>
    <n v="4029255"/>
    <s v="Jorge Ezequiel Buendia Saldivar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32473"/>
    <s v="Ricardo Reyes Lopez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1-21T00:00:00"/>
    <d v="2026-06-15T00:00:00"/>
    <n v="5.4"/>
  </r>
  <r>
    <n v="4032490"/>
    <s v="Gustavo German Pineda Garcia"/>
    <s v="Regular"/>
    <s v="Direct"/>
    <s v="Lead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1-17T00:00:00"/>
    <d v="2026-06-15T00:00:00"/>
    <n v="4.4109589041095889"/>
  </r>
  <r>
    <n v="4057027"/>
    <s v="Alma Lilia Arellano Argand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058315"/>
    <s v="Luis Andres Fernandez Galvan"/>
    <s v="Regular"/>
    <s v="Direct"/>
    <s v="Lead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6-19T00:00:00"/>
    <d v="2026-06-15T00:00:00"/>
    <n v="2.9917808219178084"/>
  </r>
  <r>
    <n v="4084522"/>
    <s v="Isaac Hernandez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16T00:00:00"/>
    <d v="2026-06-15T00:00:00"/>
    <n v="3.2520547945205478"/>
  </r>
  <r>
    <n v="4096607"/>
    <s v="Antonio Martinez Huerta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8T00:00:00"/>
    <d v="2026-06-15T00:00:00"/>
    <n v="1.9369863013698629"/>
  </r>
  <r>
    <n v="4105984"/>
    <s v="Berzabe Juarez Gonzalez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4113312"/>
    <s v="Jose Abel Hernandez Anaya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121674"/>
    <s v="Angel Brandom Velez Castañeda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676"/>
    <s v="Christian Ivan Garcia Gonzalez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20"/>
    <s v="John Panduro Lomeli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851"/>
    <s v="Cesar Alejandro Gutierrez Lopez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4121852"/>
    <s v="Carlos Felipe Ocampo Serrano"/>
    <s v="Regular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4122511"/>
    <s v="Silvia Castañeda Galindo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13"/>
    <s v="Francisco Javier Rojas Parr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14"/>
    <s v="Martin Meza Sala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62"/>
    <s v="Carlos Gabriel Rodriguez Pulido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60"/>
    <s v="Gerardo Valdez Ramir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63"/>
    <s v="Isaac De Jesus Hernandez Fernand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01"/>
    <s v="Cristian Leonardo Moreno Morale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83"/>
    <s v="Carlos Joel Calderon Lop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08"/>
    <s v="Josue Manuel Sanchez River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10"/>
    <s v="Orlando Tolentino Gonzal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13"/>
    <s v="Juan Tomas Moreno Vald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93"/>
    <s v="Elizabeth Del Puerto Morelo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024"/>
    <s v="Carlos Tello Garci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4371"/>
    <s v="Alma Carlota Alcantar Torre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73"/>
    <s v="Ignacio Alonso Reye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79"/>
    <s v="Inocente Flores Valdivi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2"/>
    <s v="Alexis Daniel Zepeda Leal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92"/>
    <s v="Rosario Vazquez Reyes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528"/>
    <s v="Rodrigo Ramirez Gonzal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29"/>
    <s v="Jose Miguel Flores Moreno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30"/>
    <s v="Daniel Ramirez Castañeda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31"/>
    <s v="Sinai Martinez Martine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32"/>
    <s v="Olivia Martinez Delgado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33"/>
    <s v="Vanesa Yaravi Macias Guillen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535"/>
    <s v="Evangelina Sandoval Alcaraz"/>
    <s v="Fixed Term"/>
    <s v="Direct"/>
    <s v="Assembler "/>
    <m/>
    <x v="1"/>
    <s v="IST"/>
    <s v="Francisco Javier Peña Hernandez (23211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1172051"/>
    <s v="Loreto Rojo Varela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12-26T00:00:00"/>
    <d v="2026-06-15T00:00:00"/>
    <n v="3.4712328767123286"/>
  </r>
  <r>
    <n v="1228151"/>
    <s v="Maria de los Angeles Gomez Potenciano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1232561"/>
    <s v="Luis Alberto Vega Figueroa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5-18T00:00:00"/>
    <d v="2026-06-15T00:00:00"/>
    <n v="7.6712328767123292E-2"/>
  </r>
  <r>
    <n v="3007469"/>
    <s v="Hugo de Jesus Tamayo Gam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8-08-27T00:00:00"/>
    <d v="2026-06-15T00:00:00"/>
    <n v="7.8054794520547945"/>
  </r>
  <r>
    <n v="33183"/>
    <s v="Karla Elizabeth Rubio Gonzal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6-11-13T00:00:00"/>
    <d v="2026-06-15T00:00:00"/>
    <n v="19.600000000000001"/>
  </r>
  <r>
    <n v="4009618"/>
    <s v="Bertha Daniela Vazquez Lop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Support [Primary Function]"/>
    <d v="2019-08-08T00:00:00"/>
    <d v="2026-06-15T00:00:00"/>
    <n v="6.8575342465753426"/>
  </r>
  <r>
    <n v="4031790"/>
    <s v="Leslie Janette Sanchez Garcia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1-11T00:00:00"/>
    <d v="2026-06-15T00:00:00"/>
    <n v="5.4273972602739722"/>
  </r>
  <r>
    <n v="4084894"/>
    <s v="Christian Rodriguez Rodrigu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Support [Primary Function]"/>
    <d v="2023-03-21T00:00:00"/>
    <d v="2026-06-15T00:00:00"/>
    <n v="3.2383561643835614"/>
  </r>
  <r>
    <n v="4099804"/>
    <s v="Galilea Gallardo Gutierr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MECH Plastics-Support [Primary Function]"/>
    <d v="2024-04-25T00:00:00"/>
    <d v="2026-06-15T00:00:00"/>
    <n v="2.1397260273972605"/>
  </r>
  <r>
    <n v="981828"/>
    <s v="Esmeralda Sofia Perez Alvar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6-11-21T00:00:00"/>
    <d v="2026-06-15T00:00:00"/>
    <n v="9.5698630136986296"/>
  </r>
  <r>
    <n v="990259"/>
    <s v="Cesar Ivan Banda Gomez"/>
    <s v="Regular"/>
    <s v="Direct"/>
    <s v="Quality Technician "/>
    <m/>
    <x v="3"/>
    <s v="Calidad"/>
    <s v="Gabriel Castellanos Ortiz (899712)"/>
    <s v="Simon Pedro Gradilla Palafox (862068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6-11-28T00:00:00"/>
    <d v="2026-06-15T00:00:00"/>
    <n v="9.5506849315068489"/>
  </r>
  <r>
    <n v="4118006"/>
    <s v="Neydy Nayeli Cisneros Cuellar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2563"/>
    <s v="Maria Francia Castillo Castell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4402"/>
    <s v="Mario Alberto Contreras De La Cruz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83679"/>
    <s v="Lorenza Virgen Amaton"/>
    <s v="Regular"/>
    <s v="Direct"/>
    <s v="SMT Operator "/>
    <s v="Proceso RH"/>
    <x v="1"/>
    <s v="Manufactura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09T00:00:00"/>
    <d v="2026-06-15T00:00:00"/>
    <n v="3.2712328767123289"/>
  </r>
  <r>
    <n v="4124267"/>
    <s v="Jonathan Armando Vega Rangel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74"/>
    <s v="Marisela Garcia Lopez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75732"/>
    <s v="Nancy Fonseca Zuñiga"/>
    <s v="Fixed Term"/>
    <s v="Direct"/>
    <s v="Assembler "/>
    <s v="Proceso RH"/>
    <x v="1"/>
    <s v="Manufactura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012178"/>
    <s v="Adriana Vargas Valentin"/>
    <s v="Regular"/>
    <s v="Direct"/>
    <s v="Operations Training "/>
    <m/>
    <x v="1"/>
    <s v="Training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7-04-27T00:00:00"/>
    <d v="2026-06-15T00:00:00"/>
    <n v="9.1397260273972609"/>
  </r>
  <r>
    <n v="26565"/>
    <s v="Cruz Angelica Del Castillo Montaño"/>
    <s v="Regular"/>
    <s v="Direct"/>
    <s v="Operations Trainer "/>
    <m/>
    <x v="1"/>
    <s v="Training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6-09-25T00:00:00"/>
    <d v="2026-06-15T00:00:00"/>
    <n v="19.734246575342464"/>
  </r>
  <r>
    <n v="28032"/>
    <s v="Maria Guadalupe Arambula Cuevas"/>
    <s v="Regular"/>
    <s v="Direct"/>
    <s v="Operations Trainer "/>
    <m/>
    <x v="1"/>
    <s v="Training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3003155"/>
    <s v="Erika Carolina Turrubiates Topete"/>
    <s v="Regular"/>
    <s v="Direct"/>
    <s v="Operations Trainer "/>
    <m/>
    <x v="1"/>
    <s v="Training"/>
    <s v="Gabriel Gonzalez Garcia (23467)"/>
    <s v="Sergio David Serrano Barajas (21069)"/>
    <s v="Juan Carlos Tapia Lomeli (25276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9T00:00:00"/>
    <d v="2026-06-15T00:00:00"/>
    <n v="1.8794520547945206"/>
  </r>
  <r>
    <n v="3007864"/>
    <s v="Valeria Estefania Orizaga Chavez"/>
    <s v="Regular"/>
    <s v="Indirect"/>
    <s v="Operations Training "/>
    <m/>
    <x v="4"/>
    <s v="IDL"/>
    <s v="Gabriel Gonzalez Garcia (23467)"/>
    <s v="Sergio David Serrano Barajas (21069)"/>
    <s v="Juan Carlos Tapia Lomeli (25276)"/>
    <s v="Gdl 1"/>
    <s v="Bldg 29"/>
    <n v="5700"/>
    <s v="MFG North Guad, MEX 300-Flextronics Manufacturing Mex, S.A. de C.V.-Philo Cloud-CLOUD SERVER &amp; S-PCBA_GUAD_300-Philo VLP [Customer Dimensions]"/>
    <s v="MX-GDL-Guad North CEC-Ops-B30-Philo [Primary Function]"/>
    <d v="2020-08-13T00:00:00"/>
    <d v="2026-06-15T00:00:00"/>
    <n v="5.8410958904109593"/>
  </r>
  <r>
    <n v="32775"/>
    <s v="Claudia Cruz Hernandez"/>
    <s v="Regular"/>
    <s v="Indirect"/>
    <s v="Training Specialist "/>
    <m/>
    <x v="1"/>
    <s v="Training"/>
    <s v="Gabriel Gonzalez Garcia (23467)"/>
    <s v="Sergio David Serrano Barajas (21069)"/>
    <s v="Juan Carlos Tapia Lomeli (25276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02-12-02T00:00:00"/>
    <d v="2026-06-15T00:00:00"/>
    <n v="23.550684931506851"/>
  </r>
  <r>
    <n v="4031279"/>
    <s v="Paola Alejandra Rodriguez Arenas"/>
    <s v="Regular"/>
    <s v="Direct"/>
    <s v="Operations Trainer "/>
    <m/>
    <x v="1"/>
    <s v="Training"/>
    <s v="Gabriel Gonzalez Garcia (23467)"/>
    <s v="Sergio David Serrano Barajas (21069)"/>
    <s v="Juan Carlos Tapia Lomeli (25276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0-12-21T00:00:00"/>
    <d v="2026-06-15T00:00:00"/>
    <n v="5.484931506849315"/>
  </r>
  <r>
    <n v="4033976"/>
    <s v="Xochitlquetzal Ramirez Garcia"/>
    <s v="Regular"/>
    <s v="Indirect"/>
    <s v="Training Assistant "/>
    <m/>
    <x v="1"/>
    <s v="Training"/>
    <s v="Gabriel Gonzalez Garcia (23467)"/>
    <s v="Sergio David Serrano Barajas (21069)"/>
    <s v="Juan Carlos Tapia Lomeli (25276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1-02-11T00:00:00"/>
    <d v="2026-06-15T00:00:00"/>
    <n v="5.3424657534246576"/>
  </r>
  <r>
    <n v="4038451"/>
    <s v="Jessica Araceli Castellon Gallegos"/>
    <s v="Regular"/>
    <s v="Direct"/>
    <s v="Operation Clerk "/>
    <m/>
    <x v="1"/>
    <s v="RH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6-03T00:00:00"/>
    <d v="2026-06-15T00:00:00"/>
    <n v="5.0356164383561648"/>
  </r>
  <r>
    <n v="4041843"/>
    <s v="Luis Eduardo Mora Torres"/>
    <s v="Regular"/>
    <s v="Direct"/>
    <s v="Operations Trainer "/>
    <m/>
    <x v="1"/>
    <s v="Training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11T00:00:00"/>
    <d v="2026-06-15T00:00:00"/>
    <n v="2.4273972602739726"/>
  </r>
  <r>
    <n v="4044946"/>
    <s v="Lydia Calderon Gomez"/>
    <s v="Regular"/>
    <s v="Direct"/>
    <s v="Operations Trainer "/>
    <m/>
    <x v="1"/>
    <s v="Training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4-10T00:00:00"/>
    <d v="2026-06-15T00:00:00"/>
    <n v="1.1808219178082191"/>
  </r>
  <r>
    <n v="4087609"/>
    <s v="Alberto Del Campo Oliveros"/>
    <s v="Regular"/>
    <s v="Direct"/>
    <s v="Operations Trainer "/>
    <m/>
    <x v="1"/>
    <s v="Training"/>
    <s v="Gabriel Gonzalez Garcia (23467)"/>
    <s v="Sergio David Serrano Barajas (21069)"/>
    <s v="Juan Carlos Tapia Lomeli (25276)"/>
    <s v="Gdl 1"/>
    <s v="Bldg 29"/>
    <n v="1400"/>
    <s v="MFG North Guad, MEX 300-Flextronics Manufacturing Mex, S.A. de C.V.-Philo Cloud-CLOUD SERVER &amp; S-PCBA_GUAD_300-Philo VLP [Customer Dimensions]"/>
    <s v="MX-GDL-Guad North CEC-Support [Primary Function]"/>
    <d v="2023-04-20T00:00:00"/>
    <d v="2026-06-15T00:00:00"/>
    <n v="3.1561643835616437"/>
  </r>
  <r>
    <n v="4109282"/>
    <s v="Yetlanetzi Sanchez Rueda"/>
    <s v="Regular"/>
    <s v="Direct"/>
    <s v="Operations Trainer "/>
    <m/>
    <x v="1"/>
    <s v="Training"/>
    <s v="Gabriel Gonzalez Garcia (23467)"/>
    <s v="Sergio David Serrano Barajas (21069)"/>
    <s v="Juan Carlos Tapia Lomeli (25276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06T00:00:00"/>
    <d v="2026-06-15T00:00:00"/>
    <n v="1.4383561643835616"/>
  </r>
  <r>
    <n v="4110767"/>
    <s v="Iyali Yoselin Aguilar Macias"/>
    <s v="Regular"/>
    <s v="Direct"/>
    <s v="Operation Clerk "/>
    <m/>
    <x v="1"/>
    <s v="RH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6-01-19T00:00:00"/>
    <d v="2026-06-15T00:00:00"/>
    <n v="0.40273972602739727"/>
  </r>
  <r>
    <n v="579841"/>
    <s v="Ana Maria Ramirez Estevez"/>
    <s v="Regular"/>
    <s v="Direct"/>
    <s v="Operations Trainer "/>
    <m/>
    <x v="1"/>
    <s v="Training"/>
    <s v="Gabriel Gonzalez Garcia (23467)"/>
    <s v="Sergio David Serrano Barajas (21069)"/>
    <s v="Juan Carlos Tapia Lomeli (25276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1-12-05T00:00:00"/>
    <d v="2026-06-15T00:00:00"/>
    <n v="14.536986301369863"/>
  </r>
  <r>
    <n v="835786"/>
    <s v="Rosa Isela Topete Saldaña"/>
    <s v="Regular"/>
    <s v="Direct"/>
    <s v="Operations Trainer "/>
    <m/>
    <x v="1"/>
    <s v="Training"/>
    <s v="Gabriel Gonzalez Garcia (23467)"/>
    <s v="Sergio David Serrano Barajas (21069)"/>
    <s v="Juan Carlos Tapia Lomeli (25276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5-03-02T00:00:00"/>
    <d v="2026-06-15T00:00:00"/>
    <n v="11.295890410958904"/>
  </r>
  <r>
    <n v="867680"/>
    <s v="Karina Elizabeth Guzman Felix"/>
    <s v="Regular"/>
    <s v="Indirect"/>
    <s v="Training Assistant "/>
    <m/>
    <x v="1"/>
    <s v="Training"/>
    <s v="Gabriel Gonzalez Garcia (23467)"/>
    <s v="Sergio David Serrano Barajas (21069)"/>
    <s v="Juan Carlos Tapia Lomeli (25276)"/>
    <s v="Gdl 2"/>
    <s v="Bldg 29"/>
    <n v="5700"/>
    <s v="MFG North Guad, MEX 300-Flextronics Manufacturing Mex, S.A. de C.V.-Philo Cloud-CLOUD SERVER &amp; S-PCBA_GUAD_300-Philo VLP [Customer Dimensions]"/>
    <s v="MX-GDL-Guad North CEC-Support [Primary Function]"/>
    <d v="2015-11-23T00:00:00"/>
    <d v="2026-06-15T00:00:00"/>
    <n v="10.567123287671233"/>
  </r>
  <r>
    <n v="1011486"/>
    <s v="Gerardo David Bautista Luna"/>
    <s v="Regular"/>
    <s v="Direct"/>
    <s v="Process Engineering Technician "/>
    <m/>
    <x v="9"/>
    <s v="AME"/>
    <s v="Gerardo Reyes Rivas (31560)"/>
    <s v="Omar Garcia Lopez (31870)"/>
    <s v="Shaneel Deo (1210081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21726"/>
    <s v="Luis Francisco Zuñiga Avila"/>
    <s v="Regular"/>
    <s v="Indirect"/>
    <s v="Process Engineer "/>
    <m/>
    <x v="4"/>
    <s v="AME"/>
    <s v="Gerardo Reyes Rivas (31560)"/>
    <s v="Omar Garcia Lopez (31870)"/>
    <s v="Shaneel Deo (1210081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12-15T00:00:00"/>
    <d v="2026-06-15T00:00:00"/>
    <n v="0.49863013698630138"/>
  </r>
  <r>
    <n v="1180608"/>
    <s v="Karen Cristina Garibay Bautista"/>
    <s v="Regular"/>
    <s v="Indirect"/>
    <s v="Process Engineer "/>
    <m/>
    <x v="4"/>
    <s v="IDL"/>
    <s v="Gilberto de Jesus Sanchez Oyoque (1014788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7-24T00:00:00"/>
    <d v="2026-06-15T00:00:00"/>
    <n v="2.8958904109589043"/>
  </r>
  <r>
    <n v="1210749"/>
    <s v="Maria de los Angeles Mercado De la Cruz"/>
    <s v="Regular"/>
    <s v="Indirect"/>
    <s v="Process Engineer "/>
    <m/>
    <x v="4"/>
    <s v="IDL"/>
    <s v="Gilberto de Jesus Sanchez Oyoque (1014788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6-23T00:00:00"/>
    <d v="2026-06-15T00:00:00"/>
    <n v="0.9780821917808219"/>
  </r>
  <r>
    <n v="584970"/>
    <s v="Maria Guadalupe Prieto Cuevas"/>
    <s v="Regular"/>
    <s v="Indirect"/>
    <s v="Process Engineer "/>
    <m/>
    <x v="4"/>
    <s v="IDL"/>
    <s v="Gilberto de Jesus Sanchez Oyoque (1014788)"/>
    <s v="Juan Manuel Mendoza Vazquez (851159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25T00:00:00"/>
    <d v="2026-06-15T00:00:00"/>
    <n v="2.7232876712328768"/>
  </r>
  <r>
    <n v="1021184"/>
    <s v="Julio David Martinez Sanch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24T00:00:00"/>
    <d v="2026-06-15T00:00:00"/>
    <n v="3.1452054794520548"/>
  </r>
  <r>
    <n v="1128762"/>
    <s v="Arturo Perez Santander"/>
    <s v="Regular"/>
    <s v="Direct"/>
    <s v="Failure Analysis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5-10T00:00:00"/>
    <d v="2026-06-15T00:00:00"/>
    <n v="5.1013698630136988"/>
  </r>
  <r>
    <n v="1151483"/>
    <s v="Luis David Medina Mexi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18T00:00:00"/>
    <d v="2026-06-15T00:00:00"/>
    <n v="4.161643835616438"/>
  </r>
  <r>
    <n v="1152976"/>
    <s v="Jose Luis Hernandez Romero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25T00:00:00"/>
    <d v="2026-06-15T00:00:00"/>
    <n v="4.1424657534246574"/>
  </r>
  <r>
    <n v="1152998"/>
    <s v="Gerardo González Aceves"/>
    <s v="Regular"/>
    <s v="Direct"/>
    <s v="Test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25T00:00:00"/>
    <d v="2026-06-15T00:00:00"/>
    <n v="4.1424657534246574"/>
  </r>
  <r>
    <n v="1157757"/>
    <s v="Karely Del Carmen Gonzalez Gonzal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22-07-04T00:00:00"/>
    <d v="2026-06-15T00:00:00"/>
    <n v="3.9506849315068493"/>
  </r>
  <r>
    <n v="1158732"/>
    <s v="Ananias Santiago Guerr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7-18T00:00:00"/>
    <d v="2026-06-15T00:00:00"/>
    <n v="3.9123287671232876"/>
  </r>
  <r>
    <n v="1168350"/>
    <s v="Bernardo Tonatiuh Vallejo Guerrero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1-07T00:00:00"/>
    <d v="2026-06-15T00:00:00"/>
    <n v="3.6054794520547944"/>
  </r>
  <r>
    <n v="1172495"/>
    <s v="David Antonio Diaz Ramir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9T00:00:00"/>
    <d v="2026-06-15T00:00:00"/>
    <n v="3.4328767123287673"/>
  </r>
  <r>
    <n v="1173353"/>
    <s v="Adrian Ramírez Reyes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30T00:00:00"/>
    <d v="2026-06-15T00:00:00"/>
    <n v="3.3753424657534246"/>
  </r>
  <r>
    <n v="1179318"/>
    <s v="Dylan Sebastian Moran Partid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1179509"/>
    <s v="Marcos Joel Paz Estrad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26T00:00:00"/>
    <d v="2026-06-15T00:00:00"/>
    <n v="2.9726027397260273"/>
  </r>
  <r>
    <n v="1179625"/>
    <s v="Jaime Arturo Guzmán Morán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-B30 [Primary Function]"/>
    <d v="2026-03-02T00:00:00"/>
    <d v="2026-06-15T00:00:00"/>
    <n v="0.28767123287671231"/>
  </r>
  <r>
    <n v="1195687"/>
    <s v="Araceli Rodriguez Vermud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17T00:00:00"/>
    <d v="2026-06-15T00:00:00"/>
    <n v="1.7424657534246575"/>
  </r>
  <r>
    <n v="1197288"/>
    <s v="Noe Trejo Trejo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1T00:00:00"/>
    <d v="2026-06-15T00:00:00"/>
    <n v="1.6493150684931508"/>
  </r>
  <r>
    <n v="1197289"/>
    <s v="Irene Alejandra Cardenas Pacheco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1T00:00:00"/>
    <d v="2026-06-15T00:00:00"/>
    <n v="1.6493150684931508"/>
  </r>
  <r>
    <n v="1197674"/>
    <s v="Carlos Meza Gom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8T00:00:00"/>
    <d v="2026-06-15T00:00:00"/>
    <n v="1.6301369863013699"/>
  </r>
  <r>
    <n v="1227671"/>
    <s v="Joel Antonio de Guadalupe Rubio Herrer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-B30 [Primary Function]"/>
    <d v="2026-03-02T00:00:00"/>
    <d v="2026-06-15T00:00:00"/>
    <n v="0.28767123287671231"/>
  </r>
  <r>
    <n v="1230399"/>
    <s v="Arleth Michelle Ramos Estrad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-B30 [Primary Function]"/>
    <d v="2026-04-20T00:00:00"/>
    <d v="2026-06-15T00:00:00"/>
    <n v="0.15342465753424658"/>
  </r>
  <r>
    <n v="1230401"/>
    <s v="Juan De Jesus Peña Granados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20T00:00:00"/>
    <d v="2026-06-15T00:00:00"/>
    <n v="0.15342465753424658"/>
  </r>
  <r>
    <n v="1127667"/>
    <s v="Kenia Nallely Meza Rodriguez"/>
    <s v="Regular"/>
    <s v="Direct"/>
    <s v="Failure Analysis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26T00:00:00"/>
    <d v="2026-06-15T00:00:00"/>
    <n v="5.13972602739726"/>
  </r>
  <r>
    <n v="35419"/>
    <s v="Gilberto Aguiar Barrer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5-05-04T00:00:00"/>
    <d v="2026-06-15T00:00:00"/>
    <n v="11.123287671232877"/>
  </r>
  <r>
    <n v="38582"/>
    <s v="Ivan Ahmed Flores Gonzal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22-01-24T00:00:00"/>
    <d v="2026-06-15T00:00:00"/>
    <n v="4.3917808219178083"/>
  </r>
  <r>
    <n v="4056301"/>
    <s v="Ana Patricia Mendoza Aparicio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1T00:00:00"/>
    <d v="2026-06-15T00:00:00"/>
    <n v="1.6493150684931508"/>
  </r>
  <r>
    <n v="4084130"/>
    <s v="Luis Angel Perez Gom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13T00:00:00"/>
    <d v="2026-06-15T00:00:00"/>
    <n v="3.2602739726027399"/>
  </r>
  <r>
    <n v="603445"/>
    <s v="Juan Carlos Nares Sandoval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02T00:00:00"/>
    <d v="2026-06-15T00:00:00"/>
    <n v="0.28767123287671231"/>
  </r>
  <r>
    <n v="922856"/>
    <s v="Pedro Lopez Salazar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20T00:00:00"/>
    <d v="2026-06-15T00:00:00"/>
    <n v="0.15342465753424658"/>
  </r>
  <r>
    <n v="977138"/>
    <s v="Claudia Rangel Garcia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3-04T00:00:00"/>
    <d v="2026-06-15T00:00:00"/>
    <n v="7.2876712328767121"/>
  </r>
  <r>
    <n v="999641"/>
    <s v="Roberto Gutierrez Sanchez"/>
    <s v="Regular"/>
    <s v="Direct"/>
    <s v="Debug Technician "/>
    <m/>
    <x v="6"/>
    <s v="Diagnóstico"/>
    <s v="Gonzalo Iván De la Cruz Orozco (1182291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0-03T00:00:00"/>
    <d v="2026-06-15T00:00:00"/>
    <n v="3.7013698630136984"/>
  </r>
  <r>
    <n v="1014763"/>
    <s v="Luis Carlos Villalvazo Ramos"/>
    <s v="Regular"/>
    <s v="Indirect"/>
    <s v="Program Management Manager "/>
    <m/>
    <x v="4"/>
    <s v="IDL"/>
    <s v="Gonzalo Rubio Ceja (33900)"/>
    <s v="Ricardo Lozano Malacara (34385)"/>
    <s v="Ruben Cesar Nyul Vazquez (1975170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3-07-24T00:00:00"/>
    <d v="2026-06-15T00:00:00"/>
    <n v="2.8958904109589043"/>
  </r>
  <r>
    <n v="35279"/>
    <s v="Yemaida Garcia Ocampo"/>
    <s v="Regular"/>
    <s v="Indirect"/>
    <s v="Program Management Manager "/>
    <m/>
    <x v="4"/>
    <s v="IDL"/>
    <s v="Gonzalo Rubio Ceja (33900)"/>
    <s v="Ricardo Lozano Malacara (34385)"/>
    <s v="Ruben Cesar Nyul Vazquez (1975170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09-10-26T00:00:00"/>
    <d v="2026-06-15T00:00:00"/>
    <n v="16.646575342465752"/>
  </r>
  <r>
    <n v="606709"/>
    <s v="Aline Paola Pineda Guerrero"/>
    <s v="Regular"/>
    <s v="Indirect"/>
    <s v="Program Manager "/>
    <m/>
    <x v="4"/>
    <s v="IDL"/>
    <s v="Gonzalo Rubio Ceja (33900)"/>
    <s v="Ricardo Lozano Malacara (34385)"/>
    <s v="Ruben Cesar Nyul Vazquez (1975170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17-07-17T00:00:00"/>
    <d v="2026-06-15T00:00:00"/>
    <n v="8.9178082191780828"/>
  </r>
  <r>
    <n v="1071745"/>
    <s v="Jose Elias Rivera Partida"/>
    <s v="Regular"/>
    <s v="Indirect"/>
    <s v="Business Systems Analyst "/>
    <m/>
    <x v="4"/>
    <s v="IDL"/>
    <s v="Guillermo Bravo Ortega (576170)"/>
    <s v="Isai Lopez Ruiz (875273)"/>
    <s v="Adolfo Garcia Salazar (33689)"/>
    <s v="Gdl 1"/>
    <s v="Bldg 29"/>
    <n v="7400"/>
    <s v="MFG North Guad, MEX 300-Flextronics Manufacturing Mex, S.A. de C.V.-Philo Cloud-CLOUD SERVER &amp; S-PCBA_GUAD_300-Philo VLP [Customer Dimensions]"/>
    <s v="MX-GDL-Guad North CEC-Support [Primary Function]"/>
    <d v="2018-07-16T00:00:00"/>
    <d v="2026-06-15T00:00:00"/>
    <n v="7.9205479452054792"/>
  </r>
  <r>
    <n v="1184100"/>
    <s v="Omar Asael Ramirez Davalos"/>
    <s v="Regular"/>
    <s v="Indirect"/>
    <s v="Business Systems Analyst "/>
    <m/>
    <x v="4"/>
    <s v="IDL"/>
    <s v="Guillermo Bravo Ortega (576170)"/>
    <s v="Isai Lopez Ruiz (875273)"/>
    <s v="Adolfo Garcia Salazar (33689)"/>
    <s v="Gdl 1"/>
    <s v="Bldg 29"/>
    <n v="7400"/>
    <s v="MFG North Guad, MEX 300-Flextronics Manufacturing Mex, S.A. de C.V.-Philo Cloud-CLOUD SERVER &amp; S-PCBA_GUAD_300-Philo VLP [Customer Dimensions]"/>
    <s v="MX-GDL-Guad North CEC-Support [Primary Function]"/>
    <d v="2023-10-16T00:00:00"/>
    <d v="2026-06-15T00:00:00"/>
    <n v="2.6657534246575341"/>
  </r>
  <r>
    <n v="4001726"/>
    <s v="RICARDO SANDRO DANIEL MERCADO GONZALEZ"/>
    <s v="Regular"/>
    <s v="Direct"/>
    <s v="Forklift Driv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1-30T00:00:00"/>
    <d v="2026-06-15T00:00:00"/>
    <n v="3.3753424657534246"/>
  </r>
  <r>
    <n v="4088092"/>
    <s v="Kristal Guadalupe Avila Perez"/>
    <s v="Fixed Term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088534"/>
    <s v="Diana Fernanda De La Torre Lorenzo"/>
    <s v="Regular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5-11T00:00:00"/>
    <d v="2026-06-15T00:00:00"/>
    <n v="3.0986301369863014"/>
  </r>
  <r>
    <n v="4110770"/>
    <s v="Angel Rene Flores Muñoz"/>
    <s v="Regular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23T00:00:00"/>
    <d v="2026-06-15T00:00:00"/>
    <n v="1.3917808219178083"/>
  </r>
  <r>
    <n v="4122593"/>
    <s v="Yehovana Lizeth Gutierrez Quijada"/>
    <s v="Fixed Term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94"/>
    <s v="Fatima Alejandra Cruz Cejas"/>
    <s v="Fixed Term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865"/>
    <s v="Mario De Jesus Lopez Lopez"/>
    <s v="Fixed Term"/>
    <s v="Direct"/>
    <s v="Material Expediter "/>
    <m/>
    <x v="0"/>
    <s v="Almacén"/>
    <s v="Gustavo Eduardo Lechuga Arroyo (92127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1125149"/>
    <s v="Diego Ramon Serrano Aguilar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3-16T00:00:00"/>
    <d v="2026-06-15T00:00:00"/>
    <n v="5.2520547945205482"/>
  </r>
  <r>
    <n v="1153011"/>
    <s v="Sonia Karina Díaz Escontrilla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25T00:00:00"/>
    <d v="2026-06-15T00:00:00"/>
    <n v="4.1424657534246574"/>
  </r>
  <r>
    <n v="1154625"/>
    <s v="Yessica jazmín Rivera Murillo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1192822"/>
    <s v="Alegna Naomi Martinez Valle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1202884"/>
    <s v="Omar Israel Ortiz Serrano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3-03T00:00:00"/>
    <d v="2026-06-15T00:00:00"/>
    <n v="1.284931506849315"/>
  </r>
  <r>
    <n v="1226643"/>
    <s v="Vanessa Elizabeth Ramirez Diaz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1229552"/>
    <s v="Rebeca Esmeralda Morones Ramirez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020697"/>
    <s v="Iliana Lizbeth Moreno Tavizon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07-30T00:00:00"/>
    <d v="2026-06-15T00:00:00"/>
    <n v="5.8794520547945206"/>
  </r>
  <r>
    <n v="4076793"/>
    <s v="Jorge Omar Valle Hernandez"/>
    <s v="Regular"/>
    <s v="Direct"/>
    <s v="Process Engineering Technician "/>
    <m/>
    <x v="2"/>
    <s v="Tool"/>
    <s v="Gustavo Rodrigo Peña Ramos (1013604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05T00:00:00"/>
    <d v="2026-06-15T00:00:00"/>
    <n v="1.7753424657534247"/>
  </r>
  <r>
    <n v="928390"/>
    <s v="Jonatan Arvizu Nicanor"/>
    <s v="Regular"/>
    <s v="Direct"/>
    <s v="Process Engineering Technician "/>
    <m/>
    <x v="2"/>
    <s v="Procesos"/>
    <s v="Gustavo Rodrigo Peña Ramos (1013604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17T00:00:00"/>
    <d v="2026-06-15T00:00:00"/>
    <n v="3.1643835616438358"/>
  </r>
  <r>
    <n v="4094645"/>
    <s v="Rufina Irais Aparicio De Jesus"/>
    <s v="Regular"/>
    <s v="Direct"/>
    <s v="Quality Auditor "/>
    <m/>
    <x v="3"/>
    <s v="Calidad"/>
    <s v="Hugo de Jesus Tamayo Gamez (3007469)"/>
    <s v="Gabriel Castellanos Ortiz (899712)"/>
    <s v="Simon Pedro Gradilla Palafox (862068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100080"/>
    <s v="Maria Elena Aviña Hernandez"/>
    <s v="Regular"/>
    <s v="Direct"/>
    <s v="Quality Auditor "/>
    <m/>
    <x v="3"/>
    <s v="Calidad"/>
    <s v="Hugo de Jesus Tamayo Gamez (3007469)"/>
    <s v="Gabriel Castellanos Ortiz (899712)"/>
    <s v="Simon Pedro Gradilla Palafox (862068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5-06T00:00:00"/>
    <d v="2026-06-15T00:00:00"/>
    <n v="2.1095890410958904"/>
  </r>
  <r>
    <n v="991798"/>
    <s v="Brenda Jazmin Marquez Hernandez"/>
    <s v="Regular"/>
    <s v="Direct"/>
    <s v="Quality Auditor "/>
    <m/>
    <x v="3"/>
    <s v="Calidad"/>
    <s v="Hugo de Jesus Tamayo Gamez (3007469)"/>
    <s v="Gabriel Castellanos Ortiz (899712)"/>
    <s v="Simon Pedro Gradilla Palafox (862068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02T00:00:00"/>
    <d v="2026-06-15T00:00:00"/>
    <n v="1.7835616438356163"/>
  </r>
  <r>
    <n v="1173854"/>
    <s v="Emmanuel López Leonel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6-09T00:00:00"/>
    <d v="2026-06-15T00:00:00"/>
    <n v="1.0164383561643835"/>
  </r>
  <r>
    <n v="1202878"/>
    <s v="Maria Elizabeth Nuñez Jimén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5-03-03T00:00:00"/>
    <d v="2026-06-15T00:00:00"/>
    <n v="1.284931506849315"/>
  </r>
  <r>
    <n v="1204857"/>
    <s v="Maria Guadalupe Gonzalez Gutierr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31T00:00:00"/>
    <d v="2026-06-15T00:00:00"/>
    <n v="1.2082191780821918"/>
  </r>
  <r>
    <n v="1210753"/>
    <s v="Carmen Nayeli Martinez Lop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6-23T00:00:00"/>
    <d v="2026-06-15T00:00:00"/>
    <n v="0.9780821917808219"/>
  </r>
  <r>
    <n v="1232864"/>
    <s v="Ulises Gerardo Hernandez De Alba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20590"/>
    <s v="Luis Fernando Romo Beltran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19T00:00:00"/>
    <d v="2026-06-15T00:00:00"/>
    <n v="1.5698630136986302"/>
  </r>
  <r>
    <n v="21720"/>
    <s v="Ma Elena Flores Balbuena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06-09-18T00:00:00"/>
    <d v="2026-06-15T00:00:00"/>
    <n v="19.753424657534246"/>
  </r>
  <r>
    <n v="27278"/>
    <s v="Dulce Fabiola Bejar Rodrigu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Support [Primary Function]"/>
    <d v="2025-04-14T00:00:00"/>
    <d v="2026-06-15T00:00:00"/>
    <n v="1.1698630136986301"/>
  </r>
  <r>
    <n v="27447"/>
    <s v="Guillermina Zuñiga Vallejo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02T00:00:00"/>
    <d v="2026-06-15T00:00:00"/>
    <n v="1.5342465753424657"/>
  </r>
  <r>
    <n v="28956"/>
    <s v="Luis Alberto Tomas Pedro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5-26T00:00:00"/>
    <d v="2026-06-15T00:00:00"/>
    <n v="18.065753424657533"/>
  </r>
  <r>
    <n v="4009885"/>
    <s v="Carlos Moises Rocha Hernand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13T00:00:00"/>
    <d v="2026-06-15T00:00:00"/>
    <n v="3.2602739726027399"/>
  </r>
  <r>
    <n v="4022432"/>
    <s v="Cristian Isaac Albarez Sanch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15T00:00:00"/>
    <d v="2026-06-15T00:00:00"/>
    <n v="1.9178082191780821"/>
  </r>
  <r>
    <n v="4041165"/>
    <s v="Diana Marisol Medina Lupercio"/>
    <s v="Regular"/>
    <s v="Direct"/>
    <s v="Material Handler "/>
    <m/>
    <x v="2"/>
    <s v="Reparación"/>
    <s v="Ivan Palacios Gomez (612718)"/>
    <s v="Carlos Fabian Garcia Lopez (1183099)"/>
    <s v="Juan Manuel Mendoza Vazquez (85115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1-09-13T00:00:00"/>
    <d v="2026-06-15T00:00:00"/>
    <n v="4.7561643835616438"/>
  </r>
  <r>
    <n v="4041278"/>
    <s v="Jaime Abraham Castañeda Garcia"/>
    <s v="Fixed Term"/>
    <s v="Direct"/>
    <s v="Assembler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197"/>
    <s v="Myriam Zitlalit Espinoza Tovar"/>
    <s v="Fixed Term"/>
    <s v="Direct"/>
    <s v="Assembler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80266"/>
    <s v="Maria Del Rosario Silva Vega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19T00:00:00"/>
    <d v="2026-06-15T00:00:00"/>
    <n v="1.5698630136986302"/>
  </r>
  <r>
    <n v="988860"/>
    <s v="Liley Michelle Rios Perez"/>
    <s v="Regular"/>
    <s v="Direct"/>
    <s v="Repair Technician "/>
    <m/>
    <x v="2"/>
    <s v="Reparación"/>
    <s v="Ivan Palacios Gomez (612718)"/>
    <s v="Carlos Fabian Garcia Lopez (1183099)"/>
    <s v="Juan Manuel Mendoza Vazquez (85115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11-08T00:00:00"/>
    <d v="2026-06-15T00:00:00"/>
    <n v="2.6027397260273974"/>
  </r>
  <r>
    <n v="1013759"/>
    <s v="Miguel Zain Villa Sarabia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1T00:00:00"/>
    <d v="2026-06-15T00:00:00"/>
    <n v="1.6493150684931508"/>
  </r>
  <r>
    <n v="1126195"/>
    <s v="Pedro Villalobos Zavala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05T00:00:00"/>
    <d v="2026-06-15T00:00:00"/>
    <n v="5.1972602739726028"/>
  </r>
  <r>
    <n v="3001680"/>
    <s v="Luis Pablo Sandoval Rodriguez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9-25T00:00:00"/>
    <d v="2026-06-15T00:00:00"/>
    <n v="8.7260273972602747"/>
  </r>
  <r>
    <n v="32419"/>
    <s v="Ricardo Rosales Hernandez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1999-11-29T00:00:00"/>
    <d v="2026-06-15T00:00:00"/>
    <n v="26.561643835616437"/>
  </r>
  <r>
    <n v="879171"/>
    <s v="Daniel Salvador Mercado Ramirez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1-23T00:00:00"/>
    <d v="2026-06-15T00:00:00"/>
    <n v="3.5616438356164384"/>
  </r>
  <r>
    <n v="926779"/>
    <s v="Jennifer Rincón Martínez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08-06T00:00:00"/>
    <d v="2026-06-15T00:00:00"/>
    <n v="7.8630136986301373"/>
  </r>
  <r>
    <n v="964525"/>
    <s v="Jesus Jordan Pulido Perez"/>
    <s v="Regular"/>
    <s v="Direct"/>
    <s v="Engineering Technician "/>
    <m/>
    <x v="7"/>
    <s v="Equipos"/>
    <s v="Ivan Ricardo Martinez Murillo (952588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8T00:00:00"/>
    <d v="2026-06-15T00:00:00"/>
    <n v="1.6301369863013699"/>
  </r>
  <r>
    <n v="4040340"/>
    <s v="Laura Veronica Robles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6T00:00:00"/>
    <d v="2026-06-15T00:00:00"/>
    <n v="1.7178082191780821"/>
  </r>
  <r>
    <n v="4049189"/>
    <s v="Jose Alfredo Ramos Carretero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054359"/>
    <s v="Adolfo Quezada Cortez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3-17T00:00:00"/>
    <d v="2026-06-15T00:00:00"/>
    <n v="4.2493150684931509"/>
  </r>
  <r>
    <n v="4056111"/>
    <s v="Jose Luis Silva De la Fuente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4-12T00:00:00"/>
    <d v="2026-06-15T00:00:00"/>
    <n v="4.1780821917808222"/>
  </r>
  <r>
    <n v="4064063"/>
    <s v="Aurora Arias Torres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4064441"/>
    <s v="Alicia Hernandez Lara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5-02-20T00:00:00"/>
    <d v="2026-06-15T00:00:00"/>
    <n v="1.3150684931506849"/>
  </r>
  <r>
    <n v="4079538"/>
    <s v="Lizette Jocelyn Landazuri Orozco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26T00:00:00"/>
    <d v="2026-06-15T00:00:00"/>
    <n v="3.3863013698630136"/>
  </r>
  <r>
    <n v="4089792"/>
    <s v="Guadalupe Jimenez Tapia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13T00:00:00"/>
    <d v="2026-06-15T00:00:00"/>
    <n v="1.4191780821917808"/>
  </r>
  <r>
    <n v="4094657"/>
    <s v="Ana Rosa Carbajal Camacho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098072"/>
    <s v="Jose Antonio Martin Cisneros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12T00:00:00"/>
    <d v="2026-06-15T00:00:00"/>
    <n v="0.26027397260273971"/>
  </r>
  <r>
    <n v="4100899"/>
    <s v="Maria Cruz Arellano Alvarez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05804"/>
    <s v="Dolores Carolina Bermudes Andalon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4112481"/>
    <s v="Lizet Cristina Astorga Sarabia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2486"/>
    <s v="Estrella Duran Alarcon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6536"/>
    <s v="Maria Lucia Gonzalez Rebollo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2794"/>
    <s v="Sonia Guadalupe Hernandez Robledo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95"/>
    <s v="Griselda Ramirez Robledo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202"/>
    <s v="Yesenia Margarita Jasso Moreno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03"/>
    <s v="Fredy Emmanuel Rubio Vega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04"/>
    <s v="Maribel Navarro Moyeda"/>
    <s v="Fixed Term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79932"/>
    <s v="Maria Del Carmen Barcenas Cruz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1-28T00:00:00"/>
    <d v="2026-06-15T00:00:00"/>
    <n v="3.547945205479452"/>
  </r>
  <r>
    <n v="583290"/>
    <s v="RIGOBERTO OCHOA DEL TORO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1T00:00:00"/>
    <d v="2026-06-15T00:00:00"/>
    <n v="1.9561643835616438"/>
  </r>
  <r>
    <n v="836219"/>
    <s v="Clara Ortega Orduñez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994795"/>
    <s v="Felicia Lira Peña"/>
    <s v="Regular"/>
    <s v="Direct"/>
    <s v="Assembler "/>
    <m/>
    <x v="1"/>
    <s v="RMAs"/>
    <s v="Jaime Francisco Gomez Barrios (4035071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4-14T00:00:00"/>
    <d v="2026-06-15T00:00:00"/>
    <n v="1.1698630136986301"/>
  </r>
  <r>
    <n v="32943"/>
    <s v="Marco Antonio Rodriguez Plascido"/>
    <s v="Regular"/>
    <s v="Direct"/>
    <s v="Supplier Quality Technician "/>
    <m/>
    <x v="3"/>
    <s v="SQA"/>
    <s v="Jairo Raul Gonzalez Celiz (1161457)"/>
    <s v="Jessica Jacqueline Delgado Parra (1046386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7-02-26T00:00:00"/>
    <d v="2026-06-15T00:00:00"/>
    <n v="19.312328767123287"/>
  </r>
  <r>
    <n v="1161457"/>
    <s v="Jairo Raul Gonzalez Celiz"/>
    <s v="Regular"/>
    <s v="Indirect"/>
    <s v="Supplier Quality Engineer "/>
    <m/>
    <x v="4"/>
    <s v="IDL"/>
    <s v="Jessica Jacqueline Delgado Parra (1046386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Ops-B30-Philo [Primary Function]"/>
    <d v="2022-08-22T00:00:00"/>
    <d v="2026-06-15T00:00:00"/>
    <n v="3.8164383561643835"/>
  </r>
  <r>
    <n v="1170326"/>
    <s v="Bryan Edtzel de Dios Sanchez Ortega"/>
    <s v="Regular"/>
    <s v="Indirect"/>
    <s v="Design Quality Engineer "/>
    <m/>
    <x v="4"/>
    <s v="IDL"/>
    <s v="Jessica Jacqueline Delgado Parra (1046386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2-12-05T00:00:00"/>
    <d v="2026-06-15T00:00:00"/>
    <n v="3.5287671232876714"/>
  </r>
  <r>
    <n v="1090987"/>
    <s v="Cristian Fabian García Castañed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9-25T00:00:00"/>
    <d v="2026-06-15T00:00:00"/>
    <n v="2.7232876712328768"/>
  </r>
  <r>
    <n v="1159262"/>
    <s v="Alan Escobar Gonzal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7-25T00:00:00"/>
    <d v="2026-06-15T00:00:00"/>
    <n v="3.893150684931507"/>
  </r>
  <r>
    <n v="1159737"/>
    <s v="José Eduardo Mercado Mor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8-01T00:00:00"/>
    <d v="2026-06-15T00:00:00"/>
    <n v="3.8739726027397259"/>
  </r>
  <r>
    <n v="1174335"/>
    <s v="Juan Jose Barrios Martin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75008"/>
    <s v="Emanuel Domínguez Chiquit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3-02-27T00:00:00"/>
    <d v="2026-06-15T00:00:00"/>
    <n v="3.2986301369863016"/>
  </r>
  <r>
    <n v="1175421"/>
    <s v="Abel Antonio Arellano Llamas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06T00:00:00"/>
    <d v="2026-06-15T00:00:00"/>
    <n v="3.2794520547945205"/>
  </r>
  <r>
    <n v="1177649"/>
    <s v="German Ezequiel Escobar De la cru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24T00:00:00"/>
    <d v="2026-06-15T00:00:00"/>
    <n v="3.1452054794520548"/>
  </r>
  <r>
    <n v="1179158"/>
    <s v="Erik Sanchez Queved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12T00:00:00"/>
    <d v="2026-06-15T00:00:00"/>
    <n v="3.010958904109589"/>
  </r>
  <r>
    <n v="1179513"/>
    <s v="Luis David Ramírez Pér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26T00:00:00"/>
    <d v="2026-06-15T00:00:00"/>
    <n v="2.9726027397260273"/>
  </r>
  <r>
    <n v="1179614"/>
    <s v="David Javier Medrano Valeri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26T00:00:00"/>
    <d v="2026-06-15T00:00:00"/>
    <n v="2.9726027397260273"/>
  </r>
  <r>
    <n v="1180896"/>
    <s v="Santiago Francisco Cortés Vill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31T00:00:00"/>
    <d v="2026-06-15T00:00:00"/>
    <n v="2.8767123287671232"/>
  </r>
  <r>
    <n v="1182918"/>
    <s v="Hector Silvestre Rodriguez Juar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1194779"/>
    <s v="DIEGO HUMBERTO ARGÜELLES PALAFOX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02T00:00:00"/>
    <d v="2026-06-15T00:00:00"/>
    <n v="1.7835616438356163"/>
  </r>
  <r>
    <n v="1211687"/>
    <s v="Jose Yahir Gonzalez Pint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228139"/>
    <s v="Juan Yael Barrera Peñ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1228636"/>
    <s v="Nikole Coral Quintana Rodrigu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1228951"/>
    <s v="Guadalupe Pineda Ojed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23T00:00:00"/>
    <d v="2026-06-15T00:00:00"/>
    <n v="0.23013698630136986"/>
  </r>
  <r>
    <n v="1229551"/>
    <s v="Edgar Leonel González Alcalá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1232563"/>
    <s v="Abel Antonio Vazquez De la ros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18T00:00:00"/>
    <d v="2026-06-15T00:00:00"/>
    <n v="7.6712328767123292E-2"/>
  </r>
  <r>
    <n v="1233343"/>
    <s v="Vanessa Esparza Tamay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26061"/>
    <s v="Salvador Hernandez Hernand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12-07T00:00:00"/>
    <d v="2026-06-15T00:00:00"/>
    <n v="5.5232876712328771"/>
  </r>
  <r>
    <n v="4030459"/>
    <s v="Felipe De Jesus Saldaña Aguilar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Support [Primary Function]"/>
    <d v="2020-12-03T00:00:00"/>
    <d v="2026-06-15T00:00:00"/>
    <n v="5.5342465753424657"/>
  </r>
  <r>
    <n v="4036703"/>
    <s v="Jenny Ramirez Gaitan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12T00:00:00"/>
    <d v="2026-06-15T00:00:00"/>
    <n v="5.1780821917808222"/>
  </r>
  <r>
    <n v="4045143"/>
    <s v="William Eduardo Hernandez Reyes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12-02T00:00:00"/>
    <d v="2026-06-15T00:00:00"/>
    <n v="4.536986301369863"/>
  </r>
  <r>
    <n v="4060586"/>
    <s v="Luis Gustavo Lopez Ramir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6-27T00:00:00"/>
    <d v="2026-06-15T00:00:00"/>
    <n v="3.9698630136986299"/>
  </r>
  <r>
    <n v="42395"/>
    <s v="Raul Rosas Baez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10T00:00:00"/>
    <d v="2026-06-15T00:00:00"/>
    <n v="3.1835616438356165"/>
  </r>
  <r>
    <n v="42435"/>
    <s v="Yadira Alejandra Martinez Marcial"/>
    <s v="Regular"/>
    <s v="Direct"/>
    <s v="Failure Analysis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11-11-07T00:00:00"/>
    <d v="2026-06-15T00:00:00"/>
    <n v="14.613698630136986"/>
  </r>
  <r>
    <n v="928166"/>
    <s v="Ernesto Reyes Garcia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974604"/>
    <s v="Javier Santana Jimenez Orozco"/>
    <s v="Regular"/>
    <s v="Direct"/>
    <s v="Debug Technician "/>
    <m/>
    <x v="6"/>
    <s v="Diagnóstico"/>
    <s v="Jesus Eduardo Aramburo Audelo (1153806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1177031"/>
    <s v="María Fernanda Cainas Ayala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10T00:00:00"/>
    <d v="2026-06-15T00:00:00"/>
    <n v="3.1835616438356165"/>
  </r>
  <r>
    <n v="23211"/>
    <s v="Francisco Javier Peña Hernandez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3-10T00:00:00"/>
    <d v="2026-06-15T00:00:00"/>
    <n v="18.276712328767122"/>
  </r>
  <r>
    <n v="28673"/>
    <s v="Beatriz Rodriguez Juarez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4-28T00:00:00"/>
    <d v="2026-06-15T00:00:00"/>
    <n v="18.142465753424659"/>
  </r>
  <r>
    <n v="34830"/>
    <s v="Juan Carlos Grande Margarito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22T00:00:00"/>
    <d v="2026-06-15T00:00:00"/>
    <n v="3.8164383561643835"/>
  </r>
  <r>
    <n v="4012771"/>
    <s v="Lorena Nuñez Guzman"/>
    <s v="Regular"/>
    <s v="Direct"/>
    <s v="Technical Production Lead "/>
    <m/>
    <x v="1"/>
    <s v="IST"/>
    <s v="Jesus Reyes Rodriguez (1171171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09-26T00:00:00"/>
    <d v="2026-06-15T00:00:00"/>
    <n v="6.7232876712328764"/>
  </r>
  <r>
    <n v="4053893"/>
    <s v="Omar Esau Contreras Garcia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3-14T00:00:00"/>
    <d v="2026-06-15T00:00:00"/>
    <n v="4.2575342465753421"/>
  </r>
  <r>
    <n v="572488"/>
    <s v="Ana Karen Briseño Plascencia"/>
    <s v="Regular"/>
    <s v="Direct"/>
    <s v="Associate Production Supervisor "/>
    <m/>
    <x v="1"/>
    <s v="IST"/>
    <s v="Jesus Reyes Rodriguez (1171171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Support [Primary Function]"/>
    <d v="2011-10-10T00:00:00"/>
    <d v="2026-06-15T00:00:00"/>
    <n v="14.69041095890411"/>
  </r>
  <r>
    <n v="939195"/>
    <s v="Abraham Medina Aranda"/>
    <s v="Regular"/>
    <s v="Direct"/>
    <s v="Production Supervisor "/>
    <m/>
    <x v="1"/>
    <s v="IST"/>
    <s v="Jesus Reyes Rodriguez (1171171)"/>
    <s v="Oscar Daniel Ocampo de la Barrera (1013610)"/>
    <s v="Ricardo Lozano Malacara (34385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07-04T00:00:00"/>
    <d v="2026-06-15T00:00:00"/>
    <n v="9.9534246575342458"/>
  </r>
  <r>
    <n v="968978"/>
    <s v="Maria Julia Medina Ortega"/>
    <s v="Regular"/>
    <s v="Direct"/>
    <s v="Production Supervisor "/>
    <m/>
    <x v="1"/>
    <s v="IST"/>
    <s v="Jesus Reyes Rodriguez (1171171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06-09T00:00:00"/>
    <d v="2026-06-15T00:00:00"/>
    <n v="10.021917808219179"/>
  </r>
  <r>
    <n v="1177360"/>
    <s v="Gerardo Antuna Hernandez"/>
    <s v="Regular"/>
    <s v="Direct"/>
    <s v="Process Engineering Technician "/>
    <m/>
    <x v="9"/>
    <s v="AME"/>
    <s v="Johnattan Fernando Guerrero Velazquez (On Leave) (34299)"/>
    <s v="Jorge Alberto Aguilar Bernal (554597)"/>
    <s v="Juan Carlos Gonzalez Ocaranza (25018)"/>
    <s v="Gdl 2"/>
    <s v="Bldg 29"/>
    <n v="1300"/>
    <s v="MFG North Guad, MEX 300-Flextronics Manufacturing Mex, S.A. de C.V.-Philo Cloud-CLOUD SERVER &amp; S-PCBA_GUAD_300-Philo VLP [Customer Dimensions]"/>
    <s v="MX-GDL-Guad North-B29 [Primary Function]"/>
    <d v="2023-04-17T00:00:00"/>
    <d v="2026-06-15T00:00:00"/>
    <n v="3.1643835616438358"/>
  </r>
  <r>
    <n v="23874"/>
    <s v="Raymundo Murillo Rosales"/>
    <s v="Regular"/>
    <s v="Direct"/>
    <s v="Process Engineering Technician "/>
    <m/>
    <x v="9"/>
    <s v="AME"/>
    <s v="Johnattan Fernando Guerrero Velazquez (On Leave) (34299)"/>
    <s v="Jorge Alberto Aguilar Bernal (554597)"/>
    <s v="Juan Carlos Gonzalez Ocaranza (25018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2-02-27T00:00:00"/>
    <d v="2026-06-15T00:00:00"/>
    <n v="14.306849315068494"/>
  </r>
  <r>
    <n v="3006613"/>
    <s v="Polet Anay Murillo Lopez"/>
    <s v="Regular"/>
    <s v="Direct"/>
    <s v="Engineering Technician "/>
    <m/>
    <x v="9"/>
    <s v="AME"/>
    <s v="Johnattan Fernando Guerrero Velazquez (On Leave) (34299)"/>
    <s v="Jorge Alberto Aguilar Bernal (554597)"/>
    <s v="Juan Carlos Gonzalez Ocaranza (25018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08-02T00:00:00"/>
    <d v="2026-06-15T00:00:00"/>
    <n v="7.8739726027397259"/>
  </r>
  <r>
    <n v="4065455"/>
    <s v="Marcela Anel Teposte Camarillo"/>
    <s v="Regular"/>
    <s v="Direct"/>
    <s v="SMT Operator "/>
    <m/>
    <x v="9"/>
    <s v="AME"/>
    <s v="Johnattan Fernando Guerrero Velazquez (On Leave) (34299)"/>
    <s v="Jorge Alberto Aguilar Bernal (554597)"/>
    <s v="Juan Carlos Gonzalez Ocaranza (25018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01T00:00:00"/>
    <d v="2026-06-15T00:00:00"/>
    <n v="3.7890410958904108"/>
  </r>
  <r>
    <n v="4086316"/>
    <s v="Luis Ricardo Soto Mendez"/>
    <s v="Regular"/>
    <s v="Direct"/>
    <s v="SMT Operator "/>
    <m/>
    <x v="9"/>
    <s v="AME"/>
    <s v="Johnattan Fernando Guerrero Velazquez (On Leave) (34299)"/>
    <s v="Jorge Alberto Aguilar Bernal (554597)"/>
    <s v="Juan Carlos Gonzalez Ocaranza (25018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10T00:00:00"/>
    <d v="2026-06-15T00:00:00"/>
    <n v="3.1835616438356165"/>
  </r>
  <r>
    <n v="1046386"/>
    <s v="Jessica Jacqueline Delgado Parra"/>
    <s v="Regular"/>
    <s v="Indirect"/>
    <s v="Supplier Quality Engine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18-04-23T00:00:00"/>
    <d v="2026-06-15T00:00:00"/>
    <n v="8.1506849315068486"/>
  </r>
  <r>
    <n v="1070969"/>
    <s v="José Omar Lozano Rodríguez"/>
    <s v="Regular"/>
    <s v="Indirect"/>
    <s v="Quality Manag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2-05-23T00:00:00"/>
    <d v="2026-06-15T00:00:00"/>
    <n v="4.065753424657534"/>
  </r>
  <r>
    <n v="1233339"/>
    <s v="Kazlova Estefanía Lamas Ramírez"/>
    <s v="Regular"/>
    <s v="Indirect"/>
    <s v="Quality Engine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6-01T00:00:00"/>
    <d v="2026-06-15T00:00:00"/>
    <n v="3.8356164383561646E-2"/>
  </r>
  <r>
    <n v="1234163"/>
    <s v="Arturo de Jesus Gil Hernandez"/>
    <s v="Regular"/>
    <s v="Indirect"/>
    <s v="Design Quality Engine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989100"/>
    <s v="Karina Tapia Montoya"/>
    <s v="Regular"/>
    <s v="Indirect"/>
    <s v="Quality Manag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31849"/>
    <s v="Juan Jose Alonzo Casillas"/>
    <s v="Regular"/>
    <s v="Indirect"/>
    <s v="Supplier Quality Engineering Manag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3-02-27T00:00:00"/>
    <d v="2026-06-15T00:00:00"/>
    <n v="3.2986301369863016"/>
  </r>
  <r>
    <n v="862068"/>
    <s v="Simon Pedro Gradilla Palafox"/>
    <s v="Regular"/>
    <s v="Indirect"/>
    <s v="Quality Manag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13-10-28T00:00:00"/>
    <d v="2026-06-15T00:00:00"/>
    <n v="12.638356164383561"/>
  </r>
  <r>
    <n v="926305"/>
    <s v="Ulises Noe Vega Arreola"/>
    <s v="Regular"/>
    <s v="Indirect"/>
    <s v="Quality Manager "/>
    <m/>
    <x v="4"/>
    <s v="IDL"/>
    <s v="Jorge Adalberto Alba Perez (33249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3-09-11T00:00:00"/>
    <d v="2026-06-15T00:00:00"/>
    <n v="2.7616438356164386"/>
  </r>
  <r>
    <n v="1168330"/>
    <s v="Kimberly Melany Garcia Badillo"/>
    <s v="Regular"/>
    <s v="Direct"/>
    <s v="Process Engineering Technician "/>
    <m/>
    <x v="9"/>
    <s v="AME"/>
    <s v="Jorge Alberto Aguilar Bernal (554597)"/>
    <s v="Juan Carlos Gonzalez Ocaranza (25018)"/>
    <s v="Hector Rene Marin Hernandez (25480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2-11-07T00:00:00"/>
    <d v="2026-06-15T00:00:00"/>
    <n v="3.6054794520547944"/>
  </r>
  <r>
    <n v="1198802"/>
    <s v="Giovany Christopher Lujano Rosales"/>
    <s v="Regular"/>
    <s v="Direct"/>
    <s v="Engineering Technician "/>
    <m/>
    <x v="9"/>
    <s v="AME"/>
    <s v="Jorge Alberto Aguilar Bernal (554597)"/>
    <s v="Juan Carlos Gonzalez Ocaranza (25018)"/>
    <s v="Hector Rene Marin Hernandez (2548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1-25T00:00:00"/>
    <d v="2026-06-15T00:00:00"/>
    <n v="1.5534246575342465"/>
  </r>
  <r>
    <n v="4051922"/>
    <s v="Jesus Alfonso Buelna Camacho"/>
    <s v="Regular"/>
    <s v="Direct"/>
    <s v="Process Engineering Technician "/>
    <m/>
    <x v="9"/>
    <s v="AME"/>
    <s v="Jorge Alberto Aguilar Bernal (554597)"/>
    <s v="Juan Carlos Gonzalez Ocaranza (25018)"/>
    <s v="Hector Rene Marin Hernandez (2548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2-24T00:00:00"/>
    <d v="2026-06-15T00:00:00"/>
    <n v="4.3068493150684928"/>
  </r>
  <r>
    <n v="892050"/>
    <s v="Maria Teresa Covarrubias Rodriguez"/>
    <s v="Regular"/>
    <s v="Direct"/>
    <s v="Process Engineering Technician "/>
    <m/>
    <x v="9"/>
    <s v="AME"/>
    <s v="Jorge Alberto Aguilar Bernal (554597)"/>
    <s v="Juan Carlos Gonzalez Ocaranza (25018)"/>
    <s v="Hector Rene Marin Hernandez (2548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04T00:00:00"/>
    <d v="2026-06-15T00:00:00"/>
    <n v="1.6109589041095891"/>
  </r>
  <r>
    <n v="1048190"/>
    <s v="Julio César Moreno Monroy"/>
    <s v="Regular"/>
    <s v="Indirect"/>
    <s v="Process Engineer "/>
    <m/>
    <x v="4"/>
    <s v="NPI"/>
    <s v="Jorge Andres Rivera Diaz (584977)"/>
    <s v="Christian Jesus Gonzalez Iñiguez (21810)"/>
    <s v="Abraham Sinuhe Garcia Valencia (24425)"/>
    <s v="Mix"/>
    <s v="Bldg 29"/>
    <n v="6900"/>
    <s v="MFG North Guad, MEX 300-Flextronics Manufacturing Mex, S.A. de C.V.-Philo Cloud-CLOUD SERVER &amp; S-PCBA_GUAD_300-Philo VLP [Customer Dimensions]"/>
    <s v="MX-GDL-Guadalajara North CEC [Primary Function]"/>
    <d v="2018-05-14T00:00:00"/>
    <d v="2026-06-15T00:00:00"/>
    <n v="8.0931506849315067"/>
  </r>
  <r>
    <n v="1021193"/>
    <s v="Marieli Aylin Pantaleon Molina"/>
    <s v="Regular"/>
    <s v="Direct"/>
    <s v="Process Engineering Technician "/>
    <m/>
    <x v="10"/>
    <s v="NPI"/>
    <s v="Jorge Andres Rivera Diaz (584977)"/>
    <s v="Christian Jesus Gonzalez Iñiguez (21810)"/>
    <s v="Abraham Sinuhe Garcia Valencia (2442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15T00:00:00"/>
    <d v="2026-06-15T00:00:00"/>
    <n v="0"/>
  </r>
  <r>
    <n v="4038308"/>
    <s v="Alma Angelica Ortega De Leon"/>
    <s v="Regular"/>
    <s v="Direct"/>
    <s v="Quality Auditor "/>
    <m/>
    <x v="3"/>
    <s v="Calidad"/>
    <s v="Jorge Armando Morales Chavez (1147397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5-31T00:00:00"/>
    <d v="2026-06-15T00:00:00"/>
    <n v="5.043835616438356"/>
  </r>
  <r>
    <n v="4121170"/>
    <s v="Uriel Acatzin Alvarez Espinosa"/>
    <s v="Regular"/>
    <s v="Direct"/>
    <s v="Quality Auditor "/>
    <m/>
    <x v="3"/>
    <s v="Calidad"/>
    <s v="Jorge Armando Morales Chavez (1147397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71"/>
    <s v="Yhao Carlos Raziel Maldonado Mora"/>
    <s v="Regular"/>
    <s v="Direct"/>
    <s v="Quality Auditor "/>
    <m/>
    <x v="3"/>
    <s v="Calidad"/>
    <s v="Jorge Armando Morales Chavez (1147397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76"/>
    <s v="Brenda Jacqueline Yepez Araujo"/>
    <s v="Regular"/>
    <s v="Direct"/>
    <s v="Quality Auditor "/>
    <m/>
    <x v="3"/>
    <s v="Calidad"/>
    <s v="Jorge Armando Morales Chavez (1147397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608796"/>
    <s v="Alfonso Buenrostro Zaragoza"/>
    <s v="Regular"/>
    <s v="Direct"/>
    <s v="Quality Auditor "/>
    <m/>
    <x v="3"/>
    <s v="Calidad"/>
    <s v="Jorge Armando Morales Chavez (1147397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3007763"/>
    <s v="Luis Enrique Ramirez Santana"/>
    <s v="Regular"/>
    <s v="Direct"/>
    <s v="Process Engineering Technician "/>
    <m/>
    <x v="9"/>
    <s v="AME"/>
    <s v="Jorge Contreras Rivera (25353)"/>
    <s v="Omar Garcia Lopez (31870)"/>
    <s v="Shaneel Deo (1210081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10T00:00:00"/>
    <d v="2026-06-15T00:00:00"/>
    <n v="2.9342465753424656"/>
  </r>
  <r>
    <n v="990899"/>
    <s v="Eduardo Mayoral Siordia"/>
    <s v="Regular"/>
    <s v="Indirect"/>
    <s v="Process Engineer "/>
    <m/>
    <x v="4"/>
    <s v="AME"/>
    <s v="Jorge Contreras Rivera (25353)"/>
    <s v="Omar Garcia Lopez (31870)"/>
    <s v="Shaneel Deo (1210081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8-22T00:00:00"/>
    <d v="2026-06-15T00:00:00"/>
    <n v="3.8164383561643835"/>
  </r>
  <r>
    <n v="35297"/>
    <s v="Angel Walther Gutierrez Buendia"/>
    <s v="Regular"/>
    <s v="Indirect"/>
    <s v="Test Engineer "/>
    <m/>
    <x v="4"/>
    <s v="IDL"/>
    <s v="Jorge Ignacio Diaz De Dios (1171980)"/>
    <s v="Carlos Alberto Castañeda Muñoz (33755)"/>
    <s v="Rogelio Guzman Sanchez (1173106)"/>
    <s v="Mix"/>
    <s v="Bldg 29"/>
    <n v="6900"/>
    <s v="MFG North Guad, MEX 300-Flextronics Manufacturing Mex, S.A. de C.V.-Philo Cloud-CLOUD SERVER &amp; S-PCBA_GUAD_300-Philo VLP [Customer Dimensions]"/>
    <s v="MX-GDL-Guad North CEC-Ops-B30-Philo [Primary Function]"/>
    <d v="2009-11-02T00:00:00"/>
    <d v="2026-06-15T00:00:00"/>
    <n v="16.627397260273973"/>
  </r>
  <r>
    <n v="962342"/>
    <s v="Nelson Uriel Suarez Villa"/>
    <s v="Regular"/>
    <s v="Indirect"/>
    <s v="Test Engineer "/>
    <m/>
    <x v="4"/>
    <s v="IDL"/>
    <s v="Jorge Ignacio Diaz De Dios (1171980)"/>
    <s v="Carlos Alberto Castañeda Muñoz (33755)"/>
    <s v="Rogelio Guzman Sanchez (1173106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6-04-18T00:00:00"/>
    <d v="2026-06-15T00:00:00"/>
    <n v="10.164383561643836"/>
  </r>
  <r>
    <n v="1083840"/>
    <s v="Julio Cesar Valdes Nuño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Support [Primary Function]"/>
    <d v="2018-10-15T00:00:00"/>
    <d v="2026-06-15T00:00:00"/>
    <n v="7.6712328767123283"/>
  </r>
  <r>
    <n v="1088828"/>
    <s v="Julio Anselmo Espinoza Montoya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1-02T00:00:00"/>
    <d v="2026-06-15T00:00:00"/>
    <n v="7.4547945205479449"/>
  </r>
  <r>
    <n v="1094657"/>
    <s v="Mariana Lizeth de la Rocha Gómez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2T00:00:00"/>
    <d v="2026-06-15T00:00:00"/>
    <n v="3.452054794520548"/>
  </r>
  <r>
    <n v="1150978"/>
    <s v="Erick Jair Perez Diego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9T00:00:00"/>
    <d v="2026-06-15T00:00:00"/>
    <n v="3.4328767123287673"/>
  </r>
  <r>
    <n v="1180609"/>
    <s v="Veronica Alejandra Meza Morales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23-07-24T00:00:00"/>
    <d v="2026-06-15T00:00:00"/>
    <n v="2.8958904109589043"/>
  </r>
  <r>
    <n v="1233361"/>
    <s v="Dulce Paola Rosas Peraza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-B30 [Primary Function]"/>
    <d v="2026-06-01T00:00:00"/>
    <d v="2026-06-15T00:00:00"/>
    <n v="3.8356164383561646E-2"/>
  </r>
  <r>
    <n v="20125"/>
    <s v="Jose Miguel Ortega De La Cruz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26523"/>
    <s v="Juan Carlos Jimenez Chavarin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6-07-31T00:00:00"/>
    <d v="2026-06-15T00:00:00"/>
    <n v="19.887671232876713"/>
  </r>
  <r>
    <n v="28770"/>
    <s v="Mario Carrillo Santiago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21T00:00:00"/>
    <d v="2026-06-15T00:00:00"/>
    <n v="3.2383561643835614"/>
  </r>
  <r>
    <n v="3001602"/>
    <s v="Jose Abel Ruiz Vazquez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9-18T00:00:00"/>
    <d v="2026-06-15T00:00:00"/>
    <n v="8.7452054794520553"/>
  </r>
  <r>
    <n v="4100686"/>
    <s v="Braulio Arreguin Martinez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877336"/>
    <s v="Yesenia Ruiz Larios"/>
    <s v="Regular"/>
    <s v="Direct"/>
    <s v="Test Technician "/>
    <m/>
    <x v="6"/>
    <s v="Pruebas"/>
    <s v="Jorge Orlando Hernández Herrera (1175411)"/>
    <s v="Rafael Gabriel Ojeda Ruiz (96267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02T00:00:00"/>
    <d v="2026-06-15T00:00:00"/>
    <n v="0.28767123287671231"/>
  </r>
  <r>
    <n v="1126642"/>
    <s v="Hugo Gerardo Rivera Rios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Support [Primary Function]"/>
    <d v="2021-04-12T00:00:00"/>
    <d v="2026-06-15T00:00:00"/>
    <n v="5.1780821917808222"/>
  </r>
  <r>
    <n v="1149562"/>
    <s v="Cesar Quezada Castrejon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3-22T00:00:00"/>
    <d v="2026-06-15T00:00:00"/>
    <n v="4.2356164383561641"/>
  </r>
  <r>
    <n v="1154235"/>
    <s v="Alfonso Adan Estrada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5-05T00:00:00"/>
    <d v="2026-06-15T00:00:00"/>
    <n v="1.1123287671232878"/>
  </r>
  <r>
    <n v="1160875"/>
    <s v="Eduardo Richerd Armenta Meza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8-15T00:00:00"/>
    <d v="2026-06-15T00:00:00"/>
    <n v="3.8356164383561642"/>
  </r>
  <r>
    <n v="1175739"/>
    <s v="Jonathan Mulgado Gonzalez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13T00:00:00"/>
    <d v="2026-06-15T00:00:00"/>
    <n v="3.2602739726027399"/>
  </r>
  <r>
    <n v="31450"/>
    <s v="Jose Antonio Cortes Chavez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3-11-11T00:00:00"/>
    <d v="2026-06-15T00:00:00"/>
    <n v="12.6"/>
  </r>
  <r>
    <n v="4047361"/>
    <s v="Guillermo Molina Zetina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1-10T00:00:00"/>
    <d v="2026-06-15T00:00:00"/>
    <n v="4.4301369863013695"/>
  </r>
  <r>
    <n v="4076642"/>
    <s v="Erick Yahir Navarro Arvizu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5T00:00:00"/>
    <d v="2026-06-15T00:00:00"/>
    <n v="3.4438356164383563"/>
  </r>
  <r>
    <n v="836196"/>
    <s v="Jose Manuel Elizalde Silva"/>
    <s v="Regular"/>
    <s v="Direct"/>
    <s v="Engineering Technician "/>
    <m/>
    <x v="7"/>
    <s v="Equipos"/>
    <s v="Jose Adan Najar Plasencia (23521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0-17T00:00:00"/>
    <d v="2026-06-15T00:00:00"/>
    <n v="3.6630136986301371"/>
  </r>
  <r>
    <n v="1172814"/>
    <s v="Antonio Gonzalez Hernandez"/>
    <s v="Regular"/>
    <s v="Direct"/>
    <s v="Associate Production Supervisor "/>
    <m/>
    <x v="5"/>
    <s v="Industrial "/>
    <s v="Jose Alexis Petris Castro (1093188)"/>
    <s v="Marco Antonio Meza Mancilla (586265)"/>
    <s v="Monica Maria Carrillo Renteria (25040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16T00:00:00"/>
    <d v="2026-06-15T00:00:00"/>
    <n v="3.4136986301369863"/>
  </r>
  <r>
    <n v="1197929"/>
    <s v="Luis Enrique Valdivia Cobian"/>
    <s v="Regular"/>
    <s v="Direct"/>
    <s v="Associate Production Supervisor "/>
    <m/>
    <x v="5"/>
    <s v="Industrial "/>
    <s v="Jose Alexis Petris Castro (1093188)"/>
    <s v="Marco Antonio Meza Mancilla (586265)"/>
    <s v="Monica Maria Carrillo Renteria (25040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04T00:00:00"/>
    <d v="2026-06-15T00:00:00"/>
    <n v="1.6109589041095891"/>
  </r>
  <r>
    <n v="966542"/>
    <s v="Bianca Melissa Cardona Anguiano"/>
    <s v="Regular"/>
    <s v="Direct"/>
    <s v="Engineering Technician "/>
    <m/>
    <x v="5"/>
    <s v="Industrial "/>
    <s v="Jose Alexis Petris Castro (1093188)"/>
    <s v="Marco Antonio Meza Mancilla (586265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1233698"/>
    <s v="Misael Isai Gomez Lomeli"/>
    <s v="Regular"/>
    <s v="Direct"/>
    <s v="Associate Production Supervisor "/>
    <m/>
    <x v="5"/>
    <s v="Lean "/>
    <s v="Jose Alfonso Pesquera Rodriguez (31543)"/>
    <s v="Monica Maria Carrillo Renteria (2504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1179791"/>
    <s v="Alan Rhamses Gutiérrez Torres"/>
    <s v="Regular"/>
    <s v="Indirect"/>
    <s v="Industrial Engineer "/>
    <m/>
    <x v="4"/>
    <s v="IDL"/>
    <s v="Jose Alfonso Pesquera Rodriguez (31543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7-03T00:00:00"/>
    <d v="2026-06-15T00:00:00"/>
    <n v="2.9534246575342467"/>
  </r>
  <r>
    <n v="4010783"/>
    <s v="Martha Noemi Aguayo Reyes"/>
    <s v="Regular"/>
    <s v="Direct"/>
    <s v="Associate Production Supervisor "/>
    <m/>
    <x v="5"/>
    <s v="Lean"/>
    <s v="Jose Alfonso Pesquera Rodriguez (31543)"/>
    <s v="Monica Maria Carrillo Renteria (25040)"/>
    <s v="Ricardo Lozano Malacara (34385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8-22T00:00:00"/>
    <d v="2026-06-15T00:00:00"/>
    <n v="6.8191780821917805"/>
  </r>
  <r>
    <n v="40513"/>
    <s v="Rey Alberto Lechuga Garcia"/>
    <s v="Regular"/>
    <s v="Direct"/>
    <s v="Warehouse Supervisor "/>
    <m/>
    <x v="0"/>
    <s v="Almacén"/>
    <s v="Jose Cruz Mesillas Gutierrez (958559)"/>
    <s v="Manuel Vazquez Maldonado (1146319)"/>
    <s v="Juan Jose Rivera Mendez (21344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0-10-08T00:00:00"/>
    <d v="2026-06-15T00:00:00"/>
    <n v="15.695890410958905"/>
  </r>
  <r>
    <n v="950916"/>
    <s v="Marcos Osbaldo VILLAFAN Garcia"/>
    <s v="Regular"/>
    <s v="Direct"/>
    <s v="Warehouse Supervisor "/>
    <m/>
    <x v="0"/>
    <s v="Almacén"/>
    <s v="Jose Cruz Mesillas Gutierrez (958559)"/>
    <s v="Manuel Vazquez Maldonado (1146319)"/>
    <s v="Juan Jose Rivera Mendez (21344)"/>
    <s v="Gdl 3"/>
    <s v="Bldg 29"/>
    <n v="1500"/>
    <s v="MFG North Guad, MEX 300-Flextronics Manufacturing Mex, S.A. de C.V.-Philo Cloud-CLOUD SERVER &amp; S-PCBA_GUAD_300-Philo VLP [Customer Dimensions]"/>
    <s v="MX-GDL-Guad North CEC-Support [Primary Function]"/>
    <d v="2026-04-20T00:00:00"/>
    <d v="2026-06-15T00:00:00"/>
    <n v="0.15342465753424658"/>
  </r>
  <r>
    <n v="1011060"/>
    <s v="Alicia Iñiguez Ramos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14663"/>
    <s v="Sandra Sofia Rodriguez De Mano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12-02T00:00:00"/>
    <d v="2026-06-15T00:00:00"/>
    <n v="6.5397260273972604"/>
  </r>
  <r>
    <n v="4026387"/>
    <s v="Maria de la Luz Ramirez Mader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30869"/>
    <s v="Adriana Daniela Vera Nuñe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41609"/>
    <s v="Maria del Sagrario Santillan Orteg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4T00:00:00"/>
    <d v="2026-06-15T00:00:00"/>
    <n v="1.9753424657534246"/>
  </r>
  <r>
    <n v="4058130"/>
    <s v="Leticia Blanco Vivanco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64078"/>
    <s v="Martina Mendoza Uribe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64361"/>
    <s v="Martha Cecilia Ramirez River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18T00:00:00"/>
    <d v="2026-06-15T00:00:00"/>
    <n v="3.8273972602739725"/>
  </r>
  <r>
    <n v="4065162"/>
    <s v="Erika Elizabeth Rodriguez Rodrigue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6-15T00:00:00"/>
    <d v="2026-06-15T00:00:00"/>
    <n v="3.0027397260273974"/>
  </r>
  <r>
    <n v="4075949"/>
    <s v="Susana Jimenez Montaño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078450"/>
    <s v="Carlos Jesus Novas Luevano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19T00:00:00"/>
    <d v="2026-06-15T00:00:00"/>
    <n v="3.4054794520547946"/>
  </r>
  <r>
    <n v="4087439"/>
    <s v="Clementina Sanchez Martine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20T00:00:00"/>
    <d v="2026-06-15T00:00:00"/>
    <n v="3.1561643835616437"/>
  </r>
  <r>
    <n v="4089278"/>
    <s v="Maria Belen Rivera Garci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5-25T00:00:00"/>
    <d v="2026-06-15T00:00:00"/>
    <n v="3.0602739726027397"/>
  </r>
  <r>
    <n v="4094710"/>
    <s v="Elisa Cortes Cru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099948"/>
    <s v="Rosa Elena Chavez Hinojos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099949"/>
    <s v="Arnulfo Lopez Avil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099962"/>
    <s v="Alberto Demetrio Lopez Delgado"/>
    <s v="Regular"/>
    <s v="Direct"/>
    <s v="SMT Operato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099966"/>
    <s v="Rosalba Macias Roble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00897"/>
    <s v="Alma Susana Moreno Flore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02089"/>
    <s v="Ruth Rios Velazque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4T00:00:00"/>
    <d v="2026-06-15T00:00:00"/>
    <n v="1.9753424657534246"/>
  </r>
  <r>
    <n v="4104686"/>
    <s v="Juan Antonio Cipriano Navarro"/>
    <s v="Regular"/>
    <s v="Direct"/>
    <s v="SMT Operato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29T00:00:00"/>
    <d v="2026-06-15T00:00:00"/>
    <n v="1.7945205479452055"/>
  </r>
  <r>
    <n v="4110742"/>
    <s v="Noelia Contreras Gomez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12619"/>
    <s v="Evelyn Cassandra Garcia Rio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3T00:00:00"/>
    <d v="2026-06-15T00:00:00"/>
    <n v="1.3342465753424657"/>
  </r>
  <r>
    <n v="4113270"/>
    <s v="Alondra Jazmin Cruz Rosa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17970"/>
    <s v="Bertha Paola Jimenez Chavez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1077"/>
    <s v="Alberto Velazquez Cuevas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56"/>
    <s v="Brenda Ma Guadalupe Gonzalez Zepeda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4189"/>
    <s v="Marcela Montserrat Navarro Larios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196"/>
    <s v="Yadira Carolina Aguilar Nuñez"/>
    <s v="Fixed Term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21059"/>
    <s v="Maria de Jesus Perez Vazquez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926154"/>
    <s v="Evelia Garcia Jimenez"/>
    <s v="Regular"/>
    <s v="Direct"/>
    <s v="Quality Technician "/>
    <m/>
    <x v="1"/>
    <s v="RMAs"/>
    <s v="José de Jesús Siordia Rivera (1134565)"/>
    <s v="Marco Antonio Lozano Gómez (1139161)"/>
    <s v="Oscar Daniel Ocampo de la Barrera (1013610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2-04T00:00:00"/>
    <d v="2026-06-15T00:00:00"/>
    <n v="5.3616438356164382"/>
  </r>
  <r>
    <n v="995167"/>
    <s v="Joanna Palmira Rangel Tapia"/>
    <s v="Regular"/>
    <s v="Direct"/>
    <s v="Assembler "/>
    <m/>
    <x v="1"/>
    <s v="RMAs"/>
    <s v="José de Jesús Siordia Rivera (1134565)"/>
    <s v="Marco Antonio Lozano Gómez (113916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05T00:00:00"/>
    <d v="2026-06-15T00:00:00"/>
    <n v="3.7780821917808218"/>
  </r>
  <r>
    <n v="1003062"/>
    <s v="Deyvi Jesus Salazar Lop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4-10T00:00:00"/>
    <d v="2026-06-15T00:00:00"/>
    <n v="3.1835616438356165"/>
  </r>
  <r>
    <n v="1027765"/>
    <s v="Edgar Enrique Villaseñor Juar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9T00:00:00"/>
    <d v="2026-06-15T00:00:00"/>
    <n v="3.4328767123287673"/>
  </r>
  <r>
    <n v="1127759"/>
    <s v="Jorge Jarquin Martin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26T00:00:00"/>
    <d v="2026-06-15T00:00:00"/>
    <n v="5.13972602739726"/>
  </r>
  <r>
    <n v="1151497"/>
    <s v="Fernando Daniel Zarate Dia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18T00:00:00"/>
    <d v="2026-06-15T00:00:00"/>
    <n v="4.161643835616438"/>
  </r>
  <r>
    <n v="1174353"/>
    <s v="Jorge samuel Damian Ramír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74354"/>
    <s v="Eduardo Sotelo Reynoso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1179315"/>
    <s v="Daniel Solorzano Pizano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19T00:00:00"/>
    <d v="2026-06-15T00:00:00"/>
    <n v="2.9917808219178084"/>
  </r>
  <r>
    <n v="1179734"/>
    <s v="Joseph Mitchell Bañuelos Martinez"/>
    <s v="Regular"/>
    <s v="Direct"/>
    <s v="Failure Analysis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03T00:00:00"/>
    <d v="2026-06-15T00:00:00"/>
    <n v="2.9534246575342467"/>
  </r>
  <r>
    <n v="1180074"/>
    <s v="Gerardo Jesús Santiago Carrillo"/>
    <s v="Regular"/>
    <s v="Direct"/>
    <s v="Failure Analysis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10T00:00:00"/>
    <d v="2026-06-15T00:00:00"/>
    <n v="2.9342465753424656"/>
  </r>
  <r>
    <n v="1182913"/>
    <s v="Osvaldo Ivan Ortega Ortega"/>
    <s v="Regular"/>
    <s v="Direct"/>
    <s v="Failure Analysis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-B29 [Primary Function]"/>
    <d v="2023-09-18T00:00:00"/>
    <d v="2026-06-15T00:00:00"/>
    <n v="2.7424657534246575"/>
  </r>
  <r>
    <n v="1197573"/>
    <s v="Carlos Eduardo Mojica Bedoy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28T00:00:00"/>
    <d v="2026-06-15T00:00:00"/>
    <n v="1.6301369863013699"/>
  </r>
  <r>
    <n v="1229440"/>
    <s v="Roberto Ivan Pérez García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21552"/>
    <s v="Saul Arguijo Hernand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7-18T00:00:00"/>
    <d v="2026-06-15T00:00:00"/>
    <n v="9.9150684931506845"/>
  </r>
  <r>
    <n v="27673"/>
    <s v="Cornelio Castro Orozco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7-11-19T00:00:00"/>
    <d v="2026-06-15T00:00:00"/>
    <n v="18.583561643835615"/>
  </r>
  <r>
    <n v="3002028"/>
    <s v="Jorge Aragon Don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1-14T00:00:00"/>
    <d v="2026-06-15T00:00:00"/>
    <n v="3.5863013698630137"/>
  </r>
  <r>
    <n v="31764"/>
    <s v="Abraham Palacios Gonzalez"/>
    <s v="Regular"/>
    <s v="Direct"/>
    <s v="Engineering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08-27T00:00:00"/>
    <d v="2026-06-15T00:00:00"/>
    <n v="7.8054794520547945"/>
  </r>
  <r>
    <n v="35754"/>
    <s v="Carlos Jesus Cortes Juarez"/>
    <s v="Regular"/>
    <s v="Direct"/>
    <s v="Test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7-14T00:00:00"/>
    <d v="2026-06-15T00:00:00"/>
    <n v="0.92054794520547945"/>
  </r>
  <r>
    <n v="4001551"/>
    <s v="FATIMA JAQUELIN VAZQUEZ FIGUEROA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12-27T00:00:00"/>
    <d v="2026-06-15T00:00:00"/>
    <n v="4.4684931506849317"/>
  </r>
  <r>
    <n v="4005469"/>
    <s v="ESPERANZA GUADALUPE RODRIGUEZ RAMIREZ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16T00:00:00"/>
    <d v="2026-06-15T00:00:00"/>
    <n v="3.4136986301369863"/>
  </r>
  <r>
    <n v="847873"/>
    <s v="Nayra Mahali Gómez Serna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0-03T00:00:00"/>
    <d v="2026-06-15T00:00:00"/>
    <n v="3.7013698630136984"/>
  </r>
  <r>
    <n v="959699"/>
    <s v="BRUNO DANIEL LOPEZ GUZMAN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7-04T00:00:00"/>
    <d v="2026-06-15T00:00:00"/>
    <n v="3.9506849315068493"/>
  </r>
  <r>
    <n v="963576"/>
    <s v="Eric Uriel Sayavedra Ruvalcaba"/>
    <s v="Regular"/>
    <s v="Direct"/>
    <s v="Debug Technician "/>
    <m/>
    <x v="6"/>
    <s v="Diagnóstico"/>
    <s v="Jose Guillermo Trujillo Ramirez (1088220)"/>
    <s v="Carlos Alberto Castañeda Muñoz (33755)"/>
    <s v="Rogelio Guzman Sanchez (1173106)"/>
    <s v="Gdl 2"/>
    <s v="Bldg 29"/>
    <n v="1300"/>
    <s v="MFG North Guad, MEX 300-Flextronics Manufacturing Mex, S.A. de C.V.-Philo Cloud-CLOUD SERVER &amp; S-PCBA_GUAD_300-Philo VLP [Customer Dimensions]"/>
    <s v="MX-GDL-Guad North CEC-Support [Primary Function]"/>
    <d v="2016-05-02T00:00:00"/>
    <d v="2026-06-15T00:00:00"/>
    <n v="10.126027397260273"/>
  </r>
  <r>
    <n v="1011220"/>
    <s v="Ana Yanet Casas Prieto"/>
    <s v="Regular"/>
    <s v="Direct"/>
    <s v="Warehouse Lead "/>
    <m/>
    <x v="0"/>
    <s v="Almacén"/>
    <s v="Jose Nieves Gutierrez Gutierrez (23000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05-26T00:00:00"/>
    <d v="2026-06-15T00:00:00"/>
    <n v="4.0575342465753428"/>
  </r>
  <r>
    <n v="4052195"/>
    <s v="Yagima Cuellar Valle"/>
    <s v="Regular"/>
    <s v="Direct"/>
    <s v="Material Expediter "/>
    <m/>
    <x v="0"/>
    <s v="Almacén"/>
    <s v="Jose Nieves Gutierrez Gutierrez (23000)"/>
    <s v="Manuel Vazquez Maldonado (1146319)"/>
    <s v="Juan Jose Rivera Mendez (21344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077568"/>
    <s v="Elvin Ismael Juarez Castillo"/>
    <s v="Regular"/>
    <s v="Direct"/>
    <s v="Forklift Driver "/>
    <m/>
    <x v="0"/>
    <s v="Almacén"/>
    <s v="Jose Nieves Gutierrez Gutierrez (23000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-B29-CEC-Ops-Cisco [Primary Function]"/>
    <d v="2023-01-12T00:00:00"/>
    <d v="2026-06-15T00:00:00"/>
    <n v="3.4246575342465753"/>
  </r>
  <r>
    <n v="4122591"/>
    <s v="Estefania Sanchez Cardenas"/>
    <s v="Fixed Term"/>
    <s v="Direct"/>
    <s v="Material Expediter "/>
    <m/>
    <x v="0"/>
    <s v="Almacén"/>
    <s v="Jose Nieves Gutierrez Gutierrez (23000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92"/>
    <s v="Christian Jesus Ayala Gudiño"/>
    <s v="Fixed Term"/>
    <s v="Direct"/>
    <s v="Material Expediter "/>
    <m/>
    <x v="0"/>
    <s v="Almacén"/>
    <s v="Jose Nieves Gutierrez Gutierrez (23000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95"/>
    <s v="Juan Carlos Hernandez Reyes"/>
    <s v="Fixed Term"/>
    <s v="Direct"/>
    <s v="Material Expediter "/>
    <m/>
    <x v="0"/>
    <s v="Almacén"/>
    <s v="Jose Nieves Gutierrez Gutierrez (23000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891619"/>
    <s v="Ismael Mendez Ramirez"/>
    <s v="Regular"/>
    <s v="Direct"/>
    <s v="Material Expediter "/>
    <m/>
    <x v="0"/>
    <s v="Almacén"/>
    <s v="Jose Nieves Gutierrez Gutierrez (23000)"/>
    <s v="Manuel Vazquez Maldonado (1146319)"/>
    <s v="Juan Jose Rivera Mendez (21344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1005829"/>
    <s v="Ramon Andres Gomez Alonso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7-07T00:00:00"/>
    <d v="2026-06-15T00:00:00"/>
    <n v="3.9424657534246577"/>
  </r>
  <r>
    <n v="1005924"/>
    <s v="Ricardo de Jesus Cortes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045716"/>
    <s v="Oscar Eduardo Torres De la Cruz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31T00:00:00"/>
    <d v="2026-06-15T00:00:00"/>
    <n v="1.6219178082191781"/>
  </r>
  <r>
    <n v="4053911"/>
    <s v="Luis Angel Ramirez Hernandez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78431"/>
    <s v="Luis Enrique Prieto Delgado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19T00:00:00"/>
    <d v="2026-06-15T00:00:00"/>
    <n v="3.4054794520547946"/>
  </r>
  <r>
    <n v="4096058"/>
    <s v="Fernando Gael Hernandez Famoso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99991"/>
    <s v="Cuahutemoc Aparicio De Jesus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2T00:00:00"/>
    <d v="2026-06-15T00:00:00"/>
    <n v="2.1205479452054794"/>
  </r>
  <r>
    <n v="4103038"/>
    <s v="Manuel Viurquiz Tavares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03044"/>
    <s v="Jaime Garcia Covarrubias"/>
    <s v="Regular"/>
    <s v="Direct"/>
    <s v="SMT Operator "/>
    <m/>
    <x v="1"/>
    <s v="IST"/>
    <s v="Juan Carlos Grande Margarito (34830)"/>
    <s v="Jesus Reyes Rodriguez (1171171)"/>
    <s v="Oscar Daniel Ocampo de la Barrera (1013610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103361"/>
    <s v="Nayeli Antonio Martinez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04534"/>
    <s v="Jose Guadalupe Rivera Valderram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06583"/>
    <s v="Cecilia Arvizu Bacilio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31T00:00:00"/>
    <d v="2026-06-15T00:00:00"/>
    <n v="1.6219178082191781"/>
  </r>
  <r>
    <n v="4109654"/>
    <s v="Maira Edid Alcantar De Leon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09T00:00:00"/>
    <d v="2026-06-15T00:00:00"/>
    <n v="1.4301369863013698"/>
  </r>
  <r>
    <n v="4122395"/>
    <s v="Alfonso Cruz Valenzuel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2549"/>
    <s v="Pablo Sergio Sierra Arvizu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76"/>
    <s v="Noelia Azucena Garcia Espinoz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80"/>
    <s v="Abraham Rincon Meji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81"/>
    <s v="Juan Isael Lopez Aguirre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08"/>
    <s v="Angel Yahir Ledezma Ramirez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73"/>
    <s v="Gerardo Navarro Galindo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60"/>
    <s v="Alexis Leonardo Alcazar River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2998"/>
    <s v="Fernando Leon Gutierrez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029"/>
    <s v="Isidro Ramon Gonzalez Perez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4115"/>
    <s v="Raul Lopez Garcia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42"/>
    <s v="Jorge Luis Ibarra Hueso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212"/>
    <s v="Alejandra De La Cruz Fajardo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14"/>
    <s v="Martha Berenice Cordero Valle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847273"/>
    <s v="Mario Grano Ureña"/>
    <s v="Regular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02T00:00:00"/>
    <d v="2026-06-15T00:00:00"/>
    <n v="3.2904109589041095"/>
  </r>
  <r>
    <n v="958392"/>
    <s v="Anita Virgen Garay"/>
    <s v="Fixed Term"/>
    <s v="Direct"/>
    <s v="Assembler "/>
    <m/>
    <x v="1"/>
    <s v="IST"/>
    <s v="Juan Carlos Grande Margarito (34830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4268"/>
    <s v="Leonardo Jose Calderon Nuñez"/>
    <s v="Fixed Term"/>
    <s v="Direct"/>
    <s v="Assembler "/>
    <m/>
    <x v="1"/>
    <s v="IST"/>
    <s v="Juan Carlos Grande Margarito (34830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21069"/>
    <s v="Sergio David Serrano Barajas"/>
    <s v="Regular"/>
    <s v="Indirect"/>
    <s v="Operations Training Manager "/>
    <m/>
    <x v="4"/>
    <s v="IDL"/>
    <s v="Juan Carlos Tapia Lomeli (25276)"/>
    <s v="Jose Santiago Ortega Limon (1181033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3-01-02T00:00:00"/>
    <d v="2026-06-15T00:00:00"/>
    <n v="3.452054794520548"/>
  </r>
  <r>
    <n v="29723"/>
    <s v="Maria Auxilio Susana Garcia Sanchez"/>
    <s v="Regular"/>
    <s v="Indirect"/>
    <s v="Training Specialist "/>
    <m/>
    <x v="4"/>
    <s v="IDL"/>
    <s v="Juan Carlos Tapia Lomeli (25276)"/>
    <s v="Jose Santiago Ortega Limon (1181033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6-06-08T00:00:00"/>
    <d v="2026-06-15T00:00:00"/>
    <n v="1.9178082191780823E-2"/>
  </r>
  <r>
    <n v="881455"/>
    <s v="Fatima Liney Murillo Ledezma"/>
    <s v="Regular"/>
    <s v="Indirect"/>
    <s v="Training Specialist "/>
    <m/>
    <x v="4"/>
    <s v="IDL"/>
    <s v="Juan Carlos Tapia Lomeli (25276)"/>
    <s v="Jose Santiago Ortega Limon (1181033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16-06-27T00:00:00"/>
    <d v="2026-06-15T00:00:00"/>
    <n v="9.9726027397260282"/>
  </r>
  <r>
    <n v="1180833"/>
    <s v="Alonso Padilla Jimenez"/>
    <s v="Regular"/>
    <s v="Indirect"/>
    <s v="Quality Engineer "/>
    <m/>
    <x v="4"/>
    <s v="IDL"/>
    <s v="Juan Jose Alonzo Casillas (31849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Ops-B30-Philo [Primary Function]"/>
    <d v="2023-07-31T00:00:00"/>
    <d v="2026-06-15T00:00:00"/>
    <n v="2.8767123287671232"/>
  </r>
  <r>
    <n v="1229704"/>
    <s v="Wendolyn Tejeda Haro"/>
    <s v="Regular"/>
    <s v="Indirect"/>
    <s v="Quality Engineer "/>
    <m/>
    <x v="4"/>
    <s v="IDL"/>
    <s v="Juan Jose Alonzo Casillas (31849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4-06T00:00:00"/>
    <d v="2026-06-15T00:00:00"/>
    <n v="0.19178082191780821"/>
  </r>
  <r>
    <n v="841533"/>
    <s v="Julian Zavala Rios"/>
    <s v="Regular"/>
    <s v="Indirect"/>
    <s v="Quality Compliance Specialist "/>
    <m/>
    <x v="4"/>
    <s v="IDL"/>
    <s v="Juan Jose Alonzo Casillas (31849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13-04-08T00:00:00"/>
    <d v="2026-06-15T00:00:00"/>
    <n v="13.194520547945206"/>
  </r>
  <r>
    <n v="1146319"/>
    <s v="Manuel Vazquez Maldonado"/>
    <s v="Regular"/>
    <s v="Direct"/>
    <s v="Warehouse Manager "/>
    <m/>
    <x v="0"/>
    <s v="Almacén"/>
    <s v="Juan Jose Rivera Mendez (21344)"/>
    <s v="Manuel Alejandro Torres Delgado (22349)"/>
    <s v="Ruben Cesar Nyul Vazquez (1975170)"/>
    <s v="Mix"/>
    <s v="Bldg 29"/>
    <n v="1500"/>
    <s v="MFG North Guad, MEX 300-Flextronics Manufacturing Mex, S.A. de C.V.-Philo Cloud-CLOUD SERVER &amp; S-PCBA_GUAD_300-Philo VLP [Customer Dimensions]"/>
    <s v="MX-GDL-Guad North-B29-CEC-Ops-Cisco [Primary Function]"/>
    <d v="2022-02-08T00:00:00"/>
    <d v="2026-06-15T00:00:00"/>
    <n v="4.3506849315068497"/>
  </r>
  <r>
    <n v="31593"/>
    <s v="Carmen Ortega Gonzalez"/>
    <s v="Regular"/>
    <s v="Direct"/>
    <s v="Quality Technician "/>
    <m/>
    <x v="3"/>
    <s v="SQA"/>
    <s v="Juan Luis Valdez Jimenez (29410)"/>
    <s v="Jessica Jacqueline Delgado Parra (1046386)"/>
    <s v="Jorge Adalberto Alba Perez (33249)"/>
    <s v="Mix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4-04-05T00:00:00"/>
    <d v="2026-06-15T00:00:00"/>
    <n v="22.208219178082192"/>
  </r>
  <r>
    <n v="852342"/>
    <s v="Fabiola Diaz Aviña"/>
    <s v="Regular"/>
    <s v="Direct"/>
    <s v="Quality Technician "/>
    <m/>
    <x v="3"/>
    <s v="SQA"/>
    <s v="Juan Luis Valdez Jimenez (29410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3-08-05T00:00:00"/>
    <d v="2026-06-15T00:00:00"/>
    <n v="12.868493150684932"/>
  </r>
  <r>
    <n v="963530"/>
    <s v="Fatima Elizabeth Villalobos Martinez"/>
    <s v="Regular"/>
    <s v="Direct"/>
    <s v="Quality Technician "/>
    <m/>
    <x v="3"/>
    <s v="SQA"/>
    <s v="Juan Luis Valdez Jimenez (29410)"/>
    <s v="Jessica Jacqueline Delgado Parra (1046386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6-10-10T00:00:00"/>
    <d v="2026-06-15T00:00:00"/>
    <n v="9.6849315068493151"/>
  </r>
  <r>
    <n v="33512"/>
    <s v="Bertha Silvia Garcia Suarez"/>
    <s v="Regular"/>
    <s v="Direct"/>
    <s v="Quality Technician "/>
    <m/>
    <x v="3"/>
    <s v="SQA"/>
    <s v="Juan Luis Valdez Jimenez (29410)"/>
    <s v="Jessica Jacqueline Delgado Parra (1046386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8-01-14T00:00:00"/>
    <d v="2026-06-15T00:00:00"/>
    <n v="18.43013698630137"/>
  </r>
  <r>
    <n v="4009259"/>
    <s v="JOSE EDUARDO CAMACHO"/>
    <s v="Regular"/>
    <s v="Direct"/>
    <s v="Quality Auditor "/>
    <m/>
    <x v="3"/>
    <s v="SQA"/>
    <s v="Juan Luis Valdez Jimenez (29410)"/>
    <s v="Jessica Jacqueline Delgado Parra (1046386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9-02T00:00:00"/>
    <d v="2026-06-15T00:00:00"/>
    <n v="1.7835616438356163"/>
  </r>
  <r>
    <n v="4013223"/>
    <s v="Monica Estefania Paredes Garcia"/>
    <s v="Regular"/>
    <s v="Direct"/>
    <s v="Quality Auditor "/>
    <m/>
    <x v="3"/>
    <s v="SQA"/>
    <s v="Juan Luis Valdez Jimenez (29410)"/>
    <s v="Jessica Jacqueline Delgado Parra (1046386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8-08T00:00:00"/>
    <d v="2026-06-15T00:00:00"/>
    <n v="1.8520547945205479"/>
  </r>
  <r>
    <n v="4031555"/>
    <s v="Maria Elena Juarez Lopez"/>
    <s v="Regular"/>
    <s v="Direct"/>
    <s v="Quality Auditor "/>
    <m/>
    <x v="3"/>
    <s v="SQA"/>
    <s v="Juan Luis Valdez Jimenez (29410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5-10-09T00:00:00"/>
    <d v="2026-06-15T00:00:00"/>
    <n v="0.68219178082191778"/>
  </r>
  <r>
    <n v="4040104"/>
    <s v="Jacquelyn Tellez Vergara"/>
    <s v="Regular"/>
    <s v="Direct"/>
    <s v="Quality Auditor "/>
    <m/>
    <x v="3"/>
    <s v="SQA"/>
    <s v="Juan Luis Valdez Jimenez (29410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8-23T00:00:00"/>
    <d v="2026-06-15T00:00:00"/>
    <n v="4.8136986301369866"/>
  </r>
  <r>
    <n v="4060565"/>
    <s v="Fatima del Pilar Vazquez Lopez"/>
    <s v="Regular"/>
    <s v="Direct"/>
    <s v="Supplier Quality Technician "/>
    <m/>
    <x v="3"/>
    <s v="SQA"/>
    <s v="Juan Luis Valdez Jimenez (29410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06-27T00:00:00"/>
    <d v="2026-06-15T00:00:00"/>
    <n v="3.9698630136986299"/>
  </r>
  <r>
    <n v="4073727"/>
    <s v="Jazmin Alejandra Nava Ibañez"/>
    <s v="Regular"/>
    <s v="Direct"/>
    <s v="Quality Auditor "/>
    <m/>
    <x v="3"/>
    <s v="SQA"/>
    <s v="Juan Luis Valdez Jimenez (29410)"/>
    <s v="Jessica Jacqueline Delgado Parra (1046386)"/>
    <s v="Jorge Adalberto Alba Perez (3324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3-16T00:00:00"/>
    <d v="2026-06-15T00:00:00"/>
    <n v="3.2520547945205478"/>
  </r>
  <r>
    <n v="4122553"/>
    <s v="Gael Emilio Medina Trujillo"/>
    <s v="Fixed Term"/>
    <s v="Direct"/>
    <s v="Quality Auditor "/>
    <m/>
    <x v="3"/>
    <s v="SQA"/>
    <s v="Juan Luis Valdez Jimenez (29410)"/>
    <s v="Jessica Jacqueline Delgado Parra (1046386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943047"/>
    <s v="Cesar Guillermo Rubio Llamas"/>
    <s v="Regular"/>
    <s v="Direct"/>
    <s v="Quality Technician "/>
    <m/>
    <x v="3"/>
    <s v="SQA"/>
    <s v="Juan Luis Valdez Jimenez (29410)"/>
    <s v="Jessica Jacqueline Delgado Parra (1046386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1-21T00:00:00"/>
    <d v="2026-06-15T00:00:00"/>
    <n v="5.4"/>
  </r>
  <r>
    <n v="1014788"/>
    <s v="Gilberto de Jesus Sanchez Oyoque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8-28T00:00:00"/>
    <d v="2026-06-15T00:00:00"/>
    <n v="2.8"/>
  </r>
  <r>
    <n v="1047764"/>
    <s v="Rafael Herrera Guzmán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4-20T00:00:00"/>
    <d v="2026-06-15T00:00:00"/>
    <n v="0.15342465753424658"/>
  </r>
  <r>
    <n v="1182904"/>
    <s v="Daniel Alejandro Zamora Avalos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18T00:00:00"/>
    <d v="2026-06-15T00:00:00"/>
    <n v="2.7424657534246575"/>
  </r>
  <r>
    <n v="1183099"/>
    <s v="Carlos Fabian Garcia Lopez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25T00:00:00"/>
    <d v="2026-06-15T00:00:00"/>
    <n v="2.7232876712328768"/>
  </r>
  <r>
    <n v="1201047"/>
    <s v="Guillermo Arias Roque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1-27T00:00:00"/>
    <d v="2026-06-15T00:00:00"/>
    <n v="1.3808219178082193"/>
  </r>
  <r>
    <n v="1231777"/>
    <s v="Rodolfo Najera Arteaga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5-11T00:00:00"/>
    <d v="2026-06-15T00:00:00"/>
    <n v="9.5890410958904104E-2"/>
  </r>
  <r>
    <n v="23779"/>
    <s v="Jose Antonio Eufracio Vazquez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5-11T00:00:00"/>
    <d v="2026-06-15T00:00:00"/>
    <n v="9.5890410958904104E-2"/>
  </r>
  <r>
    <n v="1233690"/>
    <s v="Kevin Carrazco Alvarez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08T00:00:00"/>
    <d v="2026-06-15T00:00:00"/>
    <n v="1.9178082191780823E-2"/>
  </r>
  <r>
    <n v="1233719"/>
    <s v="Gerardo Sánchez Aguilar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08T00:00:00"/>
    <d v="2026-06-15T00:00:00"/>
    <n v="1.9178082191780823E-2"/>
  </r>
  <r>
    <n v="1132738"/>
    <s v="Josué Emmanuel Cruz Chávez"/>
    <s v="Regular"/>
    <s v="Indirect"/>
    <s v="Product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1234028"/>
    <s v="Juan Jesus Bravo Orozco"/>
    <s v="Regular"/>
    <s v="Indirect"/>
    <s v="Product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926184"/>
    <s v="Luis Fernando Gomez Cortes"/>
    <s v="Regular"/>
    <s v="Indirect"/>
    <s v="Process Engineer "/>
    <m/>
    <x v="4"/>
    <s v="IDL"/>
    <s v="Juan Manuel Mendoza Vazquez (851159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10-13T00:00:00"/>
    <d v="2026-06-15T00:00:00"/>
    <n v="0.67123287671232879"/>
  </r>
  <r>
    <n v="1007523"/>
    <s v="Jose Fernando Gonzalez Solis"/>
    <s v="Regular"/>
    <s v="Direct"/>
    <s v="Engineering Technician "/>
    <m/>
    <x v="2"/>
    <s v="Producto"/>
    <s v="Juan Manuel Pérez Maldonado (1202083)"/>
    <s v="Carlos Antonio Gastelum Torres (967415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4-03T00:00:00"/>
    <d v="2026-06-15T00:00:00"/>
    <n v="9.205479452054794"/>
  </r>
  <r>
    <n v="3001079"/>
    <s v="Karla Janet Orozco Navarro"/>
    <s v="Regular"/>
    <s v="Direct"/>
    <s v="Engineering Technician "/>
    <m/>
    <x v="2"/>
    <s v="Producto"/>
    <s v="Juan Manuel Pérez Maldonado (1202083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8-14T00:00:00"/>
    <d v="2026-06-15T00:00:00"/>
    <n v="8.8410958904109584"/>
  </r>
  <r>
    <n v="3008708"/>
    <s v="Jessica Yebra Lopez"/>
    <s v="Regular"/>
    <s v="Direct"/>
    <s v="Repair Technician "/>
    <m/>
    <x v="2"/>
    <s v="Reparación"/>
    <s v="Karen Cristina Garibay Bautista (1180608)"/>
    <s v="Gilberto de Jesus Sanchez Oyoque (1014788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10-29T00:00:00"/>
    <d v="2026-06-15T00:00:00"/>
    <n v="7.6328767123287671"/>
  </r>
  <r>
    <n v="1227151"/>
    <s v="Joel Xavier Gordillo Barajas"/>
    <s v="Regular"/>
    <s v="Direct"/>
    <s v="Process Engineering Technician "/>
    <m/>
    <x v="2"/>
    <s v="Procesos"/>
    <s v="Karen Judith Ruiz Arevalo (1211951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2-23T00:00:00"/>
    <d v="2026-06-15T00:00:00"/>
    <n v="0.30684931506849317"/>
  </r>
  <r>
    <n v="1229766"/>
    <s v="Ricardo Exael Maldonado Ramos"/>
    <s v="Regular"/>
    <s v="Direct"/>
    <s v="Process Engineering Technician "/>
    <m/>
    <x v="2"/>
    <s v="Procesos"/>
    <s v="Karen Judith Ruiz Arevalo (1211951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06079"/>
    <s v="Antonio Contreras Ching"/>
    <s v="Regular"/>
    <s v="Direct"/>
    <s v="Process Engineering Technician "/>
    <m/>
    <x v="2"/>
    <s v="Procesos"/>
    <s v="Karen Judith Ruiz Arevalo (1211951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07T00:00:00"/>
    <d v="2026-06-15T00:00:00"/>
    <n v="1.6876712328767123"/>
  </r>
  <r>
    <n v="4030052"/>
    <s v="Maria Imelda Becerra Romero"/>
    <s v="Regular"/>
    <s v="Direct"/>
    <s v="Quality Auditor "/>
    <m/>
    <x v="3"/>
    <s v="Calidad"/>
    <s v="Karla Elizabeth Rubio Gonzalez (33183)"/>
    <s v="Gabriel Castellanos Ortiz (899712)"/>
    <s v="Simon Pedro Gradilla Palafox (862068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18T00:00:00"/>
    <d v="2026-06-15T00:00:00"/>
    <n v="1.9095890410958904"/>
  </r>
  <r>
    <n v="4088180"/>
    <s v="Erika Vazquez Juarez"/>
    <s v="Regular"/>
    <s v="Direct"/>
    <s v="Quality Auditor "/>
    <m/>
    <x v="3"/>
    <s v="Calidad"/>
    <s v="Karla Elizabeth Rubio Gonzalez (33183)"/>
    <s v="Gabriel Castellanos Ortiz (899712)"/>
    <s v="Simon Pedro Gradilla Palafox (862068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5-02T00:00:00"/>
    <d v="2026-06-15T00:00:00"/>
    <n v="3.1232876712328768"/>
  </r>
  <r>
    <n v="4100083"/>
    <s v="Itzel Daniela Gomez Macias"/>
    <s v="Regular"/>
    <s v="Direct"/>
    <s v="Quality Auditor "/>
    <m/>
    <x v="3"/>
    <s v="Calidad"/>
    <s v="Karla Elizabeth Rubio Gonzalez (33183)"/>
    <s v="Gabriel Castellanos Ortiz (899712)"/>
    <s v="Simon Pedro Gradilla Palafox (862068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6T00:00:00"/>
    <d v="2026-06-15T00:00:00"/>
    <n v="2.1095890410958904"/>
  </r>
  <r>
    <n v="4103026"/>
    <s v="Aylin Guadalupe Ortiz Torres"/>
    <s v="Regular"/>
    <s v="Direct"/>
    <s v="Quality Auditor "/>
    <m/>
    <x v="3"/>
    <s v="Calidad"/>
    <s v="Karla Elizabeth Rubio Gonzalez (33183)"/>
    <s v="Gabriel Castellanos Ortiz (899712)"/>
    <s v="Simon Pedro Gradilla Palafox (862068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2T00:00:00"/>
    <d v="2026-06-15T00:00:00"/>
    <n v="0.33698630136986302"/>
  </r>
  <r>
    <n v="3007721"/>
    <s v="Aurora Del Rosario Montes Gallardo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055773"/>
    <s v="Brandon Ray Galvan Alaniz"/>
    <s v="Regular"/>
    <s v="Direct"/>
    <s v="Lead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9T00:00:00"/>
    <d v="2026-06-15T00:00:00"/>
    <n v="1.8794520547945206"/>
  </r>
  <r>
    <n v="4102491"/>
    <s v="Julia Montserrat Abundis Aguirre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03349"/>
    <s v="Andrea Espinoza Valdez"/>
    <s v="Regular"/>
    <s v="Direct"/>
    <s v="SMT Operato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21072"/>
    <s v="Frida Diaz Escorcia"/>
    <s v="Regular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074"/>
    <s v="Jennifer Montserrat Vazquez Albarran"/>
    <s v="Regular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02"/>
    <s v="Maria Fernanda Sanchez Olmos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07"/>
    <s v="Patricia Nuñez Ramirez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732"/>
    <s v="Maria Contreras Solorzano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906"/>
    <s v="Fatima Guadalupe Rodriguez Ullo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4132"/>
    <s v="Janeth Gisela Hernandez Magallanes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37"/>
    <s v="Maria Fernanda Ortiz Espinoz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92"/>
    <s v="Cinthia Abundis Ocampo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198"/>
    <s v="Valeria Alejandra Sanchez Renteri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00"/>
    <s v="Carolina Flores Perez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29"/>
    <s v="Raymundo Soria Espiti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7"/>
    <s v="Anabel Margarita Arellano Cabrer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9"/>
    <s v="Cynthia Vanessa Rodriguez Flores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77132"/>
    <s v="Maria De Lourdes Gonzalez Miranda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971132"/>
    <s v="Zulema Jazmin Herrera Mojarro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985408"/>
    <s v="Jessica Alejandra Salazar Gutierrez"/>
    <s v="Fixed Term"/>
    <s v="Direct"/>
    <s v="Assembler "/>
    <m/>
    <x v="1"/>
    <s v="SMT"/>
    <s v="Karla Yamirel Lemus Osuna (967653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887335"/>
    <s v="Jaime Antonio Hernandez Ramos"/>
    <s v="Regular"/>
    <s v="Indirect"/>
    <s v="Process Engineer "/>
    <m/>
    <x v="4"/>
    <s v="AME"/>
    <s v="Leopoldo Josue Medina Garcia (585063)"/>
    <s v="Omar Garcia Lopez (31870)"/>
    <s v="Shaneel Deo (1210081)"/>
    <s v="Mix"/>
    <s v="Bldg 29"/>
    <n v="6900"/>
    <s v="MFG North Guad, MEX 300-Flextronics Manufacturing Mex, S.A. de C.V.-Philo Cloud-CLOUD SERVER &amp; S-PCBA_GUAD_300-Philo VLP [Customer Dimensions]"/>
    <s v="MX-GDL-Guad North CEC-Operations [Primary Function]"/>
    <d v="2025-08-25T00:00:00"/>
    <d v="2026-06-15T00:00:00"/>
    <n v="0.80547945205479454"/>
  </r>
  <r>
    <n v="31648"/>
    <s v="Jesus Martinez Palos"/>
    <s v="Regular"/>
    <s v="Direct"/>
    <s v="Quality Auditor "/>
    <m/>
    <x v="3"/>
    <s v="Calidad"/>
    <s v="Loreto Rojo Varela (1172051)"/>
    <s v="Gabriel Castellanos Ortiz (899712)"/>
    <s v="Simon Pedro Gradilla Palafox (862068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4-12-06T00:00:00"/>
    <d v="2026-06-15T00:00:00"/>
    <n v="21.536986301369861"/>
  </r>
  <r>
    <n v="4078706"/>
    <s v="Adriana Gonzalez Gomez"/>
    <s v="Regular"/>
    <s v="Direct"/>
    <s v="Quality Auditor "/>
    <m/>
    <x v="3"/>
    <s v="Calidad"/>
    <s v="Lourdes Leonor Santoscoy Chavez (21346)"/>
    <s v="Patricia Guadalupe Vazquez Hurtado (1203876)"/>
    <s v="Ulises Noe Vega Arreola (926305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19T00:00:00"/>
    <d v="2026-06-15T00:00:00"/>
    <n v="3.4054794520547946"/>
  </r>
  <r>
    <n v="4094531"/>
    <s v="Fabiola Rojas Fermin"/>
    <s v="Regular"/>
    <s v="Direct"/>
    <s v="Quality Auditor "/>
    <m/>
    <x v="3"/>
    <s v="Calidad"/>
    <s v="Lourdes Leonor Santoscoy Chavez (21346)"/>
    <s v="Patricia Guadalupe Vazquez Hurtado (1203876)"/>
    <s v="Ulises Noe Vega Arreola (926305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8-24T00:00:00"/>
    <d v="2026-06-15T00:00:00"/>
    <n v="2.8109589041095893"/>
  </r>
  <r>
    <n v="1148501"/>
    <s v="David García Camarena"/>
    <s v="Regular"/>
    <s v="Direct"/>
    <s v="Engineering Technician "/>
    <m/>
    <x v="2"/>
    <s v="Producto"/>
    <s v="Luis Diego Anaya Zamudio (1192835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3-07T00:00:00"/>
    <d v="2026-06-15T00:00:00"/>
    <n v="4.2767123287671236"/>
  </r>
  <r>
    <n v="1232851"/>
    <s v="Jorge Abel Garcia Zamudio"/>
    <s v="Regular"/>
    <s v="Direct"/>
    <s v="Engineering Technician "/>
    <m/>
    <x v="2"/>
    <s v="Producto"/>
    <s v="Luis Diego Anaya Zamudio (1192835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39794"/>
    <s v="Patricio Zeferino Dominguez Dominguez"/>
    <s v="Regular"/>
    <s v="Direct"/>
    <s v="Engineering Technician "/>
    <m/>
    <x v="2"/>
    <s v="Producto"/>
    <s v="Luis Diego Anaya Zamudio (1192835)"/>
    <s v="Carlos Antonio Gastelum Torres (967415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0-02-15T00:00:00"/>
    <d v="2026-06-15T00:00:00"/>
    <n v="16.339726027397262"/>
  </r>
  <r>
    <n v="956976"/>
    <s v="Juan Carlos Cabrera Mosqueda"/>
    <s v="Regular"/>
    <s v="Direct"/>
    <s v="Engineering Technician "/>
    <m/>
    <x v="2"/>
    <s v="Producto"/>
    <s v="Luis Diego Anaya Zamudio (1192835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-B23B-CEC-Ops-Philo [Primary Function]"/>
    <d v="2021-04-05T00:00:00"/>
    <d v="2026-06-15T00:00:00"/>
    <n v="5.1972602739726028"/>
  </r>
  <r>
    <n v="4081267"/>
    <s v="Marco Antonio Andres Martinez"/>
    <s v="Regular"/>
    <s v="Indirect"/>
    <s v="Business Systems Analyst "/>
    <m/>
    <x v="4"/>
    <s v="IDL"/>
    <s v="Luis Eduardo Aceves Rodriguez (4026705)"/>
    <s v="Isai Lopez Ruiz (875273)"/>
    <s v="Adolfo Garcia Salazar (33689)"/>
    <s v="Gdl 2"/>
    <s v="Bldg 29"/>
    <n v="7400"/>
    <s v="MFG North Guad, MEX 300-Flextronics Manufacturing Mex, S.A. de C.V.-Philo Cloud-CLOUD SERVER &amp; S-PCBA_GUAD_300-Philo VLP [Customer Dimensions]"/>
    <s v="MX-GDL-Guad North CEC-Support [Primary Function]"/>
    <d v="2023-02-13T00:00:00"/>
    <d v="2026-06-15T00:00:00"/>
    <n v="3.3369863013698629"/>
  </r>
  <r>
    <n v="1183849"/>
    <s v="Bryan Eduardo Alanis Díaz"/>
    <s v="Regular"/>
    <s v="Indirect"/>
    <s v="Delivery Business Systems Analyst "/>
    <m/>
    <x v="4"/>
    <s v="IDL"/>
    <s v="Luis Enrique Llamas Rojo (982111)"/>
    <s v="Angel Harim Beltran Astivia (32335)"/>
    <s v="Ricardo Villa (31335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23-10-09T00:00:00"/>
    <d v="2026-06-15T00:00:00"/>
    <n v="2.6849315068493151"/>
  </r>
  <r>
    <n v="29558"/>
    <s v="Blanca Esther Alejo Ocegueda"/>
    <s v="Regular"/>
    <s v="Direct"/>
    <s v="Material Expediter "/>
    <m/>
    <x v="0"/>
    <s v="Almacén"/>
    <s v="Luis Ernesto Aguirre Alvarez (58290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8-07-28T00:00:00"/>
    <d v="2026-06-15T00:00:00"/>
    <n v="17.893150684931506"/>
  </r>
  <r>
    <n v="4075560"/>
    <s v="Jimi Edgar Segovia Zamora"/>
    <s v="Regular"/>
    <s v="Direct"/>
    <s v="Material Expediter "/>
    <m/>
    <x v="0"/>
    <s v="Almacén"/>
    <s v="Luis Ernesto Aguirre Alvarez (58290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12-19T00:00:00"/>
    <d v="2026-06-15T00:00:00"/>
    <n v="3.4904109589041097"/>
  </r>
  <r>
    <n v="4078634"/>
    <s v="Jonathan Raymundo Rodriguez Martinez"/>
    <s v="Regular"/>
    <s v="Direct"/>
    <s v="Warehouse Lead "/>
    <m/>
    <x v="0"/>
    <s v="Almacén"/>
    <s v="Luis Ernesto Aguirre Alvarez (58290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1-19T00:00:00"/>
    <d v="2026-06-15T00:00:00"/>
    <n v="3.4054794520547946"/>
  </r>
  <r>
    <n v="4105980"/>
    <s v="Ramon Isaac Morales Aguilar"/>
    <s v="Regular"/>
    <s v="Direct"/>
    <s v="Material Expediter "/>
    <m/>
    <x v="0"/>
    <s v="Almacén"/>
    <s v="Luis Ernesto Aguirre Alvarez (582908)"/>
    <s v="Fatima Alejandra Hernandez Amezola (961675)"/>
    <s v="Manuel Vazquez Maldonado (114631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28298"/>
    <s v="Norma Carolina Rivas Davila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049948"/>
    <s v="Antonia Eloisa Lopez Madrigal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2-08T00:00:00"/>
    <d v="2026-06-15T00:00:00"/>
    <n v="3.5205479452054793"/>
  </r>
  <r>
    <n v="4064834"/>
    <s v="Luz Maria Escobedo Ibarra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25T00:00:00"/>
    <d v="2026-06-15T00:00:00"/>
    <n v="3.8082191780821919"/>
  </r>
  <r>
    <n v="4106755"/>
    <s v="Elba Griselda Martinez Sandoval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4-11-07T00:00:00"/>
    <d v="2026-06-15T00:00:00"/>
    <n v="1.6027397260273972"/>
  </r>
  <r>
    <n v="4115698"/>
    <s v="Leslie Andrea Gonzalez Zapata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0257"/>
    <s v="Maria Guadalupe Gonzalez Gom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0858"/>
    <s v="Angel Emmanuel Mora Piña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121137"/>
    <s v="Martha Leticia Guerrero Belman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0"/>
    <s v="Elizabeth Montserrat Guerrero Aldana"/>
    <s v="Regular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545"/>
    <s v="Maria Guadalupe De La Cruz Alonso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47"/>
    <s v="Zuleyma Marlene Melchor Lop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48"/>
    <s v="Erika Martinez Per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67"/>
    <s v="Orlando Velazquez Ponce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0"/>
    <s v="Francely Zuleyma Zermeño Guerola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2"/>
    <s v="Brian Antonio Tovar Ramos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05"/>
    <s v="Alejandra Elizabeth Venegas Escoto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79"/>
    <s v="Brella Escobar Escobar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3087"/>
    <s v="Lourdes Neytaly Diaz Cervantes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20T00:00:00"/>
    <d v="2026-06-15T00:00:00"/>
    <n v="0.15342465753424658"/>
  </r>
  <r>
    <n v="4123172"/>
    <s v="Maria Julia Plascencia Martin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23T00:00:00"/>
    <d v="2026-06-15T00:00:00"/>
    <n v="0.14520547945205478"/>
  </r>
  <r>
    <n v="4124394"/>
    <s v="Jessica Alencastro Jimen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95"/>
    <s v="Leslie Noemi Andalon Zamudio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99"/>
    <s v="Veronica Guadalupe Alonso Flores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478"/>
    <s v="Salvador Rosendo Fierros Hernandez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576645"/>
    <s v="Janeth Elizabeth Tinajero Varela"/>
    <s v="Regular"/>
    <s v="Direct"/>
    <s v="SMT Operato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2-07-09T00:00:00"/>
    <d v="2026-06-15T00:00:00"/>
    <n v="13.942465753424658"/>
  </r>
  <r>
    <n v="578315"/>
    <s v="Maria De La Cruz Tejeda Salazar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585819"/>
    <s v="Maricela Zuñiga Sanchez"/>
    <s v="Regular"/>
    <s v="Direct"/>
    <s v="Lead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08T00:00:00"/>
    <d v="2026-06-15T00:00:00"/>
    <n v="2.4356164383561643"/>
  </r>
  <r>
    <n v="613298"/>
    <s v="Claudia Ivette Rosales Macias"/>
    <s v="Regular"/>
    <s v="Direct"/>
    <s v="Technical Production Lead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4124266"/>
    <s v="Tania Lucia Santana Regalado"/>
    <s v="Fixed Term"/>
    <s v="Direct"/>
    <s v="Assembler "/>
    <m/>
    <x v="1"/>
    <s v="SMT"/>
    <s v="Luis Ernesto Montes Vazquez (927513)"/>
    <s v="Carlos Toscano Vazquez (1006179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089456"/>
    <s v="José Antonio Manzo Aguilar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9-26T00:00:00"/>
    <d v="2026-06-15T00:00:00"/>
    <n v="3.7205479452054795"/>
  </r>
  <r>
    <n v="1091082"/>
    <s v="Ramon Alberto Sandoval Lopez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10-19T00:00:00"/>
    <d v="2026-06-15T00:00:00"/>
    <n v="5.6575342465753424"/>
  </r>
  <r>
    <n v="1178090"/>
    <s v="Paulina Lizeth Garcia Aviles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5-08T00:00:00"/>
    <d v="2026-06-15T00:00:00"/>
    <n v="3.106849315068493"/>
  </r>
  <r>
    <n v="1180607"/>
    <s v="Edgar Mauricio Lugo Romero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24T00:00:00"/>
    <d v="2026-06-15T00:00:00"/>
    <n v="2.8958904109589043"/>
  </r>
  <r>
    <n v="43557"/>
    <s v="Gerardo Macias Tamayo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6-30T00:00:00"/>
    <d v="2026-06-15T00:00:00"/>
    <n v="0.95890410958904104"/>
  </r>
  <r>
    <n v="574559"/>
    <s v="Martin Orozco Barajas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17T00:00:00"/>
    <d v="2026-06-15T00:00:00"/>
    <n v="1.7424657534246575"/>
  </r>
  <r>
    <n v="583267"/>
    <s v="Luis Alberto Gabriel Salazar Ruvalcaba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889822"/>
    <s v="Jose Refugio Martinez Vizcarra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9-22T00:00:00"/>
    <d v="2026-06-15T00:00:00"/>
    <n v="0.72876712328767124"/>
  </r>
  <r>
    <n v="42884"/>
    <s v="German Delgado Zapata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9T00:00:00"/>
    <d v="2026-06-15T00:00:00"/>
    <n v="3.4328767123287673"/>
  </r>
  <r>
    <n v="964528"/>
    <s v="Uriel Alejandro Gomez Ortiz"/>
    <s v="Regular"/>
    <s v="Direct"/>
    <s v="Test Technician "/>
    <m/>
    <x v="6"/>
    <s v="Pruebas"/>
    <s v="Luis Fermin Vasquez Lugo (1182120)"/>
    <s v="Ernesto Alonso Sanchez (2281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5-09T00:00:00"/>
    <d v="2026-06-15T00:00:00"/>
    <n v="10.106849315068493"/>
  </r>
  <r>
    <n v="1010406"/>
    <s v="Braulio Cesar Gomez Meji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4-12T00:00:00"/>
    <d v="2026-06-15T00:00:00"/>
    <n v="5.1780821917808222"/>
  </r>
  <r>
    <n v="1159705"/>
    <s v="Jose Ramses Medina Arciga"/>
    <s v="Regular"/>
    <s v="Direct"/>
    <s v="Associate Production Supervisor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8-01T00:00:00"/>
    <d v="2026-06-15T00:00:00"/>
    <n v="3.8739726027397259"/>
  </r>
  <r>
    <n v="1175256"/>
    <s v="Yadhira Janine Monterrubio Hernande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3-06T00:00:00"/>
    <d v="2026-06-15T00:00:00"/>
    <n v="3.2794520547945205"/>
  </r>
  <r>
    <n v="1181089"/>
    <s v="Claudia Lizette Gayosso De La Cru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8-07T00:00:00"/>
    <d v="2026-06-15T00:00:00"/>
    <n v="2.8575342465753426"/>
  </r>
  <r>
    <n v="1193047"/>
    <s v="Sandra Carolina Delgado Gonzalez"/>
    <s v="Regular"/>
    <s v="Direct"/>
    <s v="Associate Production Supervisor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9T00:00:00"/>
    <d v="2026-06-15T00:00:00"/>
    <n v="1.8794520547945206"/>
  </r>
  <r>
    <n v="1206399"/>
    <s v="Ana Patricia Guerra Pacheco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4-21T00:00:00"/>
    <d v="2026-06-15T00:00:00"/>
    <n v="1.1506849315068493"/>
  </r>
  <r>
    <n v="1227154"/>
    <s v="Eduardo Alejandro Aviña Roch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2-23T00:00:00"/>
    <d v="2026-06-15T00:00:00"/>
    <n v="0.30684931506849317"/>
  </r>
  <r>
    <n v="1228569"/>
    <s v="Juan Eduardo Velazquez Navi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1228570"/>
    <s v="Somenny Monserrat Espinoza Lun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1228572"/>
    <s v="Francisco Javier Martinez Suáre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17T00:00:00"/>
    <d v="2026-06-15T00:00:00"/>
    <n v="0.24657534246575341"/>
  </r>
  <r>
    <n v="1229739"/>
    <s v="Joel Alejandro Tavares Armendari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1232854"/>
    <s v="Fernando Herrera Trejo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1232859"/>
    <s v="Pedro Jara Gonzále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3000674"/>
    <s v="Jose de Jesús Loera Haro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3008529"/>
    <s v="Tiffany Guadalupe Herrera Amezquit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10-01T00:00:00"/>
    <d v="2026-06-15T00:00:00"/>
    <n v="7.7095890410958905"/>
  </r>
  <r>
    <n v="4029921"/>
    <s v="Giovanni Alejandro Perez Hernandez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2-02T00:00:00"/>
    <d v="2026-06-15T00:00:00"/>
    <n v="1.5342465753424657"/>
  </r>
  <r>
    <n v="4039922"/>
    <s v="Jesus Carlos Martinez Garci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052992"/>
    <s v="Luis Angel Daniel Martinez Jauregui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3-03T00:00:00"/>
    <d v="2026-06-15T00:00:00"/>
    <n v="4.2876712328767121"/>
  </r>
  <r>
    <n v="572580"/>
    <s v="Victor Omar Rincon Flores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1-24T00:00:00"/>
    <d v="2026-06-15T00:00:00"/>
    <n v="4.3917808219178083"/>
  </r>
  <r>
    <n v="580661"/>
    <s v="Jose Emmanuel Luna Plancarte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2-09T00:00:00"/>
    <d v="2026-06-15T00:00:00"/>
    <n v="1.515068493150685"/>
  </r>
  <r>
    <n v="800147"/>
    <s v="Raul Martin Siordia Rocha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3-01-07T00:00:00"/>
    <d v="2026-06-15T00:00:00"/>
    <n v="13.443835616438356"/>
  </r>
  <r>
    <n v="966376"/>
    <s v="Edgar Arturo Martinez Barron"/>
    <s v="Regular"/>
    <s v="Direct"/>
    <s v="Process Engineering Technician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9-26T00:00:00"/>
    <d v="2026-06-15T00:00:00"/>
    <n v="9.7232876712328764"/>
  </r>
  <r>
    <n v="993291"/>
    <s v="Jaret Pineda Soto"/>
    <s v="Regular"/>
    <s v="Direct"/>
    <s v="Associate Production Supervisor "/>
    <m/>
    <x v="2"/>
    <s v="Procesos"/>
    <s v="Luis Fernando Gomez Cortes (926184)"/>
    <s v="Juan Manuel Mendoza Vazquez (851159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1-05-10T00:00:00"/>
    <d v="2026-06-15T00:00:00"/>
    <n v="5.1013698630136988"/>
  </r>
  <r>
    <n v="28363"/>
    <s v="Martina Puga Roque"/>
    <s v="Regular"/>
    <s v="Direct"/>
    <s v="SMT Operato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8-03-17T00:00:00"/>
    <d v="2026-06-15T00:00:00"/>
    <n v="18.257534246575343"/>
  </r>
  <r>
    <n v="3002373"/>
    <s v="Liliana Rojas Camacho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12109"/>
    <s v="KARINA FACIO DUARTE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16786"/>
    <s v="Victoria Rubi Aranda Bobadilla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88079"/>
    <s v="Ignacia Guadalupe Soltero Rosales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01001"/>
    <s v="Yarazette Fabiola Arellano Medina"/>
    <s v="Regular"/>
    <s v="Direct"/>
    <s v="SMT Operato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03T00:00:00"/>
    <d v="2026-06-15T00:00:00"/>
    <n v="2.032876712328767"/>
  </r>
  <r>
    <n v="4110398"/>
    <s v="Janeth Elizabeth Garcia Ozuna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20T00:00:00"/>
    <d v="2026-06-15T00:00:00"/>
    <n v="1.4"/>
  </r>
  <r>
    <n v="4113241"/>
    <s v="Mara Saudizareth Acevedo Rafael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1406"/>
    <s v="Suri Marithsa Velazquez Delgado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121407"/>
    <s v="Nayeli Carolina Hernandez Arana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121669"/>
    <s v="Victor Alfonso Septimo Lopez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23"/>
    <s v="Aleida Rubi Camacho Naranjo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849"/>
    <s v="Paola Libertad Amezcua Orozco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4121850"/>
    <s v="Maria Del Socorro Martinez Flores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4121853"/>
    <s v="Fatima Cecilia Villafaña Alencastro"/>
    <s v="Regular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4122803"/>
    <s v="Bertha Erica Flores Villarreal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66"/>
    <s v="Andrea Celeste Muñiz Gonzalez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87"/>
    <s v="Karina Montserrat Ramirez Olguin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89"/>
    <s v="Maria Esperanza Rendon Godoy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4049"/>
    <s v="Abigail Cruz Barajas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051"/>
    <s v="Paula Jacqueline Tiscareño Juarez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927191"/>
    <s v="Cristina Filomena Rodriguez Magaña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928949"/>
    <s v="Karla Yesenia Gonzalez Alvarez"/>
    <s v="Regular"/>
    <s v="Direct"/>
    <s v="SMT Operato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11-23T00:00:00"/>
    <d v="2026-06-15T00:00:00"/>
    <n v="2.5616438356164384"/>
  </r>
  <r>
    <n v="973259"/>
    <s v="Maria De Jesus Flores Santana"/>
    <s v="Regular"/>
    <s v="Direct"/>
    <s v="SMT Operato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07-11T00:00:00"/>
    <d v="2026-06-15T00:00:00"/>
    <n v="9.9342465753424651"/>
  </r>
  <r>
    <n v="987693"/>
    <s v="Maria de Lourdes Solis Vargas"/>
    <s v="Fixed Term"/>
    <s v="Direct"/>
    <s v="Assembler "/>
    <m/>
    <x v="1"/>
    <s v="SMT"/>
    <s v="Luis Gaytan Ramos (1176209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1007773"/>
    <s v="Natalia Lizbeth Rodriguez Mercado"/>
    <s v="Regular"/>
    <s v="Direct"/>
    <s v="Quality Technician "/>
    <m/>
    <x v="3"/>
    <s v="RMAs"/>
    <s v="Luis Rafael Camacho Torres (851676)"/>
    <s v="Omar Lozano Rodriguez (1070969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Support [Primary Function]"/>
    <d v="2023-05-08T00:00:00"/>
    <d v="2026-06-15T00:00:00"/>
    <n v="3.106849315068493"/>
  </r>
  <r>
    <n v="4034092"/>
    <s v="Yesenia Robles Robles"/>
    <s v="Regular"/>
    <s v="Direct"/>
    <s v="Quality Technician "/>
    <m/>
    <x v="3"/>
    <s v="RMAs"/>
    <s v="Luis Rafael Camacho Torres (851676)"/>
    <s v="Omar Lozano Rodriguez (1070969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Support [Primary Function]"/>
    <d v="2021-02-11T00:00:00"/>
    <d v="2026-06-15T00:00:00"/>
    <n v="5.3424657534246576"/>
  </r>
  <r>
    <n v="1125215"/>
    <s v="Luis Antonio Cedillo Gómez"/>
    <s v="Regular"/>
    <s v="Direct"/>
    <s v="Quality Technician "/>
    <m/>
    <x v="3"/>
    <s v="RMAs"/>
    <s v="Luis Rafael Camacho Torres (851676)"/>
    <s v="Omar Lozano Rodriguez (1070969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1-03-16T00:00:00"/>
    <d v="2026-06-15T00:00:00"/>
    <n v="5.2520547945205482"/>
  </r>
  <r>
    <n v="40939"/>
    <s v="Ivan Vidal Cruz"/>
    <s v="Regular"/>
    <s v="Direct"/>
    <s v="Quality Technician "/>
    <m/>
    <x v="3"/>
    <s v="RMAs"/>
    <s v="Luis Rafael Camacho Torres (851676)"/>
    <s v="Omar Lozano Rodriguez (1070969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0-10-11T00:00:00"/>
    <d v="2026-06-15T00:00:00"/>
    <n v="15.687671232876712"/>
  </r>
  <r>
    <n v="4062972"/>
    <s v="Karen Alejandra Molina Gonzalez"/>
    <s v="Regular"/>
    <s v="Direct"/>
    <s v="Quality Technician "/>
    <m/>
    <x v="3"/>
    <s v="RMAs"/>
    <s v="Luis Rafael Camacho Torres (851676)"/>
    <s v="Omar Lozano Rodriguez (1070969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Support [Primary Function]"/>
    <d v="2022-08-01T00:00:00"/>
    <d v="2026-06-15T00:00:00"/>
    <n v="3.8739726027397259"/>
  </r>
  <r>
    <n v="983069"/>
    <s v="Cristina Netzayet Muñoz De la Cruz"/>
    <s v="Regular"/>
    <s v="Direct"/>
    <s v="Quality Technician "/>
    <m/>
    <x v="3"/>
    <s v="RMAs"/>
    <s v="Luis Rafael Camacho Torres (851676)"/>
    <s v="Omar Lozano Rodriguez (1070969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6-12-05T00:00:00"/>
    <d v="2026-06-15T00:00:00"/>
    <n v="9.5315068493150683"/>
  </r>
  <r>
    <n v="1009044"/>
    <s v="Carlos Gilberto Chavez Gonzalez"/>
    <s v="Regular"/>
    <s v="Indirect"/>
    <s v="Materials Manager "/>
    <m/>
    <x v="4"/>
    <s v="IDL"/>
    <s v="Manuel Alejandro Torres Delgado (22349)"/>
    <s v="Ruben Cesar Nyul Vazquez (1975170)"/>
    <s v="George O'Kelley (512523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21-07-26T00:00:00"/>
    <d v="2026-06-15T00:00:00"/>
    <n v="4.8904109589041092"/>
  </r>
  <r>
    <n v="21344"/>
    <s v="Juan Jose Rivera Mendez"/>
    <s v="Regular"/>
    <s v="Indirect"/>
    <s v="Warehouse Manager "/>
    <m/>
    <x v="4"/>
    <s v="IDL"/>
    <s v="Manuel Alejandro Torres Delgado (22349)"/>
    <s v="Ruben Cesar Nyul Vazquez (1975170)"/>
    <s v="George O'Kelley (512523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23-07-31T00:00:00"/>
    <d v="2026-06-15T00:00:00"/>
    <n v="2.8767123287671232"/>
  </r>
  <r>
    <n v="992296"/>
    <s v="Pedro Vargas Aviña"/>
    <s v="Regular"/>
    <s v="Indirect"/>
    <s v="Production Planning Manager "/>
    <m/>
    <x v="4"/>
    <s v="IDL"/>
    <s v="Manuel Alejandro Torres Delgado (22349)"/>
    <s v="Ruben Cesar Nyul Vazquez (1975170)"/>
    <s v="George O'Kelley (512523)"/>
    <s v="Mix"/>
    <s v="Bldg 29"/>
    <n v="6490"/>
    <s v="MFG North Guad, MEX 300-Flextronics Manufacturing Mex, S.A. de C.V.-Philo Cloud-CLOUD SERVER &amp; S-PCBA_GUAD_300-Philo VLP [Customer Dimensions]"/>
    <s v="MX-GDL-Guad North CEC-Ops-B30-Philo [Primary Function]"/>
    <d v="2023-02-07T00:00:00"/>
    <d v="2026-06-15T00:00:00"/>
    <n v="3.3534246575342466"/>
  </r>
  <r>
    <n v="1230253"/>
    <s v="Roberto Alfonso Vazquez Lopez Aguado"/>
    <s v="Regular"/>
    <s v="Indirect"/>
    <s v="Automation Engineer "/>
    <m/>
    <x v="4"/>
    <s v="AME"/>
    <s v="Manuel Rentería Barreto (584049)"/>
    <s v="Omar Garcia Lopez (31870)"/>
    <s v="Shaneel Deo (1210081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4-13T00:00:00"/>
    <d v="2026-06-15T00:00:00"/>
    <n v="0.17260273972602741"/>
  </r>
  <r>
    <n v="866291"/>
    <s v="Abdiel Cervantes Castillo"/>
    <s v="Regular"/>
    <s v="Direct"/>
    <s v="Warehouse Supervisor "/>
    <m/>
    <x v="0"/>
    <s v="Almacén"/>
    <s v="Manuel Vazquez Maldonado (1146319)"/>
    <s v="Juan Jose Rivera Mendez (21344)"/>
    <s v="Manuel Alejandro Torres Delgado (2234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9-03-28T00:00:00"/>
    <d v="2026-06-15T00:00:00"/>
    <n v="7.2219178082191782"/>
  </r>
  <r>
    <n v="958559"/>
    <s v="Jose Cruz Mesillas Gutierrez"/>
    <s v="Regular"/>
    <s v="Direct"/>
    <s v="Warehouse Supervisor "/>
    <m/>
    <x v="0"/>
    <s v="Almacén"/>
    <s v="Manuel Vazquez Maldonado (1146319)"/>
    <s v="Juan Jose Rivera Mendez (21344)"/>
    <s v="Manuel Alejandro Torres Delgado (2234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7-25T00:00:00"/>
    <d v="2026-06-15T00:00:00"/>
    <n v="9.8958904109589039"/>
  </r>
  <r>
    <n v="961675"/>
    <s v="Fatima Alejandra Hernandez Amezola"/>
    <s v="Regular"/>
    <s v="Direct"/>
    <s v="Warehouse Supervisor "/>
    <m/>
    <x v="0"/>
    <s v="Almacén"/>
    <s v="Manuel Vazquez Maldonado (1146319)"/>
    <s v="Juan Jose Rivera Mendez (21344)"/>
    <s v="Manuel Alejandro Torres Delgado (2234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8-08T00:00:00"/>
    <d v="2026-06-15T00:00:00"/>
    <n v="9.8575342465753426"/>
  </r>
  <r>
    <n v="1134565"/>
    <s v="José de Jesús Siordia Rivera"/>
    <s v="Regular"/>
    <s v="Direct"/>
    <s v="Production Supervisor "/>
    <m/>
    <x v="1"/>
    <s v="RMAs"/>
    <s v="Marco Antonio Lozano Gómez (1139161)"/>
    <s v="Oscar Daniel Ocampo de la Barrera (1013610)"/>
    <s v="Ricardo Lozano Malacara (34385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8-02T00:00:00"/>
    <d v="2026-06-15T00:00:00"/>
    <n v="4.8712328767123285"/>
  </r>
  <r>
    <n v="31572"/>
    <s v="Benito Martinez Santiago"/>
    <s v="Regular"/>
    <s v="Direct"/>
    <s v="Production Supervisor "/>
    <m/>
    <x v="1"/>
    <s v="RMAs"/>
    <s v="Marco Antonio Lozano Gómez (1139161)"/>
    <s v="Oscar Daniel Ocampo de la Barrera (1013610)"/>
    <s v="Ricardo Lozano Malacara (3438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0-12-04T00:00:00"/>
    <d v="2026-06-15T00:00:00"/>
    <n v="25.545205479452054"/>
  </r>
  <r>
    <n v="4035071"/>
    <s v="Jaime Francisco Gomez Barrios"/>
    <s v="Regular"/>
    <s v="Direct"/>
    <s v="Associate Production Supervisor "/>
    <m/>
    <x v="1"/>
    <s v="RMAs"/>
    <s v="Marco Antonio Lozano Gómez (1139161)"/>
    <s v="Oscar Daniel Ocampo de la Barrera (1013610)"/>
    <s v="Ricardo Lozano Malacara (34385)"/>
    <s v="Gdl 2"/>
    <s v="Bldg 29"/>
    <n v="1200"/>
    <s v="MFG North Guad, MEX 300-Flextronics Manufacturing Mex, S.A. de C.V.-Philo Cloud-CLOUD SERVER &amp; S-PCBA_GUAD_300-Philo VLP [Customer Dimensions]"/>
    <s v="MX-GDL-Guad North CEC-Support [Primary Function]"/>
    <d v="2021-02-25T00:00:00"/>
    <d v="2026-06-15T00:00:00"/>
    <n v="5.3041095890410963"/>
  </r>
  <r>
    <n v="4105671"/>
    <s v="Erika Sugey Lavadores Lopez"/>
    <s v="Regular"/>
    <s v="Direct"/>
    <s v="Technical Production Lead "/>
    <m/>
    <x v="1"/>
    <s v="RMAs"/>
    <s v="Marco Antonio Lozano Gómez (1139161)"/>
    <s v="Oscar Daniel Ocampo de la Barrera (1013610)"/>
    <s v="Ricardo Lozano Malacara (34385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6T00:00:00"/>
    <d v="2026-06-15T00:00:00"/>
    <n v="1.7178082191780821"/>
  </r>
  <r>
    <n v="1093188"/>
    <s v="Jose Alexis Petris Castro"/>
    <s v="Regular"/>
    <s v="Indirect"/>
    <s v="Industrial Engineer "/>
    <m/>
    <x v="4"/>
    <s v="IDL"/>
    <s v="Marco Antonio Meza Mancilla (58626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9-04-01T00:00:00"/>
    <d v="2026-06-15T00:00:00"/>
    <n v="7.2109589041095887"/>
  </r>
  <r>
    <n v="1180344"/>
    <s v="Christian Jonathan Velázquez Lucano"/>
    <s v="Regular"/>
    <s v="Indirect"/>
    <s v="Industrial Engineer "/>
    <m/>
    <x v="4"/>
    <s v="IDL"/>
    <s v="Marco Antonio Meza Mancilla (58626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7-17T00:00:00"/>
    <d v="2026-06-15T00:00:00"/>
    <n v="2.9150684931506849"/>
  </r>
  <r>
    <n v="1205758"/>
    <s v="Brenda Isabel García Mora"/>
    <s v="Regular"/>
    <s v="Indirect"/>
    <s v="Industrial Engineer "/>
    <m/>
    <x v="4"/>
    <s v="IDL"/>
    <s v="Marco Antonio Meza Mancilla (586265)"/>
    <s v="Monica Maria Carrillo Renteria (25040)"/>
    <s v="Ricardo Lozano Malacara (34385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04-07T00:00:00"/>
    <d v="2026-06-15T00:00:00"/>
    <n v="1.189041095890411"/>
  </r>
  <r>
    <n v="26579"/>
    <s v="Maria De Jesus Jacobo Guzman"/>
    <s v="Regular"/>
    <s v="Direct"/>
    <s v="Engineering Technician "/>
    <m/>
    <x v="5"/>
    <s v="Lean"/>
    <s v="Marco Antonio Meza Mancilla (586265)"/>
    <s v="Monica Maria Carrillo Renteria (25040)"/>
    <s v="Ricardo Lozano Malacara (34385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6-09-25T00:00:00"/>
    <d v="2026-06-15T00:00:00"/>
    <n v="19.734246575342464"/>
  </r>
  <r>
    <n v="4067624"/>
    <s v="Yeremi Naomi Salvio Sandoval"/>
    <s v="Regular"/>
    <s v="Direct"/>
    <s v="Quality Auditor "/>
    <m/>
    <x v="3"/>
    <s v="SQA"/>
    <s v="Marco Antonio Rodriguez Plascido (32943)"/>
    <s v="Bryan Edtzel de Dios Sanchez Ortega (1170326)"/>
    <s v="Jessica Jacqueline Delgado Parra (1046386)"/>
    <s v="Mix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6T00:00:00"/>
    <d v="2026-06-15T00:00:00"/>
    <n v="2.1095890410958904"/>
  </r>
  <r>
    <n v="3008445"/>
    <s v="Liliana Carolina Morales Ramos"/>
    <s v="Regular"/>
    <s v="Direct"/>
    <s v="Material Expediter "/>
    <m/>
    <x v="0"/>
    <s v="Almacén"/>
    <s v="Marcos Osbaldo Villafan Garcia (950916)"/>
    <s v="Jose Cruz Mesillas Gutierrez (958559)"/>
    <s v="Manuel Vazquez Maldonado (114631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7T00:00:00"/>
    <d v="2026-06-15T00:00:00"/>
    <n v="1.9671232876712328"/>
  </r>
  <r>
    <n v="4003524"/>
    <s v="German Gallegos Aguilar"/>
    <s v="Regular"/>
    <s v="Direct"/>
    <s v="Material Expediter "/>
    <m/>
    <x v="0"/>
    <s v="Almacén"/>
    <s v="Marcos Osbaldo Villafan Garcia (950916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10-07T00:00:00"/>
    <d v="2026-06-15T00:00:00"/>
    <n v="1.6876712328767123"/>
  </r>
  <r>
    <n v="4088325"/>
    <s v="Lizbaith Avalos Castro"/>
    <s v="Regular"/>
    <s v="Direct"/>
    <s v="Forklift Driver "/>
    <m/>
    <x v="0"/>
    <s v="Almacén"/>
    <s v="Marcos Osbaldo Villafan Garcia (950916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5-04T00:00:00"/>
    <d v="2026-06-15T00:00:00"/>
    <n v="3.117808219178082"/>
  </r>
  <r>
    <n v="4100911"/>
    <s v="Belen Zurisadai Perez Hernandez"/>
    <s v="Regular"/>
    <s v="Direct"/>
    <s v="Forklift Driver "/>
    <m/>
    <x v="0"/>
    <s v="Almacén"/>
    <s v="Marcos Osbaldo Villafan Garcia (950916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14890"/>
    <s v="Nuncia Elizabeth Barajas Castillo"/>
    <s v="Regular"/>
    <s v="Direct"/>
    <s v="Material Expediter "/>
    <m/>
    <x v="0"/>
    <s v="Almacén"/>
    <s v="Marcos Osbaldo Villafan Garcia (950916)"/>
    <s v="Jose Cruz Mesillas Gutierrez (958559)"/>
    <s v="Manuel Vazquez Maldonado (114631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6-12T00:00:00"/>
    <d v="2026-06-15T00:00:00"/>
    <n v="1.0082191780821919"/>
  </r>
  <r>
    <n v="4116766"/>
    <s v="Mariely Chan Posos"/>
    <s v="Regular"/>
    <s v="Direct"/>
    <s v="Material Expediter "/>
    <m/>
    <x v="0"/>
    <s v="Almacén"/>
    <s v="Marcos Osbaldo Villafan Garcia (950916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5-09-25T00:00:00"/>
    <d v="2026-06-15T00:00:00"/>
    <n v="0.72054794520547949"/>
  </r>
  <r>
    <n v="572147"/>
    <s v="Yesenia Ibarra Bautista"/>
    <s v="Regular"/>
    <s v="Direct"/>
    <s v="Material Expediter "/>
    <m/>
    <x v="0"/>
    <s v="Almacén"/>
    <s v="Marcos Osbaldo Villafan Garcia (950916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9-05-02T00:00:00"/>
    <d v="2026-06-15T00:00:00"/>
    <n v="7.1260273972602741"/>
  </r>
  <r>
    <n v="1087839"/>
    <s v="Daniel Velazquez Chavez"/>
    <s v="Regular"/>
    <s v="Direct"/>
    <s v="Process Engineering Technician "/>
    <m/>
    <x v="2"/>
    <s v="Tool"/>
    <s v="Maria de los Angeles Mercado De la Cruz (1210749)"/>
    <s v="Gilberto de Jesus Sanchez Oyoque (1014788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4-12-02T00:00:00"/>
    <d v="2026-06-15T00:00:00"/>
    <n v="1.5342465753424657"/>
  </r>
  <r>
    <n v="26476"/>
    <s v="Cesar Damian Soto Alfaro"/>
    <s v="Regular"/>
    <s v="Direct"/>
    <s v="Process Engineering Technician "/>
    <m/>
    <x v="2"/>
    <s v="Tool"/>
    <s v="Maria de los Angeles Mercado De la Cruz (1210749)"/>
    <s v="Gilberto de Jesus Sanchez Oyoque (1014788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6-06-05T00:00:00"/>
    <d v="2026-06-15T00:00:00"/>
    <n v="20.041095890410958"/>
  </r>
  <r>
    <n v="26670"/>
    <s v="Aurora Quezada Ponce"/>
    <s v="Regular"/>
    <s v="Direct"/>
    <s v="Tool Crib Attendant "/>
    <m/>
    <x v="2"/>
    <s v="Tool"/>
    <s v="Maria de los Angeles Mercado De la Cruz (1210749)"/>
    <s v="Gilberto de Jesus Sanchez Oyoque (1014788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7-11T00:00:00"/>
    <d v="2026-06-15T00:00:00"/>
    <n v="9.9342465753424651"/>
  </r>
  <r>
    <n v="4046915"/>
    <s v="Juan Diego Ramirez Gutierrez"/>
    <s v="Regular"/>
    <s v="Direct"/>
    <s v="Tool Crib Attendant "/>
    <m/>
    <x v="2"/>
    <s v="Tool"/>
    <s v="Maria de los Angeles Mercado De la Cruz (1210749)"/>
    <s v="Gilberto de Jesus Sanchez Oyoque (1014788)"/>
    <s v="Juan Manuel Mendoza Vazquez (851159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559619"/>
    <s v="Jesus Arturo Adoño Organista"/>
    <s v="Regular"/>
    <s v="Direct"/>
    <s v="Tool Crib Attendant "/>
    <m/>
    <x v="2"/>
    <s v="Tool"/>
    <s v="Maria de los Angeles Mercado De la Cruz (1210749)"/>
    <s v="Gilberto de Jesus Sanchez Oyoque (1014788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4-04-07T00:00:00"/>
    <d v="2026-06-15T00:00:00"/>
    <n v="12.197260273972603"/>
  </r>
  <r>
    <n v="986760"/>
    <s v="Maria Brenda Rosario Calderon Bañuelos"/>
    <s v="Regular"/>
    <s v="Direct"/>
    <s v="Associate Production Supervisor "/>
    <m/>
    <x v="2"/>
    <s v="Procesos"/>
    <s v="Maria de los Angeles Mercado De la Cruz (1210749)"/>
    <s v="Gilberto de Jesus Sanchez Oyoque (1014788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10-31T00:00:00"/>
    <d v="2026-06-15T00:00:00"/>
    <n v="9.6273972602739732"/>
  </r>
  <r>
    <n v="28937"/>
    <s v="Susana Martinez Cerda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4065557"/>
    <s v="Manuel Alejandro Delgado Hernand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01T00:00:00"/>
    <d v="2026-06-15T00:00:00"/>
    <n v="3.7890410958904108"/>
  </r>
  <r>
    <n v="4066286"/>
    <s v="Cipriano Benitez Rodrigu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3T00:00:00"/>
    <d v="2026-06-15T00:00:00"/>
    <n v="1.3342465753424657"/>
  </r>
  <r>
    <n v="4067629"/>
    <s v="Esteban Avila Barajas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19T00:00:00"/>
    <d v="2026-06-15T00:00:00"/>
    <n v="3.7397260273972601"/>
  </r>
  <r>
    <n v="4069770"/>
    <s v="Teresa Magaña Gonzal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06T00:00:00"/>
    <d v="2026-06-15T00:00:00"/>
    <n v="3.6931506849315068"/>
  </r>
  <r>
    <n v="4071620"/>
    <s v="Martin Gonzalez Figueroa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03322"/>
    <s v="Maria Victoria Medina Saavedra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03329"/>
    <s v="Josue Daniel Medina Aranda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13280"/>
    <s v="Carolina Velasco Gonzal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3T00:00:00"/>
    <d v="2026-06-15T00:00:00"/>
    <n v="1.2575342465753425"/>
  </r>
  <r>
    <n v="4113308"/>
    <s v="Karla Carrillo Santiago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113462"/>
    <s v="Susana Alejandra Zepeda Jimen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4-10T00:00:00"/>
    <d v="2026-06-15T00:00:00"/>
    <n v="1.1808219178082191"/>
  </r>
  <r>
    <n v="4121079"/>
    <s v="Jose De Jesus Gonzalez Perez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213"/>
    <s v="Maria Guadalupe Santos Espinoza"/>
    <s v="Regular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3T00:00:00"/>
    <d v="2026-06-15T00:00:00"/>
    <n v="0.30684931506849317"/>
  </r>
  <r>
    <n v="4122501"/>
    <s v="Jesus Felipe Cano Cerecedo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39"/>
    <s v="Alma Cristina Nieves Rico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42"/>
    <s v="Irma Salcido Cervantes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61"/>
    <s v="Fatima De Yanira Gonzalez Zepeda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31"/>
    <s v="Exiquio Gonzalez Partida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0"/>
    <s v="Oscar Eduardo Palacios Anguiano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4"/>
    <s v="Naydeline Dayan Salcido Escobar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47"/>
    <s v="Angel Jahir Arellano Escobedo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51"/>
    <s v="Agustin Guillermo Salcido Zamudio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89"/>
    <s v="Diego Francisco Lara Martinez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90"/>
    <s v="Kevin Rene Mendez Renteria"/>
    <s v="Fixed Term"/>
    <s v="Direct"/>
    <s v="Assembler "/>
    <m/>
    <x v="1"/>
    <s v="IST"/>
    <s v="Maria Fernanda Cainas Ayala (1177031)"/>
    <s v="Jesus Reyes Rodriguez (1171171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1192837"/>
    <s v="Daniela Simon Moreno"/>
    <s v="Regular"/>
    <s v="Direct"/>
    <s v="Process Engineering Technician "/>
    <m/>
    <x v="2"/>
    <s v="Procesos"/>
    <s v="Maria Guadalupe Prieto Cuevas (584970)"/>
    <s v="Gilberto de Jesus Sanchez Oyoque (1014788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1002991"/>
    <s v="Leslie Alejandra Hernandez Cedill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1007460"/>
    <s v="Gabriela Trejo Cervante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5-22T00:00:00"/>
    <d v="2026-06-15T00:00:00"/>
    <n v="3.0684931506849313"/>
  </r>
  <r>
    <n v="1011109"/>
    <s v="Sandra Yadira Lopez Orci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1025404"/>
    <s v="Aurora Santiago Jimen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040956"/>
    <s v="Luis Gabriel Diaz Lario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1-18T00:00:00"/>
    <d v="2026-06-15T00:00:00"/>
    <n v="5.4082191780821915"/>
  </r>
  <r>
    <n v="4070457"/>
    <s v="Ana Carolina Resendiz Nolasc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13T00:00:00"/>
    <d v="2026-06-15T00:00:00"/>
    <n v="3.6739726027397261"/>
  </r>
  <r>
    <n v="4104510"/>
    <s v="Beatriz Adriana Villa Lopez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26T00:00:00"/>
    <d v="2026-06-15T00:00:00"/>
    <n v="1.8027397260273972"/>
  </r>
  <r>
    <n v="3002770"/>
    <s v="Sergio Baltazar Aguilar del Ri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36560"/>
    <s v="Dolores Evelia Huerta Navarr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10426"/>
    <s v="Hilda Montes Castr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08-19T00:00:00"/>
    <d v="2026-06-15T00:00:00"/>
    <n v="6.8273972602739725"/>
  </r>
  <r>
    <n v="4027131"/>
    <s v="Luis Fernando Cortes Gonzalez"/>
    <s v="Regular"/>
    <s v="Direct"/>
    <s v="Lead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0-10-12T00:00:00"/>
    <d v="2026-06-15T00:00:00"/>
    <n v="5.6767123287671231"/>
  </r>
  <r>
    <n v="4038621"/>
    <s v="Ana Rosa Cendejas Diaz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6T00:00:00"/>
    <d v="2026-06-15T00:00:00"/>
    <n v="1.7178082191780821"/>
  </r>
  <r>
    <n v="4040639"/>
    <s v="Blanca Estela Garcia Bautista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9-06T00:00:00"/>
    <d v="2026-06-15T00:00:00"/>
    <n v="4.7753424657534245"/>
  </r>
  <r>
    <n v="4046536"/>
    <s v="Jesus Antonio Contreras Fernand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53194"/>
    <s v="Rosa Isela Hernandez Marcial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54501"/>
    <s v="Karla Cristina Barcenas Magaña"/>
    <s v="Regular"/>
    <s v="Direct"/>
    <s v="Lead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3-22T00:00:00"/>
    <d v="2026-06-15T00:00:00"/>
    <n v="4.2356164383561641"/>
  </r>
  <r>
    <n v="4054520"/>
    <s v="Cristopher Paul Franco Madrueñ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3-22T00:00:00"/>
    <d v="2026-06-15T00:00:00"/>
    <n v="4.2356164383561641"/>
  </r>
  <r>
    <n v="4058938"/>
    <s v="Yonatan Ricardo Becerra Flore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26903"/>
    <s v="Silvestre Gonzalez Conchas"/>
    <s v="Regular"/>
    <s v="Direct"/>
    <s v="Lead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7-02-05T00:00:00"/>
    <d v="2026-06-15T00:00:00"/>
    <n v="19.36986301369863"/>
  </r>
  <r>
    <n v="843942"/>
    <s v="Adan Ayon Santiago"/>
    <s v="Regular"/>
    <s v="Direct"/>
    <s v="Lead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3-10-07T00:00:00"/>
    <d v="2026-06-15T00:00:00"/>
    <n v="12.695890410958905"/>
  </r>
  <r>
    <n v="4064580"/>
    <s v="Osiris Denisse Garcia Ulloa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22T00:00:00"/>
    <d v="2026-06-15T00:00:00"/>
    <n v="3.8164383561643835"/>
  </r>
  <r>
    <n v="4073026"/>
    <s v="Ruben Montaño Ruela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1-14T00:00:00"/>
    <d v="2026-06-15T00:00:00"/>
    <n v="3.5863013698630137"/>
  </r>
  <r>
    <n v="4073326"/>
    <s v="Keily Guadalupe Rodriguez Jacob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1-17T00:00:00"/>
    <d v="2026-06-15T00:00:00"/>
    <n v="3.5780821917808221"/>
  </r>
  <r>
    <n v="4074892"/>
    <s v="Dolores Noemi Osorio Rodrigu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86368"/>
    <s v="Hilda Maria Rodriguez Medin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099985"/>
    <s v="Natalia Torres Serran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99988"/>
    <s v="Alma Lizbeth Carmona Arroy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02T00:00:00"/>
    <d v="2026-06-15T00:00:00"/>
    <n v="2.1205479452054794"/>
  </r>
  <r>
    <n v="4103328"/>
    <s v="Cynthia Joanna Elizondo Avalo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09283"/>
    <s v="Adriana Cuarenta Rosale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06T00:00:00"/>
    <d v="2026-06-15T00:00:00"/>
    <n v="1.4383561643835616"/>
  </r>
  <r>
    <n v="4115167"/>
    <s v="Maria Guadalupe Piña Lun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19417"/>
    <s v="Carlos Adan Martinez Silv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0857"/>
    <s v="Azucena Perez Ramos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120860"/>
    <s v="Sugey Soledad Ahumada Nolasco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6T00:00:00"/>
    <d v="2026-06-15T00:00:00"/>
    <n v="0.32602739726027397"/>
  </r>
  <r>
    <n v="4121088"/>
    <s v="Estela Campos Ibarra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389"/>
    <s v="Jessica Jazmin Cabral Hernand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2394"/>
    <s v="Jose Angel Ahumado Sot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2551"/>
    <s v="Maximiliano Aaron Velazquez Silv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769"/>
    <s v="Brenda Elizabeth Rodriguez Gonzal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1"/>
    <s v="Talia Del Rosario Abundiz Rojas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3"/>
    <s v="Eric Alejandro Figueroa Delgad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4"/>
    <s v="Karina Elizabeth Gutierrez Gonzal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79"/>
    <s v="Marco Gabino Aguirre Pro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06"/>
    <s v="Luis Antonio Verdin Partid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68"/>
    <s v="Maria De La Luz Hernandez Hernand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75"/>
    <s v="Eira Yazmin Salazar Magañ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3028"/>
    <s v="Santos Estela Ruiz Gom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6T00:00:00"/>
    <d v="2026-06-15T00:00:00"/>
    <n v="0.16438356164383561"/>
  </r>
  <r>
    <n v="4123271"/>
    <s v="Maria Guadalupe Rodriguez Per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27T00:00:00"/>
    <d v="2026-06-15T00:00:00"/>
    <n v="0.13424657534246576"/>
  </r>
  <r>
    <n v="4124108"/>
    <s v="Juan Carlos Ñol Camacho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14"/>
    <s v="Jose Luis Zamora Vel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141"/>
    <s v="Hiber Ruben Lopez Garci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210"/>
    <s v="Brenda Hernandez Hernand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9"/>
    <s v="Jose Francisco Juarez Nuñez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42"/>
    <s v="Ana Rosa Davila Cortes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4"/>
    <s v="Salvador Martinez Vega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65"/>
    <s v="Carlos Martin Godinez Casillas"/>
    <s v="Fixed Term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815381"/>
    <s v="Santa Viviana Rodriguez Figueroa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31T00:00:00"/>
    <d v="2026-06-15T00:00:00"/>
    <n v="1.6219178082191781"/>
  </r>
  <r>
    <n v="874252"/>
    <s v="Rosa Nelly Santiago Calderon"/>
    <s v="Regular"/>
    <s v="Direct"/>
    <s v="Technical Production Lead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Support [Primary Function]"/>
    <d v="2015-03-23T00:00:00"/>
    <d v="2026-06-15T00:00:00"/>
    <n v="11.238356164383562"/>
  </r>
  <r>
    <n v="977343"/>
    <s v="Graciela Gracia Molina"/>
    <s v="Regular"/>
    <s v="Direct"/>
    <s v="Assembler "/>
    <m/>
    <x v="1"/>
    <s v="IST"/>
    <s v="Maria Julia Medina Ortega (968978)"/>
    <s v="Jesus Reyes Rodriguez (1171171)"/>
    <s v="Oscar Daniel Ocampo de la Barrera (1013610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1150631"/>
    <s v="Juan Andrés Alfaro Prieto"/>
    <s v="Regular"/>
    <s v="Indirect"/>
    <s v="Buyer Direct "/>
    <m/>
    <x v="4"/>
    <s v="IDL"/>
    <s v="Mariana Camargo Lavin (1125908)"/>
    <s v="Carlos Gilberto Chavez Gonzalez (1009044)"/>
    <s v="Manuel Alejandro Torres Delgado (22349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22-04-04T00:00:00"/>
    <d v="2026-06-15T00:00:00"/>
    <n v="4.2"/>
  </r>
  <r>
    <n v="24047"/>
    <s v="Rosalinda Valencia Robles"/>
    <s v="Regular"/>
    <s v="Indirect"/>
    <s v="Buyer Direct "/>
    <m/>
    <x v="4"/>
    <s v="IDL"/>
    <s v="Mariana Camargo Lavin (1125908)"/>
    <s v="Carlos Gilberto Chavez Gonzalez (1009044)"/>
    <s v="Manuel Alejandro Torres Delgado (22349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19-09-17T00:00:00"/>
    <d v="2026-06-15T00:00:00"/>
    <n v="6.7479452054794518"/>
  </r>
  <r>
    <n v="3006512"/>
    <s v="Dulce Fanny Ramirez Mariscal"/>
    <s v="Regular"/>
    <s v="Direct"/>
    <s v="Quality Technician "/>
    <m/>
    <x v="3"/>
    <s v="Calidad"/>
    <s v="Mariela Barron Moran (1182539)"/>
    <s v="Simon Pedro Gradilla Palafox (862068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8-07-30T00:00:00"/>
    <d v="2026-06-15T00:00:00"/>
    <n v="7.882191780821918"/>
  </r>
  <r>
    <n v="1233754"/>
    <s v="Vivianne Mora Tejeda"/>
    <s v="Regular"/>
    <s v="Indirect"/>
    <s v="EH&amp;S Technician "/>
    <m/>
    <x v="11"/>
    <s v="EHS"/>
    <s v="Marisol Tavares Rivera (575119)"/>
    <s v="Adriana del Rocio Escoto Muñoz (817618)"/>
    <s v="David Ociel Cruz Rodriguez (21864)"/>
    <s v="Mix"/>
    <s v="Bldg 29"/>
    <n v="511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044069"/>
    <s v="Brandon Alexis Mendoza Carrillo"/>
    <s v="Regular"/>
    <s v="Indirect"/>
    <s v="EH&amp;S Technician "/>
    <m/>
    <x v="12"/>
    <s v="EHS "/>
    <s v="Marisol Tavares Rivera (575119)"/>
    <s v="Adriana del Rocio Escoto Muñoz (817618)"/>
    <s v="David Ociel Cruz Rodriguez (21864)"/>
    <s v="Gdl 1"/>
    <s v="Bldg 29"/>
    <n v="5110"/>
    <s v="MFG North Guad, MEX 300-Flextronics Manufacturing Mex, S.A. de C.V.-Philo Cloud-CLOUD SERVER &amp; S-PCBA_GUAD_300-Philo VLP [Customer Dimensions]"/>
    <s v="MX-GDL-Guad North CEC-Support [Primary Function]"/>
    <d v="2021-11-11T00:00:00"/>
    <d v="2026-06-15T00:00:00"/>
    <n v="4.5945205479452058"/>
  </r>
  <r>
    <n v="981477"/>
    <s v="Juan Fernando Romero Luna"/>
    <s v="Regular"/>
    <s v="Indirect"/>
    <s v="EH&amp;S Engineer "/>
    <m/>
    <x v="4"/>
    <s v="IDL"/>
    <s v="Marisol Tavares Rivera (575119)"/>
    <s v="Adriana del Rocio Escoto Muñoz (817618)"/>
    <s v="David Ociel Cruz Rodriguez (21864)"/>
    <s v="Mix"/>
    <s v="Bldg 29"/>
    <n v="5110"/>
    <s v="MFG North Guad, MEX 300-Flextronics Manufacturing Mex, S.A. de C.V.-Philo Cloud-CLOUD SERVER &amp; S-PCBA_GUAD_300-Philo VLP [Customer Dimensions]"/>
    <s v="MX-GDL-Guad North CEC-Support [Primary Function]"/>
    <d v="2016-09-05T00:00:00"/>
    <d v="2026-06-15T00:00:00"/>
    <n v="9.7808219178082183"/>
  </r>
  <r>
    <n v="1163146"/>
    <s v="José Eduardo Castro Sotelo"/>
    <s v="Regular"/>
    <s v="Direct"/>
    <s v="Engineering Technician "/>
    <m/>
    <x v="5"/>
    <s v="Lean "/>
    <s v="Martha Noemi Aguayo Reyes (4010783)"/>
    <s v="Jose Alfonso Pesquera Rodriguez (31543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5-26T00:00:00"/>
    <d v="2026-06-15T00:00:00"/>
    <n v="1.0547945205479452"/>
  </r>
  <r>
    <n v="1231501"/>
    <s v="Gema Paulina Romo Armas"/>
    <s v="Regular"/>
    <s v="Direct"/>
    <s v="Engineering Technician "/>
    <m/>
    <x v="5"/>
    <s v="Lean"/>
    <s v="Martha Noemi Aguayo Reyes (4010783)"/>
    <s v="Jose Alfonso Pesquera Rodriguez (31543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1231908"/>
    <s v="Ana Cristina Avila Cardenas"/>
    <s v="Regular"/>
    <s v="Direct"/>
    <s v="Engineering Technician "/>
    <m/>
    <x v="5"/>
    <s v="Lean"/>
    <s v="Martha Noemi Aguayo Reyes (4010783)"/>
    <s v="Jose Alfonso Pesquera Rodriguez (31543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11T00:00:00"/>
    <d v="2026-06-15T00:00:00"/>
    <n v="9.5890410958904104E-2"/>
  </r>
  <r>
    <n v="4016243"/>
    <s v="Irving Omar Osorio Garcia"/>
    <s v="Fixed Term"/>
    <s v="Direct"/>
    <s v="Assembler "/>
    <m/>
    <x v="5"/>
    <s v="Moonshine"/>
    <s v="Martha Noemi Aguayo Reyes (4010783)"/>
    <s v="Jose Alfonso Pesquera Rodriguez (31543)"/>
    <s v="Monica Maria Carrillo Renteria (2504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077431"/>
    <s v="Josue Alexandro Gomez Perez"/>
    <s v="Regular"/>
    <s v="Direct"/>
    <s v="Tooling Operator "/>
    <m/>
    <x v="5"/>
    <s v="Moonshine"/>
    <s v="Martha Noemi Aguayo Reyes (4010783)"/>
    <s v="Jose Alfonso Pesquera Rodriguez (31543)"/>
    <s v="Monica Maria Carrillo Renteria (25040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1-12T00:00:00"/>
    <d v="2026-06-15T00:00:00"/>
    <n v="3.4246575342465753"/>
  </r>
  <r>
    <n v="4095278"/>
    <s v="Cipriano Macias Beltran"/>
    <s v="Regular"/>
    <s v="Direct"/>
    <s v="Tooling Operator "/>
    <m/>
    <x v="5"/>
    <s v="Moonshine"/>
    <s v="Martha Noemi Aguayo Reyes (4010783)"/>
    <s v="Jose Alfonso Pesquera Rodriguez (31543)"/>
    <s v="Monica Maria Carrillo Renteria (25040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9-04T00:00:00"/>
    <d v="2026-06-15T00:00:00"/>
    <n v="2.7808219178082192"/>
  </r>
  <r>
    <n v="4122888"/>
    <s v="Pedro Zavala Hernandez"/>
    <s v="Fixed Term"/>
    <s v="Direct"/>
    <s v="Assembler "/>
    <m/>
    <x v="5"/>
    <s v="Moonshine"/>
    <s v="Martha Noemi Aguayo Reyes (4010783)"/>
    <s v="Jose Alfonso Pesquera Rodriguez (31543)"/>
    <s v="Monica Maria Carrillo Renteria (2504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05985"/>
    <s v="Maria Del Carmen Delgado Marquez"/>
    <s v="Regular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4105990"/>
    <s v="Maria Fernanda Fernandez Santillan"/>
    <s v="Regular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093"/>
    <s v="Rigoberto Hernandez Chavez"/>
    <s v="Regular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391"/>
    <s v="Jose Ruben Perez Garcia"/>
    <s v="Fixed Term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2730"/>
    <s v="Angel De Jesus Antonio Dominguez"/>
    <s v="Fixed Term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417"/>
    <s v="Edgar Samuel Orozco Rodriguez"/>
    <s v="Fixed Term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588838"/>
    <s v="Miriam Yuridia Gonzalez Rincon"/>
    <s v="Regular"/>
    <s v="Direct"/>
    <s v="Material Handler "/>
    <m/>
    <x v="0"/>
    <s v="Control de producción"/>
    <s v="Martha Veronica Meza Garcia (23193)"/>
    <s v="Miguel Francisco Barajas Nares (32924)"/>
    <s v="Veronica Judith Coss y Leon Gonzalez (1018211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30T00:00:00"/>
    <d v="2026-06-15T00:00:00"/>
    <n v="1.7068493150684931"/>
  </r>
  <r>
    <n v="929799"/>
    <s v="Gerardo Del Real Castañeda"/>
    <s v="Regular"/>
    <s v="Direct"/>
    <s v="Materials Lead "/>
    <m/>
    <x v="0"/>
    <s v="Control de producción"/>
    <s v="Martha Veronica Meza Garcia (23193)"/>
    <s v="Miguel Francisco Barajas Nares (32924)"/>
    <s v="Veronica Judith Coss y Leon Gonzalez (1018211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7-18T00:00:00"/>
    <d v="2026-06-15T00:00:00"/>
    <n v="9.9150684931506845"/>
  </r>
  <r>
    <n v="20446"/>
    <s v="Hugo Enrique Gonzalez Hernandez"/>
    <s v="Regular"/>
    <s v="Indirect"/>
    <s v="Process Engineer "/>
    <m/>
    <x v="4"/>
    <s v="AME"/>
    <s v="Miguel Angel Gutierrez Limon (31891)"/>
    <s v="Omar Garcia Lopez (31870)"/>
    <s v="Shaneel Deo (1210081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0-08-16T00:00:00"/>
    <d v="2026-06-15T00:00:00"/>
    <n v="15.841095890410958"/>
  </r>
  <r>
    <n v="1175012"/>
    <s v="Mario Alejandro Hernández Fernández"/>
    <s v="Regular"/>
    <s v="Direct"/>
    <s v="Process Engineering Technician "/>
    <m/>
    <x v="9"/>
    <s v="AME"/>
    <s v="Miguel Angel Gutierrez Limon (31891)"/>
    <s v="Omar Garcia Lopez (31870)"/>
    <s v="Shaneel Deo (1210081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27T00:00:00"/>
    <d v="2026-06-15T00:00:00"/>
    <n v="3.2986301369863016"/>
  </r>
  <r>
    <n v="1002436"/>
    <s v="Ana Cristina Rizo Ocegueda"/>
    <s v="Regular"/>
    <s v="Direct"/>
    <s v="Warehouse Supervisor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7-03-13T00:00:00"/>
    <d v="2026-06-15T00:00:00"/>
    <n v="9.2630136986301377"/>
  </r>
  <r>
    <n v="23193"/>
    <s v="Martha Veronica Meza Garcia"/>
    <s v="Regular"/>
    <s v="Direct"/>
    <s v="Warehouse Supervisor "/>
    <m/>
    <x v="0"/>
    <s v="Control de producción"/>
    <s v="Miguel Francisco Barajas Nares (32924)"/>
    <s v="Veronica Judith Coss y Leon Gonzalez (1018211)"/>
    <s v="Pedro Vargas Aviña (992296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2-20T00:00:00"/>
    <d v="2026-06-15T00:00:00"/>
    <n v="3.3178082191780822"/>
  </r>
  <r>
    <n v="29084"/>
    <s v="Ricardo Rincon Martinez"/>
    <s v="Regular"/>
    <s v="Direct"/>
    <s v="Materials Lead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8-06-02T00:00:00"/>
    <d v="2026-06-15T00:00:00"/>
    <n v="18.046575342465754"/>
  </r>
  <r>
    <n v="4069631"/>
    <s v="Angel Gabriel Flores Jimenez"/>
    <s v="Regular"/>
    <s v="Direct"/>
    <s v="Material Expediter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FLX-Reg Serv-Non Alloc-Mexico [Primary Function]"/>
    <d v="2022-10-06T00:00:00"/>
    <d v="2026-06-15T00:00:00"/>
    <n v="3.6931506849315068"/>
  </r>
  <r>
    <n v="26555"/>
    <s v="Vanessa Cervantes Lopez"/>
    <s v="Regular"/>
    <s v="Direct"/>
    <s v="Materials Lead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6-09-18T00:00:00"/>
    <d v="2026-06-15T00:00:00"/>
    <n v="19.753424657534246"/>
  </r>
  <r>
    <n v="4061789"/>
    <s v="Dulce Alejandra Partida Martinez"/>
    <s v="Regular"/>
    <s v="Direct"/>
    <s v="Materials Lead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07-14T00:00:00"/>
    <d v="2026-06-15T00:00:00"/>
    <n v="3.9232876712328766"/>
  </r>
  <r>
    <n v="4089255"/>
    <s v="Cristian Alejandro Gonzalez Mora"/>
    <s v="Regular"/>
    <s v="Direct"/>
    <s v="Materials Lead "/>
    <m/>
    <x v="0"/>
    <s v="Control de producción"/>
    <s v="Miguel Francisco Barajas Nares (32924)"/>
    <s v="Veronica Judith Coss y Leon Gonzalez (1018211)"/>
    <s v="Pedro Vargas Aviña (992296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3-05-25T00:00:00"/>
    <d v="2026-06-15T00:00:00"/>
    <n v="3.0602739726027397"/>
  </r>
  <r>
    <n v="837744"/>
    <s v="Rosa Maria Murillo Salazar"/>
    <s v="Regular"/>
    <s v="Direct"/>
    <s v="Warehouse Supervisor "/>
    <m/>
    <x v="0"/>
    <s v="Control de producción"/>
    <s v="Miguel Francisco Barajas Nares (32924)"/>
    <s v="Veronica Judith Coss y Leon Gonzalez (1018211)"/>
    <s v="Pedro Vargas Aviña (992296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11-07T00:00:00"/>
    <d v="2026-06-15T00:00:00"/>
    <n v="3.6054794520547944"/>
  </r>
  <r>
    <n v="851163"/>
    <s v="Anay Navarro Moyeda"/>
    <s v="Regular"/>
    <s v="Direct"/>
    <s v="Warehouse Supervisor "/>
    <m/>
    <x v="0"/>
    <s v="Control de producción"/>
    <s v="Miguel Francisco Barajas Nares (32924)"/>
    <s v="Veronica Judith Coss y Leon Gonzalez (1018211)"/>
    <s v="Pedro Vargas Aviña (992296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7-18T00:00:00"/>
    <d v="2026-06-15T00:00:00"/>
    <n v="9.9150684931506845"/>
  </r>
  <r>
    <n v="858692"/>
    <s v="Rigoberto Gutierrez Castillo"/>
    <s v="Regular"/>
    <s v="Direct"/>
    <s v="Materials Administrator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4-09-29T00:00:00"/>
    <d v="2026-06-15T00:00:00"/>
    <n v="11.717808219178082"/>
  </r>
  <r>
    <n v="955151"/>
    <s v="Monica Alejandra Sanchez Luna"/>
    <s v="Regular"/>
    <s v="Direct"/>
    <s v="Warehouse Supervisor "/>
    <m/>
    <x v="0"/>
    <s v="Control de producción"/>
    <s v="Miguel Francisco Barajas Nares (32924)"/>
    <s v="Veronica Judith Coss y Leon Gonzalez (1018211)"/>
    <s v="Pedro Vargas Aviña (992296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7-18T00:00:00"/>
    <d v="2026-06-15T00:00:00"/>
    <n v="9.9150684931506845"/>
  </r>
  <r>
    <n v="1144289"/>
    <s v="Osvaldo Luciano Ávila Cerda"/>
    <s v="Regular"/>
    <s v="Indirect"/>
    <s v="Quality Engineer "/>
    <m/>
    <x v="4"/>
    <s v="NPI"/>
    <s v="Missael de Jesus Lomeli Rodriguez (986537)"/>
    <s v="Ricardo Orozco Soto (851430)"/>
    <s v="Omar Karin Hernandez Rojas (35359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2-01-17T00:00:00"/>
    <d v="2026-06-15T00:00:00"/>
    <n v="4.4109589041095889"/>
  </r>
  <r>
    <n v="1233332"/>
    <s v="Fernando Ibarra Avila"/>
    <s v="Regular"/>
    <s v="Indirect"/>
    <s v="Supplier Quality Engineer "/>
    <m/>
    <x v="4"/>
    <s v="NPI"/>
    <s v="Missael de Jesus Lomeli Rodriguez (986537)"/>
    <s v="Ricardo Orozco Soto (851430)"/>
    <s v="Omar Karin Hernandez Rojas (35359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6-01T00:00:00"/>
    <d v="2026-06-15T00:00:00"/>
    <n v="3.8356164383561646E-2"/>
  </r>
  <r>
    <n v="31135"/>
    <s v="Jose Ricardo Lopez Marin"/>
    <s v="Regular"/>
    <s v="Indirect"/>
    <s v="Quality Engineer "/>
    <m/>
    <x v="4"/>
    <s v="NPI"/>
    <s v="Missael de Jesus Lomeli Rodriguez (986537)"/>
    <s v="Ricardo Orozco Soto (851430)"/>
    <s v="Omar Karin Hernandez Rojas (35359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5-18T00:00:00"/>
    <d v="2026-06-15T00:00:00"/>
    <n v="7.6712328767123292E-2"/>
  </r>
  <r>
    <n v="37269"/>
    <s v="Lucia Neri Garcia"/>
    <s v="Regular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0-02-22T00:00:00"/>
    <d v="2026-06-15T00:00:00"/>
    <n v="16.32054794520548"/>
  </r>
  <r>
    <n v="4011649"/>
    <s v="Zayra Fernanda Garcia Garcia"/>
    <s v="Fixed Term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71098"/>
    <s v="Merali Estefania Vazquez Chavez"/>
    <s v="Regular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23T00:00:00"/>
    <d v="2026-06-15T00:00:00"/>
    <n v="1.3917808219178083"/>
  </r>
  <r>
    <n v="34271"/>
    <s v="Marco Antonio Lopez Navarro"/>
    <s v="Regular"/>
    <s v="Direct"/>
    <s v="Materials Lead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3-11-24T00:00:00"/>
    <d v="2026-06-15T00:00:00"/>
    <n v="22.572602739726026"/>
  </r>
  <r>
    <n v="4098047"/>
    <s v="Luis David Ramirez Guzman"/>
    <s v="Regular"/>
    <s v="Direct"/>
    <s v="Materials Lead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01-08T00:00:00"/>
    <d v="2026-06-15T00:00:00"/>
    <n v="2.4356164383561643"/>
  </r>
  <r>
    <n v="4062989"/>
    <s v="Jose De Jesus Benitez Ortiz"/>
    <s v="Regular"/>
    <s v="Direct"/>
    <s v="Materials Lead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08-01T00:00:00"/>
    <d v="2026-06-15T00:00:00"/>
    <n v="3.8739726027397259"/>
  </r>
  <r>
    <n v="4109084"/>
    <s v="Athziri Jaqueline Lopez Fermin"/>
    <s v="Regular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2-19T00:00:00"/>
    <d v="2026-06-15T00:00:00"/>
    <n v="1.4876712328767123"/>
  </r>
  <r>
    <n v="4121125"/>
    <s v="Cristian Yerat Luna Sanchez"/>
    <s v="Regular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4243"/>
    <s v="Jose Elias Posadas Lopez"/>
    <s v="Fixed Term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62"/>
    <s v="Angela Cardenas Hernandez"/>
    <s v="Fixed Term"/>
    <s v="Direct"/>
    <s v="Material Handler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925489"/>
    <s v="Silvia Garcia Mayoral"/>
    <s v="Regular"/>
    <s v="Direct"/>
    <s v="Materials Lead "/>
    <m/>
    <x v="0"/>
    <s v="Control de producción"/>
    <s v="Monica Alejandra Sanchez Luna (955151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06-27T00:00:00"/>
    <d v="2026-06-15T00:00:00"/>
    <n v="9.9726027397260282"/>
  </r>
  <r>
    <n v="967115"/>
    <s v="Alejandro Alencastro Jimenez"/>
    <s v="Regular"/>
    <s v="Direct"/>
    <s v="Materials Lead "/>
    <m/>
    <x v="0"/>
    <s v="Control de producción"/>
    <s v="Monica Alejandra Sanchez Luna (955151)"/>
    <s v="Miguel Francisco Barajas Nares (32924)"/>
    <s v="Veronica Judith Coss y Leon Gonzalez (1018211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6-12-05T00:00:00"/>
    <d v="2026-06-15T00:00:00"/>
    <n v="9.5315068493150683"/>
  </r>
  <r>
    <n v="1091628"/>
    <s v="Fernando Eliseo Jimenez Santiago"/>
    <s v="Regular"/>
    <s v="Indirect"/>
    <s v="Equipment Maintenance Manager "/>
    <m/>
    <x v="4"/>
    <s v="IDL"/>
    <s v="Monica Maria Carrillo Renteria (25040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9-03-04T00:00:00"/>
    <d v="2026-06-15T00:00:00"/>
    <n v="7.2876712328767121"/>
  </r>
  <r>
    <n v="31543"/>
    <s v="Jose Alfonso Pesquera Rodriguez"/>
    <s v="Regular"/>
    <s v="Indirect"/>
    <s v="Business Excellence Manager "/>
    <m/>
    <x v="13"/>
    <s v="IDL"/>
    <s v="Monica Maria Carrillo Renteria (25040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5-18T00:00:00"/>
    <d v="2026-06-15T00:00:00"/>
    <n v="7.6712328767123292E-2"/>
  </r>
  <r>
    <n v="32135"/>
    <s v="Dulce Maria Martinez Ramirez"/>
    <s v="Regular"/>
    <s v="Indirect"/>
    <s v="Data Analyst "/>
    <m/>
    <x v="4"/>
    <s v="IDL"/>
    <s v="Monica Maria Carrillo Renteria (25040)"/>
    <s v="Ricardo Lozano Malacara (34385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05-12-05T00:00:00"/>
    <d v="2026-06-15T00:00:00"/>
    <n v="20.539726027397261"/>
  </r>
  <r>
    <n v="1005267"/>
    <s v="Jorge Tonatiuh Méndez Guareña"/>
    <s v="Regular"/>
    <s v="Indirect"/>
    <s v="Process Engineering Manager "/>
    <m/>
    <x v="4"/>
    <s v="IDL"/>
    <s v="Monica Maria Carrillo Renteria (25040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586265"/>
    <s v="Marco Antonio Meza Mancilla"/>
    <s v="Regular"/>
    <s v="Indirect"/>
    <s v="Business Excellence Manager "/>
    <m/>
    <x v="4"/>
    <s v="IDL"/>
    <s v="Monica Maria Carrillo Renteria (25040)"/>
    <s v="Ricardo Lozano Malacara (34385)"/>
    <s v="Ruben Cesar Nyul Vazquez (1975170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3-06-19T00:00:00"/>
    <d v="2026-06-15T00:00:00"/>
    <n v="2.9917808219178084"/>
  </r>
  <r>
    <n v="851159"/>
    <s v="Juan Manuel Mendoza Vazquez"/>
    <s v="Regular"/>
    <s v="Indirect"/>
    <s v="Process Engineering Manager "/>
    <m/>
    <x v="4"/>
    <s v="IDL"/>
    <s v="Monica Maria Carrillo Renteria (25040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8-21T00:00:00"/>
    <d v="2026-06-15T00:00:00"/>
    <n v="2.8191780821917809"/>
  </r>
  <r>
    <n v="967415"/>
    <s v="Carlos Antonio Gastelum Torres"/>
    <s v="Regular"/>
    <s v="Indirect"/>
    <s v="Process Engineering Manager "/>
    <m/>
    <x v="4"/>
    <s v="IDL"/>
    <s v="Monica Maria Carrillo Renteria (25040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1-31T00:00:00"/>
    <d v="2026-06-15T00:00:00"/>
    <n v="4.3726027397260276"/>
  </r>
  <r>
    <n v="3001097"/>
    <s v="Olga Lidia Olivares Barajas"/>
    <s v="Regular"/>
    <s v="Direct"/>
    <s v="Quality Auditor "/>
    <m/>
    <x v="3"/>
    <s v="RMAs"/>
    <s v="Natalia Lizbeth Rodriguez Mercado (1007773)"/>
    <s v="Luis Rafael Camacho Torres (851676)"/>
    <s v="Omar Lozano Rodriguez (107096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7-08-14T00:00:00"/>
    <d v="2026-06-15T00:00:00"/>
    <n v="8.8410958904109584"/>
  </r>
  <r>
    <n v="4053243"/>
    <s v="Daniela Monserrat Carbajal Navarro"/>
    <s v="Regular"/>
    <s v="Direct"/>
    <s v="Quality Auditor "/>
    <m/>
    <x v="3"/>
    <s v="RMAs"/>
    <s v="Natalia Lizbeth Rodriguez Mercado (1007773)"/>
    <s v="Luis Rafael Camacho Torres (851676)"/>
    <s v="Omar Lozano Rodriguez (107096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066346"/>
    <s v="Luz Esthela Dominguez Parra"/>
    <s v="Regular"/>
    <s v="Direct"/>
    <s v="Quality Auditor "/>
    <m/>
    <x v="3"/>
    <s v="RMAs"/>
    <s v="Natalia Lizbeth Rodriguez Mercado (1007773)"/>
    <s v="Luis Rafael Camacho Torres (851676)"/>
    <s v="Omar Lozano Rodriguez (1070969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08T00:00:00"/>
    <d v="2026-06-15T00:00:00"/>
    <n v="3.7698630136986302"/>
  </r>
  <r>
    <n v="1171512"/>
    <s v="Miguel Angel Valdivia Preciado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5-03-10T00:00:00"/>
    <d v="2026-06-15T00:00:00"/>
    <n v="1.2657534246575342"/>
  </r>
  <r>
    <n v="1178263"/>
    <s v="Bruno Arturo García Sotelo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-B23B-CEC-Ops-Philo [Primary Function]"/>
    <d v="2023-05-15T00:00:00"/>
    <d v="2026-06-15T00:00:00"/>
    <n v="3.0876712328767124"/>
  </r>
  <r>
    <n v="1180338"/>
    <s v="Elias Martínez Lopez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17T00:00:00"/>
    <d v="2026-06-15T00:00:00"/>
    <n v="2.9150684931506849"/>
  </r>
  <r>
    <n v="1231389"/>
    <s v="Victor Fernando Elizondo Parra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5-04T00:00:00"/>
    <d v="2026-06-15T00:00:00"/>
    <n v="0.11506849315068493"/>
  </r>
  <r>
    <n v="31692"/>
    <s v="Pascual Alejandro Rodriguez Garcia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25T00:00:00"/>
    <d v="2026-06-15T00:00:00"/>
    <n v="4.1424657534246574"/>
  </r>
  <r>
    <n v="31935"/>
    <s v="Jose de Jesus Hernandez Gonzalez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12-28T00:00:00"/>
    <d v="2026-06-15T00:00:00"/>
    <n v="5.4657534246575343"/>
  </r>
  <r>
    <n v="33407"/>
    <s v="Jorge Armando Salinas Gutierrez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7-12-03T00:00:00"/>
    <d v="2026-06-15T00:00:00"/>
    <n v="18.545205479452054"/>
  </r>
  <r>
    <n v="4020185"/>
    <s v="Ana Paola Canela Vera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07-23T00:00:00"/>
    <d v="2026-06-15T00:00:00"/>
    <n v="5.8986301369863012"/>
  </r>
  <r>
    <n v="1152980"/>
    <s v="Juan Antonio Medina Mendoza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4-25T00:00:00"/>
    <d v="2026-06-15T00:00:00"/>
    <n v="4.1424657534246574"/>
  </r>
  <r>
    <n v="877430"/>
    <s v="Edgar Alexander De la Cruz Salazar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903357"/>
    <s v="Carlos Daniel Sagrero Jimenez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4-10-20T00:00:00"/>
    <d v="2026-06-15T00:00:00"/>
    <n v="11.66027397260274"/>
  </r>
  <r>
    <n v="970599"/>
    <s v="Mario Blancas Cruz"/>
    <s v="Regular"/>
    <s v="Direct"/>
    <s v="Test Technician "/>
    <m/>
    <x v="6"/>
    <s v="Pruebas"/>
    <s v="Nelson Uriel Suarez Villa (962342)"/>
    <s v="Jorge Ignacio Diaz De Dios (1171980)"/>
    <s v="Carlos Alberto Castañeda Muñoz (33755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6-20T00:00:00"/>
    <d v="2026-06-15T00:00:00"/>
    <n v="9.9917808219178088"/>
  </r>
  <r>
    <n v="1012071"/>
    <s v="Monica Lizette Haro Barajas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4-15T00:00:00"/>
    <d v="2026-06-15T00:00:00"/>
    <n v="5.1698630136986301"/>
  </r>
  <r>
    <n v="4035515"/>
    <s v="Maria Trinidad Villegas Maldonado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5T00:00:00"/>
    <d v="2026-06-15T00:00:00"/>
    <n v="1.8904109589041096"/>
  </r>
  <r>
    <n v="4049882"/>
    <s v="Victor Hugo Jaramillo Salcido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058102"/>
    <s v="Marlene Coronado Cisneros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3T00:00:00"/>
    <d v="2026-06-15T00:00:00"/>
    <n v="1.726027397260274"/>
  </r>
  <r>
    <n v="4062132"/>
    <s v="Catalina Becerra Garcia"/>
    <s v="Regular"/>
    <s v="Direct"/>
    <s v="Lead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088961"/>
    <s v="Perla Atziri Enciso Gonzalez"/>
    <s v="Regular"/>
    <s v="Direct"/>
    <s v="SMT Operato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09T00:00:00"/>
    <d v="2026-06-15T00:00:00"/>
    <n v="1.4301369863013698"/>
  </r>
  <r>
    <n v="4100715"/>
    <s v="Veronica Berenice Castañeda Sandoval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106492"/>
    <s v="Maria Teresa Gonzalez Mayagoitia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06726"/>
    <s v="Maura Moreno Gutierrez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1-07T00:00:00"/>
    <d v="2026-06-15T00:00:00"/>
    <n v="1.6027397260273972"/>
  </r>
  <r>
    <n v="4113047"/>
    <s v="Joshua Aldair Jimenez Bautista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1073"/>
    <s v="Luis Ivanov Tavares Hernandez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29"/>
    <s v="Josue Delgadillo Tinoco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33"/>
    <s v="Jose Guadalupe Lopez Morales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149"/>
    <s v="Jorge Luis Garcia Martinez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2755"/>
    <s v="Naomi Vanessa Ramirez Sanchez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56"/>
    <s v="Sanjuana Yuridiana Baez Lozano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88"/>
    <s v="Rosalinda Rodriguez Lamas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4106"/>
    <s v="Maria De Jesus Muñoz Plascencia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5T00:00:00"/>
    <d v="2026-06-15T00:00:00"/>
    <n v="5.7534246575342465E-2"/>
  </r>
  <r>
    <n v="4124230"/>
    <s v="Eric Alejandro Lopez Huerta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2"/>
    <s v="Aymar Esthefania Huerta Guerrero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364"/>
    <s v="Gabriel Gonzalez Santa Cruz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65"/>
    <s v="Katherine Lizette Soriano Haro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08"/>
    <s v="Juan Carlos Ornelas Frias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605183"/>
    <s v="Ana Agustina Silva Padilla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815355"/>
    <s v="Patricia Lara Lepe"/>
    <s v="Regular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10-31T00:00:00"/>
    <d v="2026-06-15T00:00:00"/>
    <n v="1.6219178082191781"/>
  </r>
  <r>
    <n v="897007"/>
    <s v="Rebeca Jeannette Lujano Dorado"/>
    <s v="Fixed Term"/>
    <s v="Direct"/>
    <s v="Assembler "/>
    <m/>
    <x v="1"/>
    <s v="SMT"/>
    <s v="Nohemi Guadalupe Cruz Laureano (1158107)"/>
    <s v="Carlos Toscano Vazquez (1006179)"/>
    <s v="Oscar Daniel Ocampo de la Barrera (1013610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4235"/>
    <s v="Alonso Valentin Sanchez Valenci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537"/>
    <s v="Carmen Michelle Castillo Cisneros"/>
    <s v="Fixed Term"/>
    <s v="Direct"/>
    <s v="Quality Auditor "/>
    <s v="Nuevo Ingreso"/>
    <x v="3"/>
    <s v="Calidad"/>
    <s v="Omar Esau Contreras Garcia (4053893)"/>
    <s v="Jesus Reyes Rodriguez (1171171)"/>
    <s v="Oscar Daniel Ocampo de la Barrera (1013610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1002010"/>
    <s v="Jairo Noe Amaya Huert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1174339"/>
    <s v="Cornelio Ruiz Motuto"/>
    <s v="Regular"/>
    <s v="Direct"/>
    <s v="Debug Technician "/>
    <m/>
    <x v="1"/>
    <s v="IST"/>
    <s v="Omar Esau Contreras Garcia (4053893)"/>
    <s v="Jesus Reyes Rodriguez (1171171)"/>
    <s v="Oscar Daniel Ocampo de la Barrera (101361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2-13T00:00:00"/>
    <d v="2026-06-15T00:00:00"/>
    <n v="3.3369863013698629"/>
  </r>
  <r>
    <n v="20530"/>
    <s v="Gloria Leticia Estrada Blanc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12892"/>
    <s v="Maria Elizabeth Aguilar Aguilar"/>
    <s v="Regular"/>
    <s v="Direct"/>
    <s v="Lead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09-30T00:00:00"/>
    <d v="2026-06-15T00:00:00"/>
    <n v="6.7123287671232879"/>
  </r>
  <r>
    <n v="4015659"/>
    <s v="Maria Guadalupe Arias Ayon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032262"/>
    <s v="Julia Sanchez Cru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1-01-18T00:00:00"/>
    <d v="2026-06-15T00:00:00"/>
    <n v="5.4082191780821915"/>
  </r>
  <r>
    <n v="4045131"/>
    <s v="Julianna Jackeline Soriano Sot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53907"/>
    <s v="Yolanda Martinez Espinoz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2-03-14T00:00:00"/>
    <d v="2026-06-15T00:00:00"/>
    <n v="4.2575342465753421"/>
  </r>
  <r>
    <n v="4058794"/>
    <s v="Lorena Gomez Alviz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71571"/>
    <s v="Laura Janeth Garcia Espinoz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0-27T00:00:00"/>
    <d v="2026-06-15T00:00:00"/>
    <n v="3.6356164383561644"/>
  </r>
  <r>
    <n v="4074034"/>
    <s v="Maria Guadalupe Lopez Gom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11-28T00:00:00"/>
    <d v="2026-06-15T00:00:00"/>
    <n v="3.547945205479452"/>
  </r>
  <r>
    <n v="4074888"/>
    <s v="Maria Eleazar Rincon Rodrigu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09T00:00:00"/>
    <d v="2026-06-15T00:00:00"/>
    <n v="1.7643835616438357"/>
  </r>
  <r>
    <n v="4087434"/>
    <s v="Gloria Barrios Rodrigu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20T00:00:00"/>
    <d v="2026-06-15T00:00:00"/>
    <n v="3.1561643835616437"/>
  </r>
  <r>
    <n v="4094536"/>
    <s v="Alma Dori Garcia Jijon"/>
    <s v="Regular"/>
    <s v="Direct"/>
    <s v="Lead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4T00:00:00"/>
    <d v="2026-06-15T00:00:00"/>
    <n v="2.8109589041095893"/>
  </r>
  <r>
    <n v="4098421"/>
    <s v="Maria De Los Angeles Rodriguez Rui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11T00:00:00"/>
    <d v="2026-06-15T00:00:00"/>
    <n v="2.4273972602739726"/>
  </r>
  <r>
    <n v="4099951"/>
    <s v="Elena Jocelyn Del Pilar Flores Navarro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099978"/>
    <s v="Julia Barboza River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02035"/>
    <s v="Jose Rafael Mosqueda Martin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6-24T00:00:00"/>
    <d v="2026-06-15T00:00:00"/>
    <n v="1.9753424657534246"/>
  </r>
  <r>
    <n v="4102670"/>
    <s v="Maricela Flores Quintero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8T00:00:00"/>
    <d v="2026-06-15T00:00:00"/>
    <n v="1.9369863013698629"/>
  </r>
  <r>
    <n v="4102739"/>
    <s v="Sara Alejandra Razon Lop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11T00:00:00"/>
    <d v="2026-06-15T00:00:00"/>
    <n v="1.9287671232876713"/>
  </r>
  <r>
    <n v="4103036"/>
    <s v="Evelyn Jaline Tejeda Rodrigu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106227"/>
    <s v="Alexis Antonio Torres Mendoz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4-10-10T00:00:00"/>
    <d v="2026-06-15T00:00:00"/>
    <n v="1.6794520547945206"/>
  </r>
  <r>
    <n v="4109758"/>
    <s v="Miriam Yadira Salvio Sandoval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1-13T00:00:00"/>
    <d v="2026-06-15T00:00:00"/>
    <n v="1.4191780821917808"/>
  </r>
  <r>
    <n v="4112487"/>
    <s v="Marisol Eguiarte Hernand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2-10T00:00:00"/>
    <d v="2026-06-15T00:00:00"/>
    <n v="1.3424657534246576"/>
  </r>
  <r>
    <n v="4113309"/>
    <s v="Ivan Bravo Sual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121670"/>
    <s v="Noemi Anaya Saavedr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671"/>
    <s v="Naydelin Judith Coronado Gonzal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675"/>
    <s v="Romelia Mora Estebes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19"/>
    <s v="Ma Del Carmen Romo Fonseca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22"/>
    <s v="Ashlee Niyet Sanchez Sanchez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2393"/>
    <s v="Claudia Itzel Ortega Santo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22512"/>
    <s v="Maria De Jesus Meza Sala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761"/>
    <s v="Amelia Herika Alcantar De Leon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62"/>
    <s v="Silvia Piceno Daniel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65"/>
    <s v="Maria Teresa Nuñez Lujan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97"/>
    <s v="Maria De Lourdes Muñoz Navarr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798"/>
    <s v="Virginia Muñoz Navarr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00"/>
    <s v="Erika Berenice Jimenez Amezquit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70"/>
    <s v="Maria Maribel Herrera Maldonad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84"/>
    <s v="Claudia Yanet Mendoza Baraja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909"/>
    <s v="Gilberto Castro Garci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4201"/>
    <s v="Carolina Urias Hernand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7"/>
    <s v="Sandra Ramirez Hernand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38"/>
    <s v="Luis Gerardo Roa Flore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77108"/>
    <s v="Belen Karina Silva Lop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947010"/>
    <s v="Rocio Longoria Torre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966963"/>
    <s v="Jazziel Cruz Santos"/>
    <s v="Regular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09-26T00:00:00"/>
    <d v="2026-06-15T00:00:00"/>
    <n v="9.7232876712328764"/>
  </r>
  <r>
    <n v="990486"/>
    <s v="Claudia Guadalupe Gonzalez Hernand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26T00:00:00"/>
    <d v="2026-06-15T00:00:00"/>
    <n v="0.22191780821917809"/>
  </r>
  <r>
    <n v="4112903"/>
    <s v="Ariana Montserrat Alejos Mez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6"/>
    <s v="Beatriz Adriana Vazquez Olivare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1"/>
    <s v="Cristina Guzman Hernand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10870"/>
    <s v="Danna Yoselyne Villa Rodrigu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206"/>
    <s v="Santiago Rodriguez Jimen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096083"/>
    <s v="Jorge Jauregui Salazar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70"/>
    <s v="Karla Maria Jimenez Tello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13"/>
    <s v="Laura Martinez Porra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93"/>
    <s v="Luis Fernando Garcia Hernand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083935"/>
    <s v="Maria De Jesus Chavez Gonzal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993881"/>
    <s v="Maria Isabel Solis Roque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3"/>
    <s v="Martha Delia Sanchez Ovill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85"/>
    <s v="Mayra Janett Legaspi Ramire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01796"/>
    <s v="Mayra Noemi Espinoza Ibarr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67"/>
    <s v="Pedro Lopez Castellano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78"/>
    <s v="Said Gabriel Sandoval Arreol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18036"/>
    <s v="Sara Yulisa Rosales Banderas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609831"/>
    <s v="Yesenia Alvarez Salazar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222933"/>
    <s v="Ruben Sandoval Garcia"/>
    <s v="Regular"/>
    <s v="Indirect"/>
    <s v="Process Engineer 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12-08T00:00:00"/>
    <d v="2026-06-15T00:00:00"/>
    <n v="0.51780821917808217"/>
  </r>
  <r>
    <n v="1231766"/>
    <s v="Wilfrido Romero Hernandez"/>
    <s v="Regular"/>
    <s v="Indirect"/>
    <s v="Process Engineer "/>
    <m/>
    <x v="4"/>
    <s v="IDL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5-11T00:00:00"/>
    <d v="2026-06-15T00:00:00"/>
    <n v="9.5890410958904104E-2"/>
  </r>
  <r>
    <n v="25353"/>
    <s v="Jorge Contreras Rivera"/>
    <s v="Regular"/>
    <s v="Indirect"/>
    <s v="Process Engineering Manager 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1993-12-15T00:00:00"/>
    <d v="2026-06-15T00:00:00"/>
    <n v="32.520547945205479"/>
  </r>
  <r>
    <n v="31560"/>
    <s v="Gerardo Reyes Rivas"/>
    <s v="Regular"/>
    <s v="Indirect"/>
    <s v="Process Engineering Manager 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04-09-14T00:00:00"/>
    <d v="2026-06-15T00:00:00"/>
    <n v="21.764383561643836"/>
  </r>
  <r>
    <n v="31891"/>
    <s v="Miguel Angel Gutierrez Limon"/>
    <s v="Regular"/>
    <s v="Indirect"/>
    <s v="Director, Process Engineering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05-10-10T00:00:00"/>
    <d v="2026-06-15T00:00:00"/>
    <n v="20.693150684931506"/>
  </r>
  <r>
    <n v="585063"/>
    <s v="Leopoldo Josue Medina Garcia"/>
    <s v="Regular"/>
    <s v="Indirect"/>
    <s v="Process Engineering Manager 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4-01-29T00:00:00"/>
    <d v="2026-06-15T00:00:00"/>
    <n v="2.3780821917808219"/>
  </r>
  <r>
    <n v="899762"/>
    <s v="Adrian Cano Lopez"/>
    <s v="Regular"/>
    <s v="Indirect"/>
    <s v="Process Engineer "/>
    <m/>
    <x v="4"/>
    <s v="AME"/>
    <s v="Omar Garcia Lopez (31870)"/>
    <s v="Shaneel Deo (1210081)"/>
    <s v="Michael B Brooks (50095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11-18T00:00:00"/>
    <d v="2026-06-15T00:00:00"/>
    <n v="0.57260273972602738"/>
  </r>
  <r>
    <n v="851676"/>
    <s v="Luis Rafael Camacho Torres"/>
    <s v="Regular"/>
    <s v="Indirect"/>
    <s v="Quality Engineer "/>
    <m/>
    <x v="4"/>
    <s v="IDL"/>
    <s v="Omar Lozano Rodriguez (1070969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13-07-29T00:00:00"/>
    <d v="2026-06-15T00:00:00"/>
    <n v="12.887671232876713"/>
  </r>
  <r>
    <n v="1155112"/>
    <s v="Gerardo Damian Gonzalez Navarro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05-30T00:00:00"/>
    <d v="2026-06-15T00:00:00"/>
    <n v="4.0465753424657533"/>
  </r>
  <r>
    <n v="1195930"/>
    <s v="Raul Gutierrez De la cruz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9-23T00:00:00"/>
    <d v="2026-06-15T00:00:00"/>
    <n v="1.726027397260274"/>
  </r>
  <r>
    <n v="1196937"/>
    <s v="Jessica Vanessa Monroy Casillas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14T00:00:00"/>
    <d v="2026-06-15T00:00:00"/>
    <n v="1.6684931506849314"/>
  </r>
  <r>
    <n v="1233312"/>
    <s v="Isaias Marquez de Leon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21226"/>
    <s v="Fernando Mora Chavez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5-09-22T00:00:00"/>
    <d v="2026-06-15T00:00:00"/>
    <n v="20.742465753424657"/>
  </r>
  <r>
    <n v="31456"/>
    <s v="Tovias Rodriguez Mejia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6-07-18T00:00:00"/>
    <d v="2026-06-15T00:00:00"/>
    <n v="9.9150684931506845"/>
  </r>
  <r>
    <n v="34884"/>
    <s v="Marcos Daniel Rueda Garcia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8-05-26T00:00:00"/>
    <d v="2026-06-15T00:00:00"/>
    <n v="18.065753424657533"/>
  </r>
  <r>
    <n v="966962"/>
    <s v="Alan Daniel Parra Moreno"/>
    <s v="Regular"/>
    <s v="Direct"/>
    <s v="Engineering Technician "/>
    <m/>
    <x v="7"/>
    <s v="Equipos"/>
    <s v="Orlando Javier Ruiz Diaz (21858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03T00:00:00"/>
    <d v="2026-06-15T00:00:00"/>
    <n v="2.9534246575342467"/>
  </r>
  <r>
    <n v="1006179"/>
    <s v="Carlos Toscano Vazquez"/>
    <s v="Regular"/>
    <s v="Indirect"/>
    <s v="Operations Manager "/>
    <m/>
    <x v="4"/>
    <s v="IDL"/>
    <s v="Oscar Daniel Ocampo de la Barrera (1013610)"/>
    <s v="Ricardo Lozano Malacara (34385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3-09-04T00:00:00"/>
    <d v="2026-06-15T00:00:00"/>
    <n v="2.7808219178082192"/>
  </r>
  <r>
    <n v="1139161"/>
    <s v="Marco Antonio Lozano Gómez"/>
    <s v="Regular"/>
    <s v="Indirect"/>
    <s v="Operations Manager "/>
    <m/>
    <x v="4"/>
    <s v="IDL"/>
    <s v="Oscar Daniel Ocampo de la Barrera (1013610)"/>
    <s v="Ricardo Lozano Malacara (34385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Ops-B30-Philo [Primary Function]"/>
    <d v="2021-10-18T00:00:00"/>
    <d v="2026-06-15T00:00:00"/>
    <n v="4.6602739726027398"/>
  </r>
  <r>
    <n v="1171171"/>
    <s v="Jesus Reyes Rodriguez"/>
    <s v="Regular"/>
    <s v="Indirect"/>
    <s v="Operations Manager "/>
    <m/>
    <x v="4"/>
    <s v="IDL"/>
    <s v="Oscar Daniel Ocampo de la Barrera (1013610)"/>
    <s v="Ricardo Lozano Malacara (34385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2-12-12T00:00:00"/>
    <d v="2026-06-15T00:00:00"/>
    <n v="3.5095890410958903"/>
  </r>
  <r>
    <n v="1171489"/>
    <s v="Luis Guillermo Lopez Mortera"/>
    <s v="Regular"/>
    <s v="Indirect"/>
    <s v="Operations Manager "/>
    <m/>
    <x v="4"/>
    <s v="IDL"/>
    <s v="Oscar Daniel Ocampo de la Barrera (1013610)"/>
    <s v="Ricardo Lozano Malacara (34385)"/>
    <s v="Ruben Cesar Nyul Vazquez (1975170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6-05-11T00:00:00"/>
    <d v="2026-06-15T00:00:00"/>
    <n v="9.5890410958904104E-2"/>
  </r>
  <r>
    <n v="905006"/>
    <s v="Alejandra Medina Santos"/>
    <s v="Regular"/>
    <s v="Indirect"/>
    <s v="Business Systems Analyst "/>
    <m/>
    <x v="4"/>
    <s v="IDL"/>
    <s v="Osvaldo Olague Fernández (1103176)"/>
    <s v="Ricardo Villa (31335)"/>
    <s v="Alex Romano (34260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14-11-03T00:00:00"/>
    <d v="2026-06-15T00:00:00"/>
    <n v="11.621917808219179"/>
  </r>
  <r>
    <n v="1006419"/>
    <s v="Noemi Vianey Valadez Guerrero"/>
    <s v="Regular"/>
    <s v="Direct"/>
    <s v="Engineering Technician "/>
    <m/>
    <x v="7"/>
    <s v="Automatización"/>
    <s v="Paola Monserrath Torres Muñoz (992785)"/>
    <s v="Fernando Eliseo Jimenez Santiago (1091628)"/>
    <s v="Monica Maria Carrillo Renteria (25040)"/>
    <s v="Mix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7-03-30T00:00:00"/>
    <d v="2026-06-15T00:00:00"/>
    <n v="9.2164383561643834"/>
  </r>
  <r>
    <n v="3001953"/>
    <s v="Diana Carina Jimenez Casillas"/>
    <s v="Regular"/>
    <s v="Direct"/>
    <s v="Engineering Technician "/>
    <m/>
    <x v="7"/>
    <s v="Automatización"/>
    <s v="Paola Monserrath Torres Muñoz (992785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9-09-05T00:00:00"/>
    <d v="2026-06-15T00:00:00"/>
    <n v="6.7808219178082192"/>
  </r>
  <r>
    <n v="37778"/>
    <s v="Alejandra Camarena Gomez"/>
    <s v="Regular"/>
    <s v="Direct"/>
    <s v="Engineering Technician "/>
    <m/>
    <x v="7"/>
    <s v="Automatización"/>
    <s v="Paola Monserrath Torres Muñoz (992785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02T00:00:00"/>
    <d v="2026-06-15T00:00:00"/>
    <n v="3.452054794520548"/>
  </r>
  <r>
    <n v="4078890"/>
    <s v="Ana Ivette Ramirez Ruiz"/>
    <s v="Regular"/>
    <s v="Direct"/>
    <s v="Engineering Technician "/>
    <m/>
    <x v="7"/>
    <s v="Automatización"/>
    <s v="Paola Monserrath Torres Muñoz (992785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1-23T00:00:00"/>
    <d v="2026-06-15T00:00:00"/>
    <n v="3.3945205479452056"/>
  </r>
  <r>
    <n v="1096155"/>
    <s v="Elizabeth Garcia Chavez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9-06-03T00:00:00"/>
    <d v="2026-06-15T00:00:00"/>
    <n v="7.0383561643835613"/>
  </r>
  <r>
    <n v="21346"/>
    <s v="Lourdes Leonor Santoscoy Chavez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Support [Primary Function]"/>
    <d v="2023-06-15T00:00:00"/>
    <d v="2026-06-15T00:00:00"/>
    <n v="3.0027397260273974"/>
  </r>
  <r>
    <n v="4062980"/>
    <s v="Yarit Antonio Martinez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Support [Primary Function]"/>
    <d v="2022-08-01T00:00:00"/>
    <d v="2026-06-15T00:00:00"/>
    <n v="3.8739726027397259"/>
  </r>
  <r>
    <n v="4094661"/>
    <s v="Stephany Curiel Ramirez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099963"/>
    <s v="Fernanda Monserrath Pelayo Cardenas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1233716"/>
    <s v="Mauricio Moreno Muñoz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821531"/>
    <s v="Raquel Pacheco Delgado"/>
    <s v="Regular"/>
    <s v="Direct"/>
    <s v="Quality Technician "/>
    <m/>
    <x v="3"/>
    <s v="Calidad"/>
    <s v="Patricia Guadalupe Vazquez Hurtado (1203876)"/>
    <s v="Ulises Noe Vega Arreola (926305)"/>
    <s v="Jorge Adalberto Alba Perez (33249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4-08-18T00:00:00"/>
    <d v="2026-06-15T00:00:00"/>
    <n v="11.832876712328767"/>
  </r>
  <r>
    <n v="1018211"/>
    <s v="Veronica Judith Coss y Leon Gonzalez"/>
    <s v="Regular"/>
    <s v="Indirect"/>
    <s v="Production Planning Manager "/>
    <m/>
    <x v="4"/>
    <s v="IDL"/>
    <s v="Pedro Vargas Aviña (992296)"/>
    <s v="Manuel Alejandro Torres Delgado (22349)"/>
    <s v="Ruben Cesar Nyul Vazquez (1975170)"/>
    <s v="Mix"/>
    <s v="Bldg 29"/>
    <n v="6420"/>
    <s v="MFG North Guad, MEX 300-Flextronics Manufacturing Mex, S.A. de C.V.-Philo Cloud-CLOUD SERVER &amp; S-PCBA_GUAD_300-Philo VLP [Customer Dimensions]"/>
    <s v="MX-GDL-Guad North CEC-Support [Primary Function]"/>
    <d v="2017-06-05T00:00:00"/>
    <d v="2026-06-15T00:00:00"/>
    <n v="9.0328767123287665"/>
  </r>
  <r>
    <n v="1229871"/>
    <s v="Mario Jesus Valenzuela Covarrubias"/>
    <s v="Regular"/>
    <s v="Direct"/>
    <s v="Materials Lead "/>
    <m/>
    <x v="0"/>
    <s v="Control de producción"/>
    <s v="Pedro Vargas Aviña (992296)"/>
    <s v="Manuel Alejandro Torres Delgado (22349)"/>
    <s v="Ruben Cesar Nyul Vazquez (1975170)"/>
    <s v="Mix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1000412"/>
    <s v="Maria Mayela Solis Muño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9T00:00:00"/>
    <d v="2026-06-15T00:00:00"/>
    <n v="0.26849315068493151"/>
  </r>
  <r>
    <n v="1009640"/>
    <s v="Carlos Villanueva Mireles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9-12-05T00:00:00"/>
    <d v="2026-06-15T00:00:00"/>
    <n v="6.5315068493150683"/>
  </r>
  <r>
    <n v="26410"/>
    <s v="Maria Elena Vargas Montes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-B23B-CEC-Ops-Philo [Primary Function]"/>
    <d v="2024-11-07T00:00:00"/>
    <d v="2026-06-15T00:00:00"/>
    <n v="1.6027397260273972"/>
  </r>
  <r>
    <n v="26584"/>
    <s v="Paula Patricia Soriano Duron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26848"/>
    <s v="Blanca Esmeralda Escarsega Beltran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06-12-04T00:00:00"/>
    <d v="2026-06-15T00:00:00"/>
    <n v="19.542465753424658"/>
  </r>
  <r>
    <n v="3001411"/>
    <s v="Miguel Jauregui Lope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7-09-07T00:00:00"/>
    <d v="2026-06-15T00:00:00"/>
    <n v="8.7753424657534254"/>
  </r>
  <r>
    <n v="3007024"/>
    <s v="Raquel Virginia Salazar Espinoza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0-08-20T00:00:00"/>
    <d v="2026-06-15T00:00:00"/>
    <n v="5.8219178082191778"/>
  </r>
  <r>
    <n v="4019496"/>
    <s v="Yuliliana Teodoro Cruz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9-01T00:00:00"/>
    <d v="2026-06-15T00:00:00"/>
    <n v="3.7890410958904108"/>
  </r>
  <r>
    <n v="4040415"/>
    <s v="Karhely Anais Aguilar Pelayo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27T00:00:00"/>
    <d v="2026-06-15T00:00:00"/>
    <n v="2.0520547945205481"/>
  </r>
  <r>
    <n v="4051066"/>
    <s v="Ahtziry Gonzalez Amaral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11T00:00:00"/>
    <d v="2026-06-15T00:00:00"/>
    <n v="3.8465753424657536"/>
  </r>
  <r>
    <n v="4051209"/>
    <s v="Guadalupe Gomez Sanchez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55512"/>
    <s v="Gloria Miranda Chave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057295"/>
    <s v="Sandra Patricia Rangel Martinez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59737"/>
    <s v="Ma. Isabel Valencia Jimenez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064938"/>
    <s v="Jose Guadalupe Campos Rubi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2-08-25T00:00:00"/>
    <d v="2026-06-15T00:00:00"/>
    <n v="3.8082191780821919"/>
  </r>
  <r>
    <n v="4078928"/>
    <s v="Luis Fernando Hernandez Corona"/>
    <s v="Regular"/>
    <s v="Direct"/>
    <s v="Technical Production 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1-23T00:00:00"/>
    <d v="2026-06-15T00:00:00"/>
    <n v="3.3945205479452056"/>
  </r>
  <r>
    <n v="4086926"/>
    <s v="Elisa Ruano Pimienta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4-13T00:00:00"/>
    <d v="2026-06-15T00:00:00"/>
    <n v="3.1753424657534248"/>
  </r>
  <r>
    <n v="4088995"/>
    <s v="Michelle Joseline Roman Reveles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094535"/>
    <s v="Mayeli Josefina Morales Sanchez"/>
    <s v="Regular"/>
    <s v="Direct"/>
    <s v="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4T00:00:00"/>
    <d v="2026-06-15T00:00:00"/>
    <n v="2.8109589041095893"/>
  </r>
  <r>
    <n v="4094649"/>
    <s v="Diana Laura Nazario Gomez"/>
    <s v="Regular"/>
    <s v="Direct"/>
    <s v="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3-08-28T00:00:00"/>
    <d v="2026-06-15T00:00:00"/>
    <n v="2.8"/>
  </r>
  <r>
    <n v="4098389"/>
    <s v="Lourdes Adriana Vazquez Dionicio"/>
    <s v="Regular"/>
    <s v="Direct"/>
    <s v="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11T00:00:00"/>
    <d v="2026-06-15T00:00:00"/>
    <n v="2.4273972602739726"/>
  </r>
  <r>
    <n v="4098423"/>
    <s v="Erick Brayan Hernandez Quezada"/>
    <s v="Regular"/>
    <s v="Direct"/>
    <s v="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1-11T00:00:00"/>
    <d v="2026-06-15T00:00:00"/>
    <n v="2.4273972602739726"/>
  </r>
  <r>
    <n v="4099950"/>
    <s v="Maria Esther Sandoval Gonzale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02477"/>
    <s v="Jaquelin Diaz Santiago"/>
    <s v="Regular"/>
    <s v="Direct"/>
    <s v="Lead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4T00:00:00"/>
    <d v="2026-06-15T00:00:00"/>
    <n v="1.9479452054794522"/>
  </r>
  <r>
    <n v="4102668"/>
    <s v="Fernando Espinosa Diaz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08T00:00:00"/>
    <d v="2026-06-15T00:00:00"/>
    <n v="1.9369863013698629"/>
  </r>
  <r>
    <n v="4103021"/>
    <s v="Teresita De Jesus Aguilar Herrera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4103345"/>
    <s v="Jesus Elizabeth Ledezma Alvino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4105647"/>
    <s v="Margarita Chavez Herrera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9-26T00:00:00"/>
    <d v="2026-06-15T00:00:00"/>
    <n v="1.7178082191780821"/>
  </r>
  <r>
    <n v="4106396"/>
    <s v="Paola Evangelina Muñoz Mor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1151"/>
    <s v="Carolina Mercado Lope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121408"/>
    <s v="Itzel Andres Castro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121409"/>
    <s v="Wendy Antonia Casimiro Lope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2-26T00:00:00"/>
    <d v="2026-06-15T00:00:00"/>
    <n v="0.29863013698630136"/>
  </r>
  <r>
    <n v="4121667"/>
    <s v="Favian Hernandez Palafox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668"/>
    <s v="Hugo Suastegui Justo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672"/>
    <s v="David Alejandro Vazquez Alda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16"/>
    <s v="Yoxan Yaret Vargas Camacho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17"/>
    <s v="Rosa Maria Nuñez Villa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1725"/>
    <s v="Yeeisla Lizbeth Jimenez Diaz"/>
    <s v="Regular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05T00:00:00"/>
    <d v="2026-06-15T00:00:00"/>
    <n v="0.27945205479452057"/>
  </r>
  <r>
    <n v="4122505"/>
    <s v="Ana Liliana Caro Bravo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06"/>
    <s v="Fatima Lizeth Navarro Carrillo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517"/>
    <s v="Fatima Isabel Alfaro Garci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3-30T00:00:00"/>
    <d v="2026-06-15T00:00:00"/>
    <n v="0.21095890410958903"/>
  </r>
  <r>
    <n v="4122802"/>
    <s v="Paula Miranda Carrillo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4122872"/>
    <s v="Ivon Teresa Lopez Arambul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82"/>
    <s v="Erich Giovanni Fernandez Carmon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2886"/>
    <s v="Martin Gonzalez Manzo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24050"/>
    <s v="Liliana Elizabeth Ramirez Salas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1T00:00:00"/>
    <d v="2026-06-15T00:00:00"/>
    <n v="6.8493150684931503E-2"/>
  </r>
  <r>
    <n v="4124205"/>
    <s v="Sandra Leticia Rivera Garci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4124258"/>
    <s v="Kytzia Jazmin Figueroa Santiago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5-28T00:00:00"/>
    <d v="2026-06-15T00:00:00"/>
    <n v="4.9315068493150684E-2"/>
  </r>
  <r>
    <n v="586108"/>
    <s v="Jenny Liliana Marin Ceja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8-01T00:00:00"/>
    <d v="2026-06-15T00:00:00"/>
    <n v="1.8712328767123287"/>
  </r>
  <r>
    <n v="586205"/>
    <s v="Iliana Alejandra Jara Melchor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601398"/>
    <s v="Margarita Campos Vazquez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814768"/>
    <s v="Diego Alejandro Hernandez Basurto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3-05-27T00:00:00"/>
    <d v="2026-06-15T00:00:00"/>
    <n v="13.06027397260274"/>
  </r>
  <r>
    <n v="858094"/>
    <s v="Nancy Yadira Montes Santos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4-04-07T00:00:00"/>
    <d v="2026-06-15T00:00:00"/>
    <n v="12.197260273972603"/>
  </r>
  <r>
    <n v="986036"/>
    <s v="Yareli Guadalupe Aviles Quintero"/>
    <s v="Regular"/>
    <s v="Direct"/>
    <s v="SMT Operato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16-10-21T00:00:00"/>
    <d v="2026-06-15T00:00:00"/>
    <n v="9.6547945205479451"/>
  </r>
  <r>
    <n v="999569"/>
    <s v="Lenny Beatriz Xochihua Perez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09T00:00:00"/>
    <d v="2026-06-15T00:00:00"/>
    <n v="0.18356164383561643"/>
  </r>
  <r>
    <n v="926539"/>
    <s v="Irwing Ariel Aguilar Chan (Comercializadora de Innovacion y Vanguardia SA de CV)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175411"/>
    <s v="Jorge Orlando Hernández Herrera"/>
    <s v="Regular"/>
    <s v="Indirect"/>
    <s v="Test Engineer "/>
    <m/>
    <x v="4"/>
    <s v="IDL"/>
    <s v="Rafael Gabriel Ojeda Ruiz (962675)"/>
    <s v="Rogelio Guzman Sanchez (1173106)"/>
    <s v="Ricardo Lozano Malacara (34385)"/>
    <s v="Gdl 1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3-06T00:00:00"/>
    <d v="2026-06-15T00:00:00"/>
    <n v="3.2794520547945205"/>
  </r>
  <r>
    <n v="1168428"/>
    <s v="Daniel Sengua Ruvalcaba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2-11-07T00:00:00"/>
    <d v="2026-06-15T00:00:00"/>
    <n v="3.6054794520547944"/>
  </r>
  <r>
    <n v="1176801"/>
    <s v="Juan Pablo Quintanilla Serrano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Support [Primary Function]"/>
    <d v="2023-04-03T00:00:00"/>
    <d v="2026-06-15T00:00:00"/>
    <n v="3.2027397260273971"/>
  </r>
  <r>
    <n v="25431"/>
    <s v="Carlos Arteaga Vargas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1-04T00:00:00"/>
    <d v="2026-06-15T00:00:00"/>
    <n v="1.6109589041095891"/>
  </r>
  <r>
    <n v="26383"/>
    <s v="Juan Carlos Sarabia Rico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6-02-20T00:00:00"/>
    <d v="2026-06-15T00:00:00"/>
    <n v="20.328767123287673"/>
  </r>
  <r>
    <n v="3006544"/>
    <s v="Pedro Marcelino Mandujano Medina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18-07-30T00:00:00"/>
    <d v="2026-06-15T00:00:00"/>
    <n v="7.882191780821918"/>
  </r>
  <r>
    <n v="4062802"/>
    <s v="Paola Lizeth Vazquez Sanchez"/>
    <s v="Regular"/>
    <s v="Direct"/>
    <s v="Process Engineering Technician "/>
    <m/>
    <x v="2"/>
    <s v="Procesos"/>
    <s v="Ramon Garcia Nuñez (32905)"/>
    <s v="Daniel Alejandro Zamora Avalos (1182904)"/>
    <s v="Juan Manuel Mendoza Vazquez (851159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1-19T00:00:00"/>
    <d v="2026-06-15T00:00:00"/>
    <n v="1.5698630136986302"/>
  </r>
  <r>
    <n v="27691"/>
    <s v="Piedad Guadalupe Santos Montes"/>
    <s v="Regular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07-11-19T00:00:00"/>
    <d v="2026-06-15T00:00:00"/>
    <n v="18.583561643835615"/>
  </r>
  <r>
    <n v="4036048"/>
    <s v="Luis Armando Amador Martinez"/>
    <s v="Regular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4054529"/>
    <s v="Oscar Oswaldo Sotelo Ocegueda"/>
    <s v="Regular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03-22T00:00:00"/>
    <d v="2026-06-15T00:00:00"/>
    <n v="4.2356164383561641"/>
  </r>
  <r>
    <n v="4105977"/>
    <s v="Julian Israel Martinez Venegas"/>
    <s v="Regular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4122554"/>
    <s v="Jose De Jesus Morones Balderas"/>
    <s v="Fixed Term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4122555"/>
    <s v="Arlinton Josue Rodriguez Sarmiento"/>
    <s v="Fixed Term"/>
    <s v="Direct"/>
    <s v="Material Expediter "/>
    <m/>
    <x v="0"/>
    <s v="Almacén"/>
    <s v="Rey Alberto Lechuga Garcia (40513)"/>
    <s v="Jose Cruz Mesillas Gutierrez (958559)"/>
    <s v="Manuel Vazquez Maldonado (1146319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4-06T00:00:00"/>
    <d v="2026-06-15T00:00:00"/>
    <n v="0.19178082191780821"/>
  </r>
  <r>
    <n v="1013610"/>
    <s v="Oscar Daniel Ocampo de la Barrera"/>
    <s v="Regular"/>
    <s v="Indirect"/>
    <s v="Director, Operations"/>
    <m/>
    <x v="4"/>
    <s v="IDL"/>
    <s v="Ricardo Lozano Malacara (34385)"/>
    <s v="Ruben Cesar Nyul Vazquez (1975170)"/>
    <s v="George O'Kelley (512523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3-03-06T00:00:00"/>
    <d v="2026-06-15T00:00:00"/>
    <n v="3.2794520547945205"/>
  </r>
  <r>
    <n v="1173106"/>
    <s v="Rogelio Guzman Sanchez"/>
    <s v="Regular"/>
    <s v="Indirect"/>
    <s v="Director, Process Engineering"/>
    <m/>
    <x v="4"/>
    <s v="IDL"/>
    <s v="Ricardo Lozano Malacara (34385)"/>
    <s v="Ruben Cesar Nyul Vazquez (1975170)"/>
    <s v="George O'Kelley (512523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1-23T00:00:00"/>
    <d v="2026-06-15T00:00:00"/>
    <n v="3.3945205479452056"/>
  </r>
  <r>
    <n v="25040"/>
    <s v="Monica Maria Carrillo Renteria"/>
    <s v="Regular"/>
    <s v="Indirect"/>
    <s v="Director, Operations Engineering"/>
    <m/>
    <x v="4"/>
    <s v="IDL"/>
    <s v="Ricardo Lozano Malacara (34385)"/>
    <s v="Ruben Cesar Nyul Vazquez (1975170)"/>
    <s v="George O'Kelley (512523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1999-02-08T00:00:00"/>
    <d v="2026-06-15T00:00:00"/>
    <n v="27.367123287671234"/>
  </r>
  <r>
    <n v="33249"/>
    <s v="Jorge Adalberto Alba Perez"/>
    <s v="Regular"/>
    <s v="Indirect"/>
    <s v="Sr Director, Quality"/>
    <m/>
    <x v="4"/>
    <s v="IDL"/>
    <s v="Ricardo Lozano Malacara (34385)"/>
    <s v="Ruben Cesar Nyul Vazquez (1975170)"/>
    <s v="George O'Kelley (512523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07-10-08T00:00:00"/>
    <d v="2026-06-15T00:00:00"/>
    <n v="18.698630136986303"/>
  </r>
  <r>
    <n v="33900"/>
    <s v="Gonzalo Rubio Ceja"/>
    <s v="Regular"/>
    <s v="Indirect"/>
    <s v="Director, Program Management"/>
    <m/>
    <x v="4"/>
    <s v="IDL"/>
    <s v="Ricardo Lozano Malacara (34385)"/>
    <s v="Ruben Cesar Nyul Vazquez (1975170)"/>
    <s v="George O'Kelley (512523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08-04-21T00:00:00"/>
    <d v="2026-06-15T00:00:00"/>
    <n v="18.161643835616438"/>
  </r>
  <r>
    <n v="976654"/>
    <s v="Andrea Alvarez Cruz"/>
    <s v="Regular"/>
    <s v="Indirect"/>
    <s v="Program Management Manager "/>
    <m/>
    <x v="4"/>
    <s v="IDL"/>
    <s v="Ricardo Lozano Malacara (34385)"/>
    <s v="Ruben Cesar Nyul Vazquez (1975170)"/>
    <s v="George O'Kelley (512523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2-06-13T00:00:00"/>
    <d v="2026-06-15T00:00:00"/>
    <n v="4.0082191780821921"/>
  </r>
  <r>
    <n v="1119009"/>
    <s v="Jesús García Torres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0-11-17T00:00:00"/>
    <d v="2026-06-15T00:00:00"/>
    <n v="5.5780821917808217"/>
  </r>
  <r>
    <n v="1169382"/>
    <s v="Luis Raymundo Lara Del Angel"/>
    <s v="Regular"/>
    <s v="Direct"/>
    <s v="Engineering Technician "/>
    <m/>
    <x v="7"/>
    <s v="Automatización"/>
    <s v="Ricardo Souza Pulido (1012907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2-11-23T00:00:00"/>
    <d v="2026-06-15T00:00:00"/>
    <n v="3.5616438356164384"/>
  </r>
  <r>
    <n v="1179368"/>
    <s v="Fernando Quiroz Gutiérrez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6-19T00:00:00"/>
    <d v="2026-06-15T00:00:00"/>
    <n v="2.9917808219178084"/>
  </r>
  <r>
    <n v="1179804"/>
    <s v="Yael Alejandro Plazola Alvarez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7-03T00:00:00"/>
    <d v="2026-06-15T00:00:00"/>
    <n v="2.9534246575342467"/>
  </r>
  <r>
    <n v="1192836"/>
    <s v="Jose Maria Garcia Bravo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7-22T00:00:00"/>
    <d v="2026-06-15T00:00:00"/>
    <n v="1.8986301369863015"/>
  </r>
  <r>
    <n v="1160950"/>
    <s v="Óscar de Jesús Hernández García"/>
    <s v="Regular"/>
    <s v="Indirect"/>
    <s v="Automation Engineer "/>
    <m/>
    <x v="4"/>
    <s v="IDL"/>
    <s v="Ricardo Souza Pulido (1012907)"/>
    <s v="Fernando Eliseo Jimenez Santiago (1091628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2-08-15T00:00:00"/>
    <d v="2026-06-15T00:00:00"/>
    <n v="3.8356164383561642"/>
  </r>
  <r>
    <n v="1193799"/>
    <s v="Francisco Javier Flores Alvarez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08-12T00:00:00"/>
    <d v="2026-06-15T00:00:00"/>
    <n v="1.8410958904109589"/>
  </r>
  <r>
    <n v="1196940"/>
    <s v="Alan Bladimir Almaraz Cortes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0-14T00:00:00"/>
    <d v="2026-06-15T00:00:00"/>
    <n v="1.6684931506849314"/>
  </r>
  <r>
    <n v="1209033"/>
    <s v="Felipe de Jesus Ortega Melchor"/>
    <s v="Regular"/>
    <s v="Direct"/>
    <s v="Automation Technician "/>
    <m/>
    <x v="7"/>
    <s v="Automatización"/>
    <s v="Ricardo Souza Pulido (1012907)"/>
    <s v="Fernando Eliseo Jimenez Santiago (1091628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6-02T00:00:00"/>
    <d v="2026-06-15T00:00:00"/>
    <n v="1.0356164383561643"/>
  </r>
  <r>
    <n v="1233346"/>
    <s v="Osvaldo Romero Jauregui"/>
    <s v="Regular"/>
    <s v="Indirect"/>
    <s v="Automation Engineer "/>
    <m/>
    <x v="7"/>
    <s v="Automatización"/>
    <s v="Ricardo Souza Pulido (1012907)"/>
    <s v="Fernando Eliseo Jimenez Santiago (1091628)"/>
    <s v="Monica Maria Carrillo Renteria (2504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6-06-01T00:00:00"/>
    <d v="2026-06-15T00:00:00"/>
    <n v="3.8356164383561646E-2"/>
  </r>
  <r>
    <n v="35062"/>
    <s v="Jose Feliciano Nuño Alvarez"/>
    <s v="Regular"/>
    <s v="Direct"/>
    <s v="Engineering Technician "/>
    <m/>
    <x v="7"/>
    <s v="Automatización"/>
    <s v="Ricardo Souza Pulido (1012907)"/>
    <s v="Fernando Eliseo Jimenez Santiago (1091628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09-08-17T00:00:00"/>
    <d v="2026-06-15T00:00:00"/>
    <n v="16.838356164383562"/>
  </r>
  <r>
    <n v="32372"/>
    <s v="Sergio Ramirez Silva"/>
    <s v="Regular"/>
    <s v="Indirect"/>
    <s v="IT Operations Manager "/>
    <m/>
    <x v="4"/>
    <s v="IDL"/>
    <s v="Ricardo Villa (31335)"/>
    <s v="Alex Romano (34260)"/>
    <s v="John Lane (600372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16-10-03T00:00:00"/>
    <d v="2026-06-15T00:00:00"/>
    <n v="9.7041095890410958"/>
  </r>
  <r>
    <n v="836170"/>
    <s v="Antonio Isidro Hernandez Garcia"/>
    <s v="Regular"/>
    <s v="Indirect"/>
    <s v="Information Technology Manager "/>
    <m/>
    <x v="4"/>
    <s v="IDL"/>
    <s v="Ricardo Villa (31335)"/>
    <s v="Alex Romano (34260)"/>
    <s v="John Lane (600372)"/>
    <s v="Mix"/>
    <s v="Bldg 29"/>
    <n v="7400"/>
    <s v="MFG North Guad, MEX 300-Flextronics Manufacturing Mex, S.A. de C.V.-Philo Cloud-CLOUD SERVER &amp; S-PCBA_GUAD_300-Philo VLP [Customer Dimensions]"/>
    <s v="MX-GDL-Guad North CEC-Support [Primary Function]"/>
    <d v="2014-02-10T00:00:00"/>
    <d v="2026-06-15T00:00:00"/>
    <n v="12.35068493150685"/>
  </r>
  <r>
    <n v="33755"/>
    <s v="Carlos Alberto Castañeda Muñoz"/>
    <s v="Regular"/>
    <s v="Indirect"/>
    <s v="Test Engineering Manager "/>
    <m/>
    <x v="4"/>
    <s v="IDL"/>
    <s v="Rogelio Guzman Sanchez (1173106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3-09-04T00:00:00"/>
    <d v="2026-06-15T00:00:00"/>
    <n v="2.7808219178082192"/>
  </r>
  <r>
    <n v="38341"/>
    <s v="Catalina Veronica Torres Quiroga"/>
    <s v="Regular"/>
    <s v="Indirect"/>
    <s v="Test Engineer "/>
    <m/>
    <x v="4"/>
    <s v="IDL"/>
    <s v="Rogelio Guzman Sanchez (1173106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0-11-29T00:00:00"/>
    <d v="2026-06-15T00:00:00"/>
    <n v="15.553424657534247"/>
  </r>
  <r>
    <n v="962675"/>
    <s v="Rafael Gabriel Ojeda Ruiz"/>
    <s v="Regular"/>
    <s v="Indirect"/>
    <s v="Test Engineering Manager "/>
    <m/>
    <x v="4"/>
    <s v="IDL"/>
    <s v="Rogelio Guzman Sanchez (1173106)"/>
    <s v="Ricardo Lozano Malacara (34385)"/>
    <s v="Ruben Cesar Nyul Vazquez (1975170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16-04-25T00:00:00"/>
    <d v="2026-06-15T00:00:00"/>
    <n v="10.145205479452056"/>
  </r>
  <r>
    <n v="25791"/>
    <s v="Juan Gabriel Mares Lopez"/>
    <s v="Regular"/>
    <s v="Direct"/>
    <s v="Materials Lead "/>
    <m/>
    <x v="0"/>
    <s v="Control de producción"/>
    <s v="Rosa Maria Murillo Salazar (837744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3-07-22T00:00:00"/>
    <d v="2026-06-15T00:00:00"/>
    <n v="12.906849315068493"/>
  </r>
  <r>
    <n v="4099932"/>
    <s v="Patricia Azucena Garcia Medina"/>
    <s v="Regular"/>
    <s v="Direct"/>
    <s v="Material Handler "/>
    <m/>
    <x v="0"/>
    <s v="Control de producción"/>
    <s v="Rosa Maria Murillo Salazar (837744)"/>
    <s v="Miguel Francisco Barajas Nares (32924)"/>
    <s v="Veronica Judith Coss y Leon Gonzalez (1018211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00907"/>
    <s v="Lilia Ramos Ramos"/>
    <s v="Regular"/>
    <s v="Direct"/>
    <s v="Material Handler "/>
    <m/>
    <x v="0"/>
    <s v="Control de producción"/>
    <s v="Rosa Maria Murillo Salazar (837744)"/>
    <s v="Miguel Francisco Barajas Nares (32924)"/>
    <s v="Veronica Judith Coss y Leon Gonzalez (1018211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5-30T00:00:00"/>
    <d v="2026-06-15T00:00:00"/>
    <n v="2.043835616438356"/>
  </r>
  <r>
    <n v="4103449"/>
    <s v="Jose Guadalupe Rodriguez Garcia"/>
    <s v="Fixed Term"/>
    <s v="Direct"/>
    <s v="Assembler "/>
    <m/>
    <x v="0"/>
    <s v="Control de producción"/>
    <s v="Rosa Maria Murillo Salazar (837744)"/>
    <s v="Miguel Francisco Barajas Nares (32924)"/>
    <s v="Veronica Judith Coss y Leon Gonzalez (1018211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4-13T00:00:00"/>
    <d v="2026-06-15T00:00:00"/>
    <n v="0.17260273972602741"/>
  </r>
  <r>
    <n v="4105995"/>
    <s v="Estrella Chacon Alfaro"/>
    <s v="Regular"/>
    <s v="Direct"/>
    <s v="Materials Lead "/>
    <m/>
    <x v="0"/>
    <s v="Control de producción"/>
    <s v="Rosa Maria Murillo Salazar (837744)"/>
    <s v="Miguel Francisco Barajas Nares (32924)"/>
    <s v="Veronica Judith Coss y Leon Gonzalez (1018211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4-10-03T00:00:00"/>
    <d v="2026-06-15T00:00:00"/>
    <n v="1.6986301369863013"/>
  </r>
  <r>
    <n v="34385"/>
    <s v="Ricardo Lozano Malacara"/>
    <s v="Regular"/>
    <s v="Indirect"/>
    <s v="General Manager "/>
    <m/>
    <x v="4"/>
    <s v="IDL"/>
    <s v="Ruben Cesar Nyul Vazquez (1975170)"/>
    <s v="George O'Kelley (512523)"/>
    <s v="Paul Baldassari (122226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08-08-11T00:00:00"/>
    <d v="2026-06-15T00:00:00"/>
    <n v="17.854794520547944"/>
  </r>
  <r>
    <n v="4124729"/>
    <s v="Angelica Yamileth Iñiguez Romero"/>
    <s v="Fixed Term"/>
    <s v="Direct"/>
    <s v="Assembler "/>
    <s v="Nuevo Ingreso"/>
    <x v="1"/>
    <s v="Manufactura"/>
    <s v="Sergio David Serrano Barajas (21069)"/>
    <s v="Juan Carlos Tapia Lomeli (25276)"/>
    <s v="Jose Santiago Ortega Limon (1181033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30399"/>
    <s v="Maria Del Rosario Regalado Navarro"/>
    <s v="Fixed Term"/>
    <s v="Direct"/>
    <s v="Assembler "/>
    <s v="Nuevo Ingreso"/>
    <x v="1"/>
    <s v="Manufactura"/>
    <s v="Sergio David Serrano Barajas (21069)"/>
    <s v="Juan Carlos Tapia Lomeli (25276)"/>
    <s v="Jose Santiago Ortega Limon (1181033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038438"/>
    <s v="Blanca Angelica Villafranco Rivera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972323"/>
    <s v="Devora Llerena Gama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724"/>
    <s v="Fernando Daniel Meza Cuevas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021039"/>
    <s v="Francisco Geovanni Martinez Salazar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119405"/>
    <s v="Jamy Atziri Gonzalez Ramirez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124727"/>
    <s v="Juan Jose Flores Robles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124726"/>
    <s v="Laura Elena Robledo Nuñez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072349"/>
    <s v="Lorena Del Carmen Flores Vidal"/>
    <s v="Fixed Term"/>
    <s v="Direct"/>
    <s v="Quality Auditor "/>
    <s v="Nuevo Ingreso"/>
    <x v="3"/>
    <s v="Calidad"/>
    <s v="Sergio David Serrano Barajas (21069)"/>
    <s v="Juan Carlos Tapia Lomeli (25276)"/>
    <s v="Jose Santiago Ortega Limon (1181033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4124527"/>
    <s v="Sara Reyes Hernandez"/>
    <s v="Fixed Term"/>
    <s v="Direct"/>
    <s v="Material Handler "/>
    <s v="Nuevo Ingreso"/>
    <x v="0"/>
    <s v="Control de producción"/>
    <s v="Sergio David Serrano Barajas (21069)"/>
    <s v="Juan Carlos Tapia Lomeli (25276)"/>
    <s v="Jose Santiago Ortega Limon (1181033)"/>
    <s v="Gdl 3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6-04T00:00:00"/>
    <d v="2026-06-15T00:00:00"/>
    <n v="3.0136986301369864E-2"/>
  </r>
  <r>
    <n v="4124728"/>
    <s v="Victor Daniel Garcia Carrillo"/>
    <s v="Fixed Term"/>
    <s v="Direct"/>
    <s v="Material Handler "/>
    <s v="Nuevo Ingreso"/>
    <x v="0"/>
    <s v="Control de producción"/>
    <s v="Sergio David Serrano Barajas (21069)"/>
    <s v="Juan Carlos Tapia Lomeli (25276)"/>
    <s v="Jose Santiago Ortega Limon (1181033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6-06-08T00:00:00"/>
    <d v="2026-06-15T00:00:00"/>
    <n v="1.9178082191780823E-2"/>
  </r>
  <r>
    <n v="23467"/>
    <s v="Gabriel Gonzalez Garcia"/>
    <s v="Regular"/>
    <s v="Indirect"/>
    <s v="Training Manager "/>
    <m/>
    <x v="4"/>
    <s v="IDL"/>
    <s v="Sergio David Serrano Barajas (21069)"/>
    <s v="Juan Carlos Tapia Lomeli (25276)"/>
    <s v="Jose Santiago Ortega Limon (1181033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1999-08-31T00:00:00"/>
    <d v="2026-06-15T00:00:00"/>
    <n v="26.80821917808219"/>
  </r>
  <r>
    <n v="4124391"/>
    <s v="Brenda Dulce Casillas Padilla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68"/>
    <s v="Elva Sofia Hernandez Diaz"/>
    <s v="Fixed Term"/>
    <s v="Direct"/>
    <s v="Assembler "/>
    <m/>
    <x v="1"/>
    <s v="IST"/>
    <s v="Omar Esau Contreras Garcia (4053893)"/>
    <s v="Jesus Reyes Rodriguez (1171171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375"/>
    <s v="Jaqueline Monserrath Rizo Capote"/>
    <s v="Fixed Term"/>
    <s v="Direct"/>
    <s v="Assembler "/>
    <m/>
    <x v="1"/>
    <s v="SMT"/>
    <s v="Andres Ignacio Castañon Rodriguez (32670) Organization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4124415"/>
    <s v="Joaquin Alexander Ayala Santana"/>
    <s v="Fixed Term"/>
    <s v="Direct"/>
    <s v="Assembler "/>
    <m/>
    <x v="1"/>
    <s v="SMT"/>
    <s v="Rafael Cortes Larios (33731)"/>
    <s v="Carlos Toscano Vazquez (1006179)"/>
    <s v="Oscar Daniel Ocampo de la Barrera (1013610)"/>
    <s v="Gdl 2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6-06-01T00:00:00"/>
    <d v="2026-06-15T00:00:00"/>
    <n v="3.8356164383561646E-2"/>
  </r>
  <r>
    <n v="1158678"/>
    <s v="Erick casillas muñiz"/>
    <s v="Regular"/>
    <s v="Indirect"/>
    <s v="Technical Program Manager "/>
    <m/>
    <x v="4"/>
    <s v="AME"/>
    <s v="Shaneel Deo (1210081)"/>
    <s v="Michael B Brooks (500950)"/>
    <s v="Rob Campbell (913304)"/>
    <s v="Mix"/>
    <s v="Bldg 29"/>
    <n v="6900"/>
    <s v="MFG North Guad, MEX 300-Flextronics Manufacturing Mex, S.A. de C.V.-Philo Cloud-CLOUD SERVER &amp; S-PCBA_GUAD_300-Philo VLP [Customer Dimensions]"/>
    <s v="MX-GDL-Guad North CEC-Support [Primary Function]"/>
    <d v="2025-11-18T00:00:00"/>
    <d v="2026-06-15T00:00:00"/>
    <n v="0.57260273972602738"/>
  </r>
  <r>
    <n v="1147397"/>
    <s v="Jorge Armando Morales Chavez"/>
    <s v="Regular"/>
    <s v="Indirect"/>
    <s v="Quality Engineer "/>
    <m/>
    <x v="4"/>
    <s v="IDL"/>
    <s v="Simon Pedro Gradilla Palafox (862068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2-02-21T00:00:00"/>
    <d v="2026-06-15T00:00:00"/>
    <n v="4.3150684931506849"/>
  </r>
  <r>
    <n v="1182539"/>
    <s v="Mariela Barron Moran"/>
    <s v="Regular"/>
    <s v="Indirect"/>
    <s v="Quality Engineer "/>
    <m/>
    <x v="4"/>
    <s v="IDL"/>
    <s v="Simon Pedro Gradilla Palafox (862068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3-09-11T00:00:00"/>
    <d v="2026-06-15T00:00:00"/>
    <n v="2.7616438356164386"/>
  </r>
  <r>
    <n v="899712"/>
    <s v="Gabriel Castellanos Ortiz"/>
    <s v="Regular"/>
    <s v="Indirect"/>
    <s v="Product Quality Engineer "/>
    <m/>
    <x v="4"/>
    <s v="IDL"/>
    <s v="Simon Pedro Gradilla Palafox (862068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3-06-05T00:00:00"/>
    <d v="2026-06-15T00:00:00"/>
    <n v="3.0301369863013701"/>
  </r>
  <r>
    <n v="1234034"/>
    <s v="Miguel Angel Soto Hernández"/>
    <s v="Regular"/>
    <s v="Indirect"/>
    <s v="Quality Engineer "/>
    <m/>
    <x v="4"/>
    <s v="IDL"/>
    <s v="Simon Pedro Gradilla Palafox (862068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22081"/>
    <s v="Noemi Victoria Prieto"/>
    <s v="Regular"/>
    <s v="Direct"/>
    <s v="Quality Auditor "/>
    <m/>
    <x v="3"/>
    <s v="Calidad"/>
    <s v="Stephany Curiel Ramirez (4094661)"/>
    <s v="Patricia Guadalupe Vazquez Hurtado (1203876)"/>
    <s v="Ulises Noe Vega Arreola (926305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3004597"/>
    <s v="Lizeth Andrea Velasco Gonzalez"/>
    <s v="Regular"/>
    <s v="Direct"/>
    <s v="Quality Auditor "/>
    <m/>
    <x v="3"/>
    <s v="Calidad"/>
    <s v="Stephany Curiel Ramirez (4094661)"/>
    <s v="Patricia Guadalupe Vazquez Hurtado (1203876)"/>
    <s v="Ulises Noe Vega Arreola (926305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957543"/>
    <s v="Jesus Salvador Garcia Rafael"/>
    <s v="Regular"/>
    <s v="Direct"/>
    <s v="Quality Auditor "/>
    <m/>
    <x v="3"/>
    <s v="Calidad"/>
    <s v="Stephany Curiel Ramirez (4094661)"/>
    <s v="Patricia Guadalupe Vazquez Hurtado (1203876)"/>
    <s v="Ulises Noe Vega Arreola (926305)"/>
    <s v="Gdl 2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1-12T00:00:00"/>
    <d v="2026-06-15T00:00:00"/>
    <n v="3.4246575342465753"/>
  </r>
  <r>
    <n v="1000410"/>
    <s v="Jose Luis Policarpo Galvez"/>
    <s v="Regular"/>
    <s v="Direct"/>
    <s v="Engineering Technician "/>
    <m/>
    <x v="2"/>
    <s v="Producto"/>
    <s v="Teresa Neri Figueroa (974994)"/>
    <s v="Carlos Antonio Gastelum Torres (967415)"/>
    <s v="Monica Maria Carrillo Renteria (25040)"/>
    <s v="Gdl 2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2-02T00:00:00"/>
    <d v="2026-06-15T00:00:00"/>
    <n v="1.5342465753424657"/>
  </r>
  <r>
    <n v="4026507"/>
    <s v="Brenda Torres Pasillas"/>
    <s v="Regular"/>
    <s v="Direct"/>
    <s v="Engineering Technician "/>
    <m/>
    <x v="2"/>
    <s v="Producto"/>
    <s v="Teresa Neri Figueroa (974994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5-03-18T00:00:00"/>
    <d v="2026-06-15T00:00:00"/>
    <n v="1.2438356164383562"/>
  </r>
  <r>
    <n v="4096102"/>
    <s v="Bianca Yaret Lozano Vazquez"/>
    <s v="Regular"/>
    <s v="Direct"/>
    <s v="Engineering Technician "/>
    <m/>
    <x v="2"/>
    <s v="Producto"/>
    <s v="Teresa Neri Figueroa (974994)"/>
    <s v="Carlos Antonio Gastelum Torres (967415)"/>
    <s v="Monica Maria Carrillo Renteria (25040)"/>
    <s v="Gdl 1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3-09-14T00:00:00"/>
    <d v="2026-06-15T00:00:00"/>
    <n v="2.7534246575342465"/>
  </r>
  <r>
    <n v="975145"/>
    <s v="Marcos Eduardo Lopez Vazquez"/>
    <s v="Regular"/>
    <s v="Direct"/>
    <s v="Engineering Technician "/>
    <m/>
    <x v="2"/>
    <s v="Producto"/>
    <s v="Teresa Neri Figueroa (974994)"/>
    <s v="Carlos Antonio Gastelum Torres (967415)"/>
    <s v="Monica Maria Carrillo Renteria (25040)"/>
    <s v="Gdl 3"/>
    <s v="Bldg 29"/>
    <n v="1300"/>
    <s v="MFG North Guad, MEX 300-Flextronics Manufacturing Mex, S.A. de C.V.-Philo Cloud-CLOUD SERVER &amp; S-PCBA_GUAD_300-Philo VLP [Customer Dimensions]"/>
    <s v="MX-GDL-Guad North CEC-Ops-B30-Philo [Primary Function]"/>
    <d v="2024-12-02T00:00:00"/>
    <d v="2026-06-15T00:00:00"/>
    <n v="1.5342465753424657"/>
  </r>
  <r>
    <n v="1203876"/>
    <s v="Patricia Guadalupe Vazquez Hurtado"/>
    <s v="Regular"/>
    <s v="Indirect"/>
    <s v="Quality Engineer "/>
    <m/>
    <x v="4"/>
    <s v="IDL"/>
    <s v="Ulises Noe Vega Arreola (926305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25-03-18T00:00:00"/>
    <d v="2026-06-15T00:00:00"/>
    <n v="1.2438356164383562"/>
  </r>
  <r>
    <n v="33257"/>
    <s v="Wendy Figueroa Aguilar"/>
    <s v="Regular"/>
    <s v="Indirect"/>
    <s v="Design Quality Engineer "/>
    <m/>
    <x v="4"/>
    <s v="IDL"/>
    <s v="Ulises Noe Vega Arreola (926305)"/>
    <s v="Jorge Adalberto Alba Perez (33249)"/>
    <s v="Ricardo Lozano Malacara (34385)"/>
    <s v="Mix"/>
    <s v="Bldg 29"/>
    <n v="5800"/>
    <s v="MFG North Guad, MEX 300-Flextronics Manufacturing Mex, S.A. de C.V.-Philo Cloud-CLOUD SERVER &amp; S-PCBA_GUAD_300-Philo VLP [Customer Dimensions]"/>
    <s v="MX-GDL-Guad North CEC-Support [Primary Function]"/>
    <d v="2013-05-06T00:00:00"/>
    <d v="2026-06-15T00:00:00"/>
    <n v="13.117808219178082"/>
  </r>
  <r>
    <n v="835935"/>
    <s v="Carlos Eduardo Lomeli Navarro"/>
    <s v="Regular"/>
    <s v="Indirect"/>
    <s v="HR Business Partner "/>
    <m/>
    <x v="4"/>
    <s v="IDL"/>
    <s v="Veronica Elizabeth Zarate Olvera (25485)"/>
    <s v="Jose Carlos Barajas Gonzalez (24454)"/>
    <s v="Guillermo Javier Uribe (860490)"/>
    <s v="Mix"/>
    <s v="Bldg 29"/>
    <n v="7300"/>
    <s v="MFG North Guad, MEX 300-Flextronics Manufacturing Mex, S.A. de C.V.-Philo Cloud-CLOUD SERVER &amp; S-PCBA_GUAD_300-Philo VLP [Customer Dimensions]"/>
    <s v="MX-GDL-Guad North CEC-Ops-B30-Philo [Primary Function]"/>
    <d v="2013-02-05T00:00:00"/>
    <d v="2026-06-15T00:00:00"/>
    <n v="13.364383561643836"/>
  </r>
  <r>
    <n v="864522"/>
    <s v="Miriam Mercedes Hernandez Tejeda"/>
    <s v="Regular"/>
    <s v="Indirect"/>
    <s v="HR Business Partner "/>
    <m/>
    <x v="4"/>
    <s v="IDL"/>
    <s v="Veronica Elizabeth Zarate Olvera (25485)"/>
    <s v="Jose Carlos Barajas Gonzalez (24454)"/>
    <s v="Guillermo Javier Uribe (860490)"/>
    <s v="Mix"/>
    <s v="Bldg 29"/>
    <n v="7300"/>
    <s v="MFG North Guad, MEX 300-Flextronics Manufacturing Mex, S.A. de C.V.-Philo Cloud-CLOUD SERVER &amp; S-PCBA_GUAD_300-Philo VLP [Customer Dimensions]"/>
    <s v="MX-GDL-Guad North CEC-Support [Primary Function]"/>
    <d v="2013-11-25T00:00:00"/>
    <d v="2026-06-15T00:00:00"/>
    <n v="12.561643835616438"/>
  </r>
  <r>
    <n v="1003669"/>
    <s v="Eric Saul Espinoza Villegas"/>
    <s v="Regular"/>
    <s v="Indirect"/>
    <s v="Inventory Control Analyst "/>
    <m/>
    <x v="4"/>
    <s v="IDL"/>
    <s v="Veronica Judith Coss y Leon Gonzalez (1018211)"/>
    <s v="Pedro Vargas Aviña (992296)"/>
    <s v="Manuel Alejandro Torres Delgado (22349)"/>
    <s v="Mix"/>
    <s v="Bldg 29"/>
    <n v="6490"/>
    <s v="MFG North Guad, MEX 300-Flextronics Manufacturing Mex, S.A. de C.V.-Philo Cloud-CLOUD SERVER &amp; S-PCBA_GUAD_300-Philo VLP [Customer Dimensions]"/>
    <s v="MX-GDL-Guad North CEC-Support [Primary Function]"/>
    <d v="2017-03-21T00:00:00"/>
    <d v="2026-06-15T00:00:00"/>
    <n v="9.2410958904109588"/>
  </r>
  <r>
    <n v="1099998"/>
    <s v="Jose de Jesus Casillas Gutierrez"/>
    <s v="Regular"/>
    <s v="Indirect"/>
    <s v="Inventory Control Analyst "/>
    <m/>
    <x v="4"/>
    <s v="IDL"/>
    <s v="Veronica Judith Coss y Leon Gonzalez (1018211)"/>
    <s v="Pedro Vargas Aviña (992296)"/>
    <s v="Manuel Alejandro Torres Delgado (22349)"/>
    <s v="Gdl 2"/>
    <s v="Bldg 29"/>
    <n v="6420"/>
    <s v="MFG North Guad, MEX 300-Flextronics Manufacturing Mex, S.A. de C.V.-Philo Cloud-CLOUD SERVER &amp; S-PCBA_GUAD_300-Philo VLP [Customer Dimensions]"/>
    <s v="MX-GDL-Guad North CEC-Support [Primary Function]"/>
    <d v="2021-04-05T00:00:00"/>
    <d v="2026-06-15T00:00:00"/>
    <n v="5.1972602739726028"/>
  </r>
  <r>
    <n v="1108904"/>
    <s v="Karen elizabeth Reyes Orozco"/>
    <s v="Regular"/>
    <s v="Indirect"/>
    <s v="Material Planning Analyst "/>
    <m/>
    <x v="4"/>
    <s v="IDL"/>
    <s v="Veronica Judith Coss y Leon Gonzalez (1018211)"/>
    <s v="Pedro Vargas Aviña (992296)"/>
    <s v="Manuel Alejandro Torres Delgado (22349)"/>
    <s v="Mix"/>
    <s v="Bldg 29"/>
    <n v="6490"/>
    <s v="MFG North Guad, MEX 300-Flextronics Manufacturing Mex, S.A. de C.V.-Philo Cloud-CLOUD SERVER &amp; S-PCBA_GUAD_300-Philo VLP [Customer Dimensions]"/>
    <s v="MX-GDL-Guad North CEC-Ops-B30-Philo [Primary Function]"/>
    <d v="2020-03-09T00:00:00"/>
    <d v="2026-06-15T00:00:00"/>
    <n v="6.2712328767123289"/>
  </r>
  <r>
    <n v="1159260"/>
    <s v="Paola Sofía Barajas Hernández"/>
    <s v="Regular"/>
    <s v="Indirect"/>
    <s v="Planner Scheduler "/>
    <m/>
    <x v="4"/>
    <s v="IDL"/>
    <s v="Veronica Judith Coss y Leon Gonzalez (1018211)"/>
    <s v="Pedro Vargas Aviña (992296)"/>
    <s v="Manuel Alejandro Torres Delgado (22349)"/>
    <s v="Mix"/>
    <s v="Bldg 29"/>
    <n v="6490"/>
    <s v="MFG North Guad, MEX 300-Flextronics Manufacturing Mex, S.A. de C.V.-Philo Cloud-CLOUD SERVER &amp; S-PCBA_GUAD_300-Philo VLP [Customer Dimensions]"/>
    <s v="MX-GDL-Guad North CEC-Ops-B30-Philo [Primary Function]"/>
    <d v="2022-07-25T00:00:00"/>
    <d v="2026-06-15T00:00:00"/>
    <n v="3.893150684931507"/>
  </r>
  <r>
    <n v="32924"/>
    <s v="Miguel Francisco Barajas Nares"/>
    <s v="Regular"/>
    <s v="Indirect"/>
    <s v="Planner Scheduler "/>
    <m/>
    <x v="4"/>
    <s v="IDL"/>
    <s v="Veronica Judith Coss y Leon Gonzalez (1018211)"/>
    <s v="Pedro Vargas Aviña (992296)"/>
    <s v="Manuel Alejandro Torres Delgado (22349)"/>
    <s v="Gdl 1"/>
    <s v="Bldg 29"/>
    <n v="6490"/>
    <s v="MFG North Guad, MEX 300-Flextronics Manufacturing Mex, S.A. de C.V.-Philo Cloud-CLOUD SERVER &amp; S-PCBA_GUAD_300-Philo VLP [Customer Dimensions]"/>
    <s v="MX-GDL-Guad North CEC-Support [Primary Function]"/>
    <d v="2006-08-14T00:00:00"/>
    <d v="2026-06-15T00:00:00"/>
    <n v="19.849315068493151"/>
  </r>
  <r>
    <n v="41452"/>
    <s v="Jose Fernando Ortiz Gomez"/>
    <s v="Regular"/>
    <s v="Direct"/>
    <s v="Warehouse Supervisor "/>
    <m/>
    <x v="0"/>
    <s v="Control de producción"/>
    <s v="Veronica Judith Coss y Leon Gonzalez (1018211)"/>
    <s v="Pedro Vargas Aviña (992296)"/>
    <s v="Manuel Alejandro Torres Delgado (22349)"/>
    <s v="Mix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04-04T00:00:00"/>
    <d v="2026-06-15T00:00:00"/>
    <n v="4.2"/>
  </r>
  <r>
    <n v="555165"/>
    <s v="Gabriel AMed Rico Rocha"/>
    <s v="Regular"/>
    <s v="Direct"/>
    <s v="Warehouse Supervisor "/>
    <m/>
    <x v="0"/>
    <s v="Control de producción"/>
    <s v="Veronica Judith Coss y Leon Gonzalez (1018211)"/>
    <s v="Pedro Vargas Aviña (992296)"/>
    <s v="Manuel Alejandro Torres Delgado (22349)"/>
    <s v="Gdl 1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12-05-21T00:00:00"/>
    <d v="2026-06-15T00:00:00"/>
    <n v="14.076712328767123"/>
  </r>
  <r>
    <n v="1234134"/>
    <s v="Luis Octavio Angulo Higuera"/>
    <s v="Regular"/>
    <s v="Indirect"/>
    <s v="Training Specialist "/>
    <m/>
    <x v="4"/>
    <s v="IDL"/>
    <s v="Viviana Berenice Quintero Curiel (886544)"/>
    <s v="Juan Carlos Tapia Lomeli (25276)"/>
    <s v="Jose Santiago Ortega Limon (1181033)"/>
    <s v="Mix"/>
    <s v="Bldg 29"/>
    <n v="5700"/>
    <s v="MFG North Guad, MEX 300-Flextronics Manufacturing Mex, S.A. de C.V.-Philo Cloud-CLOUD SERVER &amp; S-PCBA_GUAD_300-Philo VLP [Customer Dimensions]"/>
    <s v="MX-GDL-Guad North CEC-Support [Primary Function]"/>
    <d v="2026-06-15T00:00:00"/>
    <d v="2026-06-15T00:00:00"/>
    <n v="0"/>
  </r>
  <r>
    <n v="25929"/>
    <s v="Carlos Horacio Hernandez Fausto"/>
    <s v="Regular"/>
    <s v="Direct"/>
    <s v="Quality Auditor "/>
    <m/>
    <x v="3"/>
    <s v="Calidad"/>
    <s v="Yarit Antonio Martinez (4062980)"/>
    <s v="Patricia Guadalupe Vazquez Hurtado (1203876)"/>
    <s v="Ulises Noe Vega Arreola (926305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03-11-24T00:00:00"/>
    <d v="2026-06-15T00:00:00"/>
    <n v="22.572602739726026"/>
  </r>
  <r>
    <n v="4072815"/>
    <s v="Luz Araceli Flores Cerda"/>
    <s v="Regular"/>
    <s v="Direct"/>
    <s v="Quality Auditor "/>
    <m/>
    <x v="3"/>
    <s v="Calidad"/>
    <s v="Yarit Antonio Martinez (4062980)"/>
    <s v="Patricia Guadalupe Vazquez Hurtado (1203876)"/>
    <s v="Ulises Noe Vega Arreola (926305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11-10T00:00:00"/>
    <d v="2026-06-15T00:00:00"/>
    <n v="3.5972602739726027"/>
  </r>
  <r>
    <n v="4084593"/>
    <s v="Raul Ortega Vazquez"/>
    <s v="Regular"/>
    <s v="Direct"/>
    <s v="Quality Auditor "/>
    <m/>
    <x v="3"/>
    <s v="Calidad"/>
    <s v="Yarit Antonio Martinez (4062980)"/>
    <s v="Patricia Guadalupe Vazquez Hurtado (1203876)"/>
    <s v="Ulises Noe Vega Arreola (926305)"/>
    <s v="Gdl 3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3-03-16T00:00:00"/>
    <d v="2026-06-15T00:00:00"/>
    <n v="3.2520547945205478"/>
  </r>
  <r>
    <n v="4113486"/>
    <s v="Josselyn Esteban San Juan"/>
    <s v="Regular"/>
    <s v="Direct"/>
    <s v="Quality Auditor "/>
    <m/>
    <x v="3"/>
    <s v="Calidad"/>
    <s v="Yarit Antonio Martinez (4062980)"/>
    <s v="Patricia Guadalupe Vazquez Hurtado (1203876)"/>
    <s v="Ulises Noe Vega Arreola (926305)"/>
    <s v="Gdl 3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5-04-10T00:00:00"/>
    <d v="2026-06-15T00:00:00"/>
    <n v="1.1808219178082191"/>
  </r>
  <r>
    <n v="1191909"/>
    <s v="Pedro Luis Muro Ruiz"/>
    <s v="Regular"/>
    <s v="Indirect"/>
    <s v="Program Administrator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4-07-08T00:00:00"/>
    <d v="2026-06-15T00:00:00"/>
    <n v="1.9369863013698629"/>
  </r>
  <r>
    <n v="1192503"/>
    <s v="Eva Paulina Bustos Morales"/>
    <s v="Regular"/>
    <s v="Indirect"/>
    <s v="Customer Service Representative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4-07-15T00:00:00"/>
    <d v="2026-06-15T00:00:00"/>
    <n v="1.9178082191780821"/>
  </r>
  <r>
    <n v="1203357"/>
    <s v="Jorge Contreras Gonzalez"/>
    <s v="Regular"/>
    <s v="Indirect"/>
    <s v="Customer Service Representative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5-03-10T00:00:00"/>
    <d v="2026-06-15T00:00:00"/>
    <n v="1.2657534246575342"/>
  </r>
  <r>
    <n v="852736"/>
    <s v="Jassen Bigvai Hernandez Jacinto"/>
    <s v="Regular"/>
    <s v="Indirect"/>
    <s v="Program Manager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26-05-18T00:00:00"/>
    <d v="2026-06-15T00:00:00"/>
    <n v="7.6712328767123292E-2"/>
  </r>
  <r>
    <n v="894446"/>
    <s v="Pedro Rafael Ochoa Chavez"/>
    <s v="Regular"/>
    <s v="Indirect"/>
    <s v="Program Manager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14-08-18T00:00:00"/>
    <d v="2026-06-15T00:00:00"/>
    <n v="11.832876712328767"/>
  </r>
  <r>
    <n v="992810"/>
    <s v="Mariana Torillo Monroy"/>
    <s v="Regular"/>
    <s v="Indirect"/>
    <s v="Customer Service Representative "/>
    <m/>
    <x v="4"/>
    <s v="IDL"/>
    <s v="Yemaida Garcia Ocampo (35279)"/>
    <s v="Gonzalo Rubio Ceja (33900)"/>
    <s v="Ricardo Lozano Malacara (34385)"/>
    <s v="Mix"/>
    <s v="Bldg 29"/>
    <n v="5300"/>
    <s v="MFG North Guad, MEX 300-Flextronics Manufacturing Mex, S.A. de C.V.-Philo Cloud-CLOUD SERVER &amp; S-PCBA_GUAD_300-Philo VLP [Customer Dimensions]"/>
    <s v="MX-GDL-Guad North CEC-Support [Primary Function]"/>
    <d v="2017-01-02T00:00:00"/>
    <d v="2026-06-15T00:00:00"/>
    <n v="9.4547945205479458"/>
  </r>
  <r>
    <n v="4055747"/>
    <s v="Alexis Ernesto De la Rosa Veliz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2-04-07T00:00:00"/>
    <d v="2026-06-15T00:00:00"/>
    <n v="4.1917808219178081"/>
  </r>
  <r>
    <n v="4088994"/>
    <s v="Maria Soledad Teresa Figueroa Arteaga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099960"/>
    <s v="America Rubi Soria Ibañez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2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4121169"/>
    <s v="Hazel Jonatan Mendez Alvarado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6-02-19T00:00:00"/>
    <d v="2026-06-15T00:00:00"/>
    <n v="0.31780821917808222"/>
  </r>
  <r>
    <n v="42612"/>
    <s v="Juan Gabriel Maldonado Reynaga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24-04-29T00:00:00"/>
    <d v="2026-06-15T00:00:00"/>
    <n v="2.128767123287671"/>
  </r>
  <r>
    <n v="937967"/>
    <s v="Jose Loza Arellano"/>
    <s v="Regular"/>
    <s v="Direct"/>
    <s v="Quality Auditor "/>
    <m/>
    <x v="3"/>
    <s v="RMAs"/>
    <s v="Yesenia Robles Robles (4034092)"/>
    <s v="Luis Rafael Camacho Torres (851676)"/>
    <s v="Omar Lozano Rodriguez (1070969)"/>
    <s v="Gdl 1"/>
    <s v="Bldg 29"/>
    <n v="1400"/>
    <s v="MFG North Guad, MEX 300-Flextronics Manufacturing Mex, S.A. de C.V.-Philo Cloud-CLOUD SERVER &amp; S-PCBA_GUAD_300-Philo VLP [Customer Dimensions]"/>
    <s v="MX-GDL-Guad North CEC-Ops-B30-Philo [Primary Function]"/>
    <d v="2016-08-08T00:00:00"/>
    <d v="2026-06-15T00:00:00"/>
    <n v="9.8575342465753426"/>
  </r>
  <r>
    <n v="4073851"/>
    <s v="Roberto Elias Robles Ochoa"/>
    <s v="Regular"/>
    <s v="Direct"/>
    <s v="Material Expediter"/>
    <m/>
    <x v="0"/>
    <s v="Almacén"/>
    <s v="Bryan Alejandro Beatris Nuñez (3003401)"/>
    <s v="Manuel Vazquez Maldonado (1146319)"/>
    <s v="Juan Jose Rivera Mendez (21344)"/>
    <s v="Gdl 2"/>
    <s v="Bldg 29"/>
    <n v="1500"/>
    <s v="MFG North Guad, MEX 300-Flextronics Manufacturing Mex, S.A. de C.V.-Philo Cloud-CLOUD SERVER &amp; S-PCBA_GUAD_300-Philo VLP [Customer Dimensions]"/>
    <s v="MX-GDL-Guad North CEC-Ops-B30-Philo [Primary Function]"/>
    <d v="2022-11-24T00:00:00"/>
    <d v="2026-06-15T00:00:00"/>
    <n v="3.558904109589041"/>
  </r>
  <r>
    <n v="1133192"/>
    <s v="Karen Alexia Jimenez Barreras"/>
    <s v="Regular"/>
    <s v="Indirect"/>
    <s v="Recruiter"/>
    <m/>
    <x v="4"/>
    <s v="IDL"/>
    <s v="Maria Eugenia Hernandez Mora (1012377)"/>
    <s v="Ana Cristina Haro Ramirez (38676)"/>
    <s v="Michelle Newton (1188655)"/>
    <s v="Mix"/>
    <s v="Bldg X"/>
    <n v="7300"/>
    <s v="MFG North Guad, MEX 300-Flextronics Manufacturing Mex, S.A. de C.V.-Philo Cloud-CLOUD SERVER &amp; S-PCBA_GUAD_300-Philo VLP [Customer Dimensions]"/>
    <s v="MX-GDL-Guad North CEC-Support [Primary Function]"/>
    <d v="2021-07-12T00:00:00"/>
    <d v="2026-06-15T00:00:00"/>
    <n v="4.8904109589041092"/>
  </r>
  <r>
    <n v="1165976"/>
    <s v="Karen Rubi Lopez Diaz"/>
    <s v="Regular"/>
    <s v="Indirect"/>
    <s v="Recruiter"/>
    <m/>
    <x v="4"/>
    <s v="IDL"/>
    <s v="Maria Eugenia Hernandez Mora (1012377)"/>
    <s v="Ana Cristina Haro Ramirez (38676)"/>
    <s v="Michelle Newton (1188655)"/>
    <s v="Mix"/>
    <s v="Bldg X"/>
    <n v="7300"/>
    <s v="MFG North Guad, MEX 300-Flextronics Manufacturing Mex, S.A. de C.V.-Philo Cloud-CLOUD SERVER &amp; S-PCBA_GUAD_300-Philo VLP [Customer Dimensions]"/>
    <s v="MX-GDL-Guad North CEC-Support [Primary Function]"/>
    <d v="2026-04-13T00:00:00"/>
    <d v="2026-06-15T00:00:00"/>
    <n v="0.13424657534246576"/>
  </r>
  <r>
    <n v="31870"/>
    <s v="Omar Garcia Lopez"/>
    <s v="Regular"/>
    <s v="Indirect"/>
    <s v="Sr Director, Operations Engineering"/>
    <m/>
    <x v="4"/>
    <s v="AME"/>
    <s v="Shaneel Deo (1210081)"/>
    <s v="Michael B Brooks (500950)"/>
    <s v="Rob Campbell (913304)"/>
    <s v="Mix"/>
    <s v="Bldg X"/>
    <n v="6900"/>
    <s v="MFG North Guad, MEX 300-Flextronics Manufacturing Mex, S.A. de C.V.-Philo Cloud-CLOUD SERVER &amp; S-PCBA_GUAD_300-Philo VLP [Customer Dimensions]"/>
    <s v="MX-GDL-Guad North CEC-Support [Primary Function]"/>
    <d v="2005-09-12T00:00:00"/>
    <d v="2026-06-15T00:00:00"/>
    <n v="20.731506849315068"/>
  </r>
  <r>
    <n v="1171162"/>
    <s v="Armando Yair González Aréchiga"/>
    <s v="Regular"/>
    <s v="Indirect"/>
    <s v="Technical Program Manager"/>
    <m/>
    <x v="4"/>
    <s v="AME"/>
    <s v="Shaneel Deo (1210081)"/>
    <s v="Michael B Brooks (500950)"/>
    <s v="Rob Campbell (913304)"/>
    <s v="Mix"/>
    <s v="Bldg X"/>
    <n v="6900"/>
    <s v="MFG North Guad, MEX 300-Flextronics Manufacturing Mex, S.A. de C.V.-Philo Cloud-CLOUD SERVER &amp; S-PCBA_GUAD_300-Philo VLP [Customer Dimensions]"/>
    <s v="MX-GDL-Guad North CEC-Support [Primary Function]"/>
    <d v="2022-12-12T00:00:00"/>
    <d v="2026-06-15T00:00:00"/>
    <n v="3.4712328767123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0B9A9-ED07-4A99-928B-5E5D09DC32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1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dataField="1" showAll="0">
      <items count="15">
        <item x="9"/>
        <item h="1" x="8"/>
        <item x="12"/>
        <item x="7"/>
        <item h="1" x="4"/>
        <item h="1" x="13"/>
        <item x="5"/>
        <item x="1"/>
        <item x="2"/>
        <item x="3"/>
        <item x="6"/>
        <item x="0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2" showAll="0"/>
  </pivotFields>
  <rowFields count="1">
    <field x="6"/>
  </rowFields>
  <rowItems count="10">
    <i>
      <x/>
    </i>
    <i>
      <x v="2"/>
    </i>
    <i>
      <x v="3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lasificación  Industrial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B38F-8320-42CE-AFB4-8E32D9E380E1}">
  <dimension ref="B1:XEI16"/>
  <sheetViews>
    <sheetView showGridLines="0" zoomScaleNormal="100" workbookViewId="0">
      <selection activeCell="G19" sqref="G19"/>
    </sheetView>
  </sheetViews>
  <sheetFormatPr defaultRowHeight="15" x14ac:dyDescent="0.25"/>
  <cols>
    <col min="1" max="1" width="3.28515625" customWidth="1"/>
    <col min="2" max="2" width="13.5703125" hidden="1" customWidth="1"/>
    <col min="3" max="3" width="28" hidden="1" customWidth="1"/>
    <col min="4" max="4" width="5.140625" customWidth="1"/>
    <col min="5" max="5" width="13.28515625" bestFit="1" customWidth="1"/>
    <col min="6" max="7" width="13.5703125" customWidth="1"/>
    <col min="8" max="8" width="10.140625" hidden="1" customWidth="1"/>
    <col min="9" max="9" width="13.5703125" customWidth="1"/>
    <col min="16361" max="16361" width="22.42578125" hidden="1" customWidth="1"/>
    <col min="16362" max="16362" width="6.85546875" hidden="1" customWidth="1"/>
  </cols>
  <sheetData>
    <row r="1" spans="2:9 16361:16363" ht="8.4499999999999993" customHeight="1" x14ac:dyDescent="0.25"/>
    <row r="2" spans="2:9 16361:16363" ht="15.75" thickBot="1" x14ac:dyDescent="0.3">
      <c r="F2" s="22" t="s">
        <v>1471</v>
      </c>
      <c r="G2" s="21"/>
    </row>
    <row r="3" spans="2:9 16361:16363" ht="16.5" thickBot="1" x14ac:dyDescent="0.35">
      <c r="B3" s="46" t="s">
        <v>1472</v>
      </c>
      <c r="C3" t="s">
        <v>1474</v>
      </c>
      <c r="F3" s="15" t="s">
        <v>1343</v>
      </c>
      <c r="G3" s="47" t="s">
        <v>1342</v>
      </c>
      <c r="H3" s="49" t="s">
        <v>1581</v>
      </c>
      <c r="I3" s="48" t="s">
        <v>976</v>
      </c>
      <c r="XEG3" s="34"/>
      <c r="XEH3" s="41" t="s">
        <v>1344</v>
      </c>
      <c r="XEI3" s="44"/>
    </row>
    <row r="4" spans="2:9 16361:16363" ht="15.75" x14ac:dyDescent="0.3">
      <c r="B4" s="6" t="s">
        <v>973</v>
      </c>
      <c r="C4" s="60">
        <v>12</v>
      </c>
      <c r="E4" s="31" t="s">
        <v>968</v>
      </c>
      <c r="F4" s="24">
        <v>777</v>
      </c>
      <c r="G4" s="13">
        <f>VLOOKUP(E4,B:C,2,0)</f>
        <v>711</v>
      </c>
      <c r="H4" s="52"/>
      <c r="I4" s="50">
        <f>(G4-F4)+H4</f>
        <v>-66</v>
      </c>
      <c r="XEG4" s="37" t="s">
        <v>1345</v>
      </c>
      <c r="XEH4" s="38">
        <v>1088</v>
      </c>
    </row>
    <row r="5" spans="2:9 16361:16363" ht="15.75" x14ac:dyDescent="0.3">
      <c r="B5" s="6" t="s">
        <v>974</v>
      </c>
      <c r="C5" s="60">
        <v>1</v>
      </c>
      <c r="E5" s="32" t="s">
        <v>16</v>
      </c>
      <c r="F5" s="25">
        <v>159</v>
      </c>
      <c r="G5" s="11">
        <f t="shared" ref="G5:G12" si="0">VLOOKUP(E5,B:C,2,0)</f>
        <v>135</v>
      </c>
      <c r="H5" s="53"/>
      <c r="I5" s="50">
        <f>(G5-F5)+H5</f>
        <v>-24</v>
      </c>
      <c r="XEG5" s="37" t="s">
        <v>1416</v>
      </c>
      <c r="XEH5" s="38">
        <v>1060</v>
      </c>
    </row>
    <row r="6" spans="2:9 16361:16363" ht="15.75" x14ac:dyDescent="0.3">
      <c r="B6" s="6" t="s">
        <v>969</v>
      </c>
      <c r="C6" s="60">
        <v>41</v>
      </c>
      <c r="E6" s="32" t="s">
        <v>972</v>
      </c>
      <c r="F6" s="25">
        <v>36</v>
      </c>
      <c r="G6" s="11">
        <f t="shared" si="0"/>
        <v>23</v>
      </c>
      <c r="H6" s="53"/>
      <c r="I6" s="50">
        <f>(G6-F6)+H6</f>
        <v>-13</v>
      </c>
      <c r="XEG6" s="39" t="s">
        <v>1349</v>
      </c>
      <c r="XEH6" s="40">
        <f>XEH5-XEH4</f>
        <v>-28</v>
      </c>
    </row>
    <row r="7" spans="2:9 16361:16363" ht="15.75" x14ac:dyDescent="0.3">
      <c r="B7" s="6" t="s">
        <v>972</v>
      </c>
      <c r="C7" s="60">
        <v>23</v>
      </c>
      <c r="E7" s="32" t="s">
        <v>969</v>
      </c>
      <c r="F7" s="25">
        <v>52</v>
      </c>
      <c r="G7" s="11">
        <f t="shared" si="0"/>
        <v>41</v>
      </c>
      <c r="H7" s="53"/>
      <c r="I7" s="50">
        <f>(G7-F7)+H7</f>
        <v>-11</v>
      </c>
      <c r="XEG7" s="36" t="s">
        <v>1346</v>
      </c>
      <c r="XEH7" s="35">
        <v>4</v>
      </c>
    </row>
    <row r="8" spans="2:9 16361:16363" ht="15.75" x14ac:dyDescent="0.3">
      <c r="B8" s="6" t="s">
        <v>968</v>
      </c>
      <c r="C8" s="60">
        <v>711</v>
      </c>
      <c r="E8" s="32" t="s">
        <v>971</v>
      </c>
      <c r="F8" s="25">
        <v>133</v>
      </c>
      <c r="G8" s="11">
        <f t="shared" si="0"/>
        <v>147</v>
      </c>
      <c r="H8" s="53"/>
      <c r="I8" s="50">
        <f>(G8-F8)+H8</f>
        <v>14</v>
      </c>
      <c r="XEG8" s="36" t="s">
        <v>1347</v>
      </c>
      <c r="XEH8" s="35">
        <v>3</v>
      </c>
    </row>
    <row r="9" spans="2:9 16361:16363" ht="15.75" x14ac:dyDescent="0.3">
      <c r="B9" s="6" t="s">
        <v>971</v>
      </c>
      <c r="C9" s="60">
        <v>147</v>
      </c>
      <c r="E9" s="32" t="s">
        <v>974</v>
      </c>
      <c r="F9" s="25">
        <v>3</v>
      </c>
      <c r="G9" s="11">
        <f t="shared" si="0"/>
        <v>1</v>
      </c>
      <c r="H9" s="53"/>
      <c r="I9" s="50">
        <f>(G9-F9)+H9</f>
        <v>-2</v>
      </c>
      <c r="XEG9" s="36" t="s">
        <v>1348</v>
      </c>
      <c r="XEH9" s="35">
        <v>59</v>
      </c>
    </row>
    <row r="10" spans="2:9 16361:16363" ht="15.75" x14ac:dyDescent="0.3">
      <c r="B10" s="6" t="s">
        <v>970</v>
      </c>
      <c r="C10" s="60">
        <v>100</v>
      </c>
      <c r="E10" s="32" t="s">
        <v>970</v>
      </c>
      <c r="F10" s="25">
        <v>92</v>
      </c>
      <c r="G10" s="11">
        <f t="shared" si="0"/>
        <v>100</v>
      </c>
      <c r="H10" s="53"/>
      <c r="I10" s="50">
        <f>(G10-F10)+H10</f>
        <v>8</v>
      </c>
      <c r="XEG10" s="36" t="s">
        <v>1351</v>
      </c>
      <c r="XEH10" s="35">
        <v>2</v>
      </c>
    </row>
    <row r="11" spans="2:9 16361:16363" ht="15.75" x14ac:dyDescent="0.3">
      <c r="B11" s="6" t="s">
        <v>16</v>
      </c>
      <c r="C11" s="60">
        <v>135</v>
      </c>
      <c r="E11" s="32" t="s">
        <v>967</v>
      </c>
      <c r="F11" s="26">
        <v>101</v>
      </c>
      <c r="G11" s="12">
        <f t="shared" si="0"/>
        <v>110</v>
      </c>
      <c r="H11" s="54"/>
      <c r="I11" s="50">
        <f>(G11-F11)+H11</f>
        <v>9</v>
      </c>
      <c r="XEG11" s="42" t="s">
        <v>1350</v>
      </c>
      <c r="XEH11" s="43">
        <f>SUM(XEH7:XEH10)</f>
        <v>68</v>
      </c>
    </row>
    <row r="12" spans="2:9 16361:16363" ht="15.75" x14ac:dyDescent="0.3">
      <c r="B12" s="6" t="s">
        <v>967</v>
      </c>
      <c r="C12" s="60">
        <v>110</v>
      </c>
      <c r="E12" s="32" t="s">
        <v>973</v>
      </c>
      <c r="F12" s="26">
        <v>15</v>
      </c>
      <c r="G12" s="12">
        <f t="shared" si="0"/>
        <v>12</v>
      </c>
      <c r="H12" s="54"/>
      <c r="I12" s="50">
        <f>(G12-F12)+H12</f>
        <v>-3</v>
      </c>
    </row>
    <row r="13" spans="2:9 16361:16363" ht="16.5" thickBot="1" x14ac:dyDescent="0.35">
      <c r="B13" s="6" t="s">
        <v>1473</v>
      </c>
      <c r="C13" s="60">
        <v>1280</v>
      </c>
      <c r="E13" s="33" t="s">
        <v>1045</v>
      </c>
      <c r="F13" s="29">
        <v>20</v>
      </c>
      <c r="G13" s="30">
        <v>20</v>
      </c>
      <c r="H13" s="55"/>
      <c r="I13" s="51">
        <f>(G13-F13)+H13</f>
        <v>0</v>
      </c>
    </row>
    <row r="14" spans="2:9 16361:16363" ht="16.5" thickBot="1" x14ac:dyDescent="0.35">
      <c r="F14" s="14">
        <f>SUM(F4:F13)</f>
        <v>1388</v>
      </c>
      <c r="G14" s="27">
        <f>SUM(G4:G13)</f>
        <v>1300</v>
      </c>
      <c r="H14" s="56">
        <f>SUM(H4:H13)</f>
        <v>0</v>
      </c>
      <c r="I14" s="28">
        <f>SUM(I4:I13)</f>
        <v>-88</v>
      </c>
    </row>
    <row r="16" spans="2:9 16361:16363" ht="10.5" customHeight="1" x14ac:dyDescent="0.25"/>
  </sheetData>
  <conditionalFormatting sqref="I4:I14">
    <cfRule type="cellIs" dxfId="133" priority="18" operator="lessThanOrEqual">
      <formula>-1</formula>
    </cfRule>
  </conditionalFormatting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08159-AB97-4E58-986F-518E09D77915}">
  <dimension ref="A1:S1460"/>
  <sheetViews>
    <sheetView showGridLines="0" tabSelected="1" zoomScale="77" zoomScaleNormal="100" workbookViewId="0">
      <selection activeCell="G1461" sqref="G1461"/>
    </sheetView>
  </sheetViews>
  <sheetFormatPr defaultColWidth="10.7109375" defaultRowHeight="15" x14ac:dyDescent="0.25"/>
  <cols>
    <col min="1" max="1" width="14.7109375" customWidth="1"/>
    <col min="2" max="2" width="29.140625" customWidth="1"/>
    <col min="3" max="3" width="7.85546875" customWidth="1"/>
    <col min="4" max="4" width="9.42578125" style="6" customWidth="1"/>
    <col min="5" max="5" width="13.85546875" customWidth="1"/>
    <col min="6" max="6" width="15.28515625" style="58" customWidth="1"/>
    <col min="7" max="7" width="14.5703125" style="6" customWidth="1"/>
    <col min="8" max="8" width="12.5703125" style="6" customWidth="1"/>
    <col min="9" max="9" width="31.85546875" customWidth="1"/>
    <col min="10" max="10" width="18.85546875" customWidth="1"/>
    <col min="11" max="11" width="21.85546875" customWidth="1"/>
    <col min="12" max="12" width="6.28515625" customWidth="1"/>
    <col min="13" max="13" width="6.7109375" customWidth="1"/>
    <col min="14" max="14" width="5.7109375" style="1" customWidth="1"/>
    <col min="15" max="15" width="5.85546875" customWidth="1"/>
    <col min="16" max="16" width="8.140625" customWidth="1"/>
    <col min="17" max="17" width="11.7109375" style="3" customWidth="1"/>
    <col min="18" max="18" width="11.140625" customWidth="1"/>
    <col min="19" max="19" width="6.85546875" style="1" customWidth="1"/>
  </cols>
  <sheetData>
    <row r="1" spans="1:19" ht="15.75" x14ac:dyDescent="0.25">
      <c r="A1" s="9">
        <f>SUBTOTAL(3,A3:A1048576)</f>
        <v>1458</v>
      </c>
      <c r="F1" s="10"/>
      <c r="G1" s="45"/>
    </row>
    <row r="2" spans="1:19" s="23" customFormat="1" ht="24" x14ac:dyDescent="0.25">
      <c r="A2" s="16" t="s">
        <v>0</v>
      </c>
      <c r="B2" s="17" t="s">
        <v>1</v>
      </c>
      <c r="C2" s="17" t="s">
        <v>2</v>
      </c>
      <c r="D2" s="17" t="s">
        <v>3</v>
      </c>
      <c r="E2" s="18" t="s">
        <v>4</v>
      </c>
      <c r="F2" s="19" t="s">
        <v>14</v>
      </c>
      <c r="G2" s="17" t="s">
        <v>1838</v>
      </c>
      <c r="H2" s="17" t="s">
        <v>18</v>
      </c>
      <c r="I2" s="17" t="s">
        <v>5</v>
      </c>
      <c r="J2" s="17" t="s">
        <v>6</v>
      </c>
      <c r="K2" s="17" t="s">
        <v>7</v>
      </c>
      <c r="L2" s="20" t="s">
        <v>9</v>
      </c>
      <c r="M2" s="20" t="s">
        <v>8</v>
      </c>
      <c r="N2" s="20" t="s">
        <v>10</v>
      </c>
      <c r="O2" s="20" t="s">
        <v>11</v>
      </c>
      <c r="P2" s="20" t="s">
        <v>15</v>
      </c>
      <c r="Q2" s="20" t="s">
        <v>12</v>
      </c>
      <c r="R2" s="20" t="s">
        <v>13</v>
      </c>
      <c r="S2" s="20" t="s">
        <v>19</v>
      </c>
    </row>
    <row r="3" spans="1:19" x14ac:dyDescent="0.25">
      <c r="A3">
        <v>1003203</v>
      </c>
      <c r="B3" t="s">
        <v>106</v>
      </c>
      <c r="C3" t="s">
        <v>17</v>
      </c>
      <c r="D3" s="6" t="s">
        <v>22</v>
      </c>
      <c r="E3" t="s">
        <v>88</v>
      </c>
      <c r="G3" s="6" t="s">
        <v>967</v>
      </c>
      <c r="H3" s="59" t="s">
        <v>1023</v>
      </c>
      <c r="I3" s="58" t="s">
        <v>825</v>
      </c>
      <c r="J3" t="s">
        <v>826</v>
      </c>
      <c r="K3" t="s">
        <v>827</v>
      </c>
      <c r="L3" t="s">
        <v>1038</v>
      </c>
      <c r="M3" t="s">
        <v>1163</v>
      </c>
      <c r="N3" s="57">
        <v>1200</v>
      </c>
      <c r="O3" t="s">
        <v>100</v>
      </c>
      <c r="P3" t="s">
        <v>93</v>
      </c>
      <c r="Q3" s="3">
        <v>45666</v>
      </c>
      <c r="R3" s="10">
        <f t="shared" ref="R3:R66" ca="1" si="0">TODAY()</f>
        <v>46229</v>
      </c>
      <c r="S3" s="7">
        <f t="shared" ref="S3:S66" ca="1" si="1">(R3-Q3)/365</f>
        <v>1.5424657534246575</v>
      </c>
    </row>
    <row r="4" spans="1:19" x14ac:dyDescent="0.25">
      <c r="A4">
        <v>4105793</v>
      </c>
      <c r="B4" t="s">
        <v>653</v>
      </c>
      <c r="C4" t="s">
        <v>17</v>
      </c>
      <c r="D4" s="6" t="s">
        <v>22</v>
      </c>
      <c r="E4" t="s">
        <v>68</v>
      </c>
      <c r="G4" s="6" t="s">
        <v>967</v>
      </c>
      <c r="H4" s="59" t="s">
        <v>1023</v>
      </c>
      <c r="I4" s="58" t="s">
        <v>825</v>
      </c>
      <c r="J4" t="s">
        <v>826</v>
      </c>
      <c r="K4" t="s">
        <v>827</v>
      </c>
      <c r="L4" t="s">
        <v>1038</v>
      </c>
      <c r="M4" t="s">
        <v>1163</v>
      </c>
      <c r="N4" s="57">
        <v>1500</v>
      </c>
      <c r="O4" t="s">
        <v>100</v>
      </c>
      <c r="P4" t="s">
        <v>93</v>
      </c>
      <c r="Q4" s="3">
        <v>45565</v>
      </c>
      <c r="R4" s="10">
        <f t="shared" ca="1" si="0"/>
        <v>46229</v>
      </c>
      <c r="S4" s="7">
        <f t="shared" ca="1" si="1"/>
        <v>1.8191780821917809</v>
      </c>
    </row>
    <row r="5" spans="1:19" x14ac:dyDescent="0.25">
      <c r="A5">
        <v>922501</v>
      </c>
      <c r="B5" t="s">
        <v>764</v>
      </c>
      <c r="C5" t="s">
        <v>17</v>
      </c>
      <c r="D5" s="6" t="s">
        <v>22</v>
      </c>
      <c r="E5" t="s">
        <v>53</v>
      </c>
      <c r="G5" s="6" t="s">
        <v>967</v>
      </c>
      <c r="H5" s="59" t="s">
        <v>1023</v>
      </c>
      <c r="I5" s="58" t="s">
        <v>825</v>
      </c>
      <c r="J5" t="s">
        <v>826</v>
      </c>
      <c r="K5" t="s">
        <v>827</v>
      </c>
      <c r="L5" t="s">
        <v>1038</v>
      </c>
      <c r="M5" t="s">
        <v>1163</v>
      </c>
      <c r="N5" s="57">
        <v>1200</v>
      </c>
      <c r="O5" t="s">
        <v>100</v>
      </c>
      <c r="P5" t="s">
        <v>93</v>
      </c>
      <c r="Q5" s="3">
        <v>45442</v>
      </c>
      <c r="R5" s="10">
        <f t="shared" ca="1" si="0"/>
        <v>46229</v>
      </c>
      <c r="S5" s="7">
        <f t="shared" ca="1" si="1"/>
        <v>2.1561643835616437</v>
      </c>
    </row>
    <row r="6" spans="1:19" x14ac:dyDescent="0.25">
      <c r="A6">
        <v>1001749</v>
      </c>
      <c r="B6" t="s">
        <v>1582</v>
      </c>
      <c r="C6" t="s">
        <v>1044</v>
      </c>
      <c r="D6" s="6" t="s">
        <v>22</v>
      </c>
      <c r="E6" t="s">
        <v>21</v>
      </c>
      <c r="G6" s="6" t="s">
        <v>968</v>
      </c>
      <c r="H6" s="59" t="s">
        <v>1019</v>
      </c>
      <c r="I6" s="58" t="s">
        <v>897</v>
      </c>
      <c r="J6" t="s">
        <v>829</v>
      </c>
      <c r="K6" t="s">
        <v>830</v>
      </c>
      <c r="L6" t="s">
        <v>1038</v>
      </c>
      <c r="M6" t="s">
        <v>1163</v>
      </c>
      <c r="N6" s="57">
        <v>1200</v>
      </c>
      <c r="O6" t="s">
        <v>100</v>
      </c>
      <c r="P6" t="s">
        <v>93</v>
      </c>
      <c r="Q6" s="3">
        <v>46170</v>
      </c>
      <c r="R6" s="10">
        <f t="shared" ca="1" si="0"/>
        <v>46229</v>
      </c>
      <c r="S6" s="7">
        <f t="shared" ca="1" si="1"/>
        <v>0.16164383561643836</v>
      </c>
    </row>
    <row r="7" spans="1:19" x14ac:dyDescent="0.25">
      <c r="A7">
        <v>29625</v>
      </c>
      <c r="B7" t="s">
        <v>1199</v>
      </c>
      <c r="C7" t="s">
        <v>1044</v>
      </c>
      <c r="D7" s="6" t="s">
        <v>22</v>
      </c>
      <c r="E7" t="s">
        <v>21</v>
      </c>
      <c r="G7" s="6" t="s">
        <v>968</v>
      </c>
      <c r="H7" s="59" t="s">
        <v>1019</v>
      </c>
      <c r="I7" s="58" t="s">
        <v>897</v>
      </c>
      <c r="J7" t="s">
        <v>829</v>
      </c>
      <c r="K7" t="s">
        <v>830</v>
      </c>
      <c r="L7" t="s">
        <v>1038</v>
      </c>
      <c r="M7" t="s">
        <v>1163</v>
      </c>
      <c r="N7" s="57">
        <v>1200</v>
      </c>
      <c r="O7" t="s">
        <v>100</v>
      </c>
      <c r="P7" t="s">
        <v>93</v>
      </c>
      <c r="Q7" s="3">
        <v>46111</v>
      </c>
      <c r="R7" s="10">
        <f t="shared" ca="1" si="0"/>
        <v>46229</v>
      </c>
      <c r="S7" s="7">
        <f t="shared" ca="1" si="1"/>
        <v>0.32328767123287672</v>
      </c>
    </row>
    <row r="8" spans="1:19" x14ac:dyDescent="0.25">
      <c r="A8">
        <v>4003495</v>
      </c>
      <c r="B8" t="s">
        <v>1612</v>
      </c>
      <c r="C8" t="s">
        <v>1044</v>
      </c>
      <c r="D8" s="6" t="s">
        <v>22</v>
      </c>
      <c r="E8" t="s">
        <v>21</v>
      </c>
      <c r="G8" s="6" t="s">
        <v>968</v>
      </c>
      <c r="H8" s="59" t="s">
        <v>1019</v>
      </c>
      <c r="I8" s="58" t="s">
        <v>897</v>
      </c>
      <c r="J8" t="s">
        <v>829</v>
      </c>
      <c r="K8" t="s">
        <v>830</v>
      </c>
      <c r="L8" t="s">
        <v>1038</v>
      </c>
      <c r="M8" t="s">
        <v>1163</v>
      </c>
      <c r="N8" s="57">
        <v>1200</v>
      </c>
      <c r="O8" t="s">
        <v>100</v>
      </c>
      <c r="P8" t="s">
        <v>93</v>
      </c>
      <c r="Q8" s="3">
        <v>46170</v>
      </c>
      <c r="R8" s="10">
        <f t="shared" ca="1" si="0"/>
        <v>46229</v>
      </c>
      <c r="S8" s="7">
        <f t="shared" ca="1" si="1"/>
        <v>0.16164383561643836</v>
      </c>
    </row>
    <row r="9" spans="1:19" x14ac:dyDescent="0.25">
      <c r="A9">
        <v>4023357</v>
      </c>
      <c r="B9" t="s">
        <v>439</v>
      </c>
      <c r="C9" t="s">
        <v>17</v>
      </c>
      <c r="D9" s="6" t="s">
        <v>22</v>
      </c>
      <c r="E9" t="s">
        <v>87</v>
      </c>
      <c r="G9" s="6" t="s">
        <v>968</v>
      </c>
      <c r="H9" s="59" t="s">
        <v>1019</v>
      </c>
      <c r="I9" s="58" t="s">
        <v>897</v>
      </c>
      <c r="J9" t="s">
        <v>829</v>
      </c>
      <c r="K9" t="s">
        <v>830</v>
      </c>
      <c r="L9" t="s">
        <v>1038</v>
      </c>
      <c r="M9" t="s">
        <v>1163</v>
      </c>
      <c r="N9" s="57">
        <v>1200</v>
      </c>
      <c r="O9" t="s">
        <v>100</v>
      </c>
      <c r="P9" t="s">
        <v>93</v>
      </c>
      <c r="Q9" s="3">
        <v>44070</v>
      </c>
      <c r="R9" s="10">
        <f t="shared" ca="1" si="0"/>
        <v>46229</v>
      </c>
      <c r="S9" s="7">
        <f t="shared" ca="1" si="1"/>
        <v>5.9150684931506845</v>
      </c>
    </row>
    <row r="10" spans="1:19" x14ac:dyDescent="0.25">
      <c r="A10">
        <v>4067204</v>
      </c>
      <c r="B10" t="s">
        <v>1630</v>
      </c>
      <c r="C10" t="s">
        <v>1044</v>
      </c>
      <c r="D10" s="6" t="s">
        <v>22</v>
      </c>
      <c r="E10" t="s">
        <v>21</v>
      </c>
      <c r="G10" s="6" t="s">
        <v>968</v>
      </c>
      <c r="H10" s="59" t="s">
        <v>1019</v>
      </c>
      <c r="I10" s="58" t="s">
        <v>897</v>
      </c>
      <c r="J10" t="s">
        <v>829</v>
      </c>
      <c r="K10" t="s">
        <v>830</v>
      </c>
      <c r="L10" t="s">
        <v>1038</v>
      </c>
      <c r="M10" t="s">
        <v>1163</v>
      </c>
      <c r="N10" s="57">
        <v>1200</v>
      </c>
      <c r="O10" t="s">
        <v>100</v>
      </c>
      <c r="P10" t="s">
        <v>93</v>
      </c>
      <c r="Q10" s="3">
        <v>46174</v>
      </c>
      <c r="R10" s="10">
        <f t="shared" ca="1" si="0"/>
        <v>46229</v>
      </c>
      <c r="S10" s="7">
        <f t="shared" ca="1" si="1"/>
        <v>0.15068493150684931</v>
      </c>
    </row>
    <row r="11" spans="1:19" x14ac:dyDescent="0.25">
      <c r="A11">
        <v>4083948</v>
      </c>
      <c r="B11" t="s">
        <v>1635</v>
      </c>
      <c r="C11" t="s">
        <v>1044</v>
      </c>
      <c r="D11" s="6" t="s">
        <v>22</v>
      </c>
      <c r="E11" t="s">
        <v>21</v>
      </c>
      <c r="G11" s="6" t="s">
        <v>968</v>
      </c>
      <c r="H11" s="59" t="s">
        <v>1019</v>
      </c>
      <c r="I11" s="58" t="s">
        <v>897</v>
      </c>
      <c r="J11" t="s">
        <v>829</v>
      </c>
      <c r="K11" t="s">
        <v>830</v>
      </c>
      <c r="L11" t="s">
        <v>1038</v>
      </c>
      <c r="M11" t="s">
        <v>1163</v>
      </c>
      <c r="N11" s="57">
        <v>1200</v>
      </c>
      <c r="O11" t="s">
        <v>100</v>
      </c>
      <c r="P11" t="s">
        <v>93</v>
      </c>
      <c r="Q11" s="3">
        <v>46174</v>
      </c>
      <c r="R11" s="10">
        <f t="shared" ca="1" si="0"/>
        <v>46229</v>
      </c>
      <c r="S11" s="7">
        <f t="shared" ca="1" si="1"/>
        <v>0.15068493150684931</v>
      </c>
    </row>
    <row r="12" spans="1:19" x14ac:dyDescent="0.25">
      <c r="A12">
        <v>4100076</v>
      </c>
      <c r="B12" t="s">
        <v>604</v>
      </c>
      <c r="C12" t="s">
        <v>17</v>
      </c>
      <c r="D12" s="6" t="s">
        <v>22</v>
      </c>
      <c r="E12" t="s">
        <v>21</v>
      </c>
      <c r="G12" s="6" t="s">
        <v>968</v>
      </c>
      <c r="H12" s="59" t="s">
        <v>1019</v>
      </c>
      <c r="I12" s="58" t="s">
        <v>897</v>
      </c>
      <c r="J12" t="s">
        <v>829</v>
      </c>
      <c r="K12" t="s">
        <v>830</v>
      </c>
      <c r="L12" t="s">
        <v>1038</v>
      </c>
      <c r="M12" t="s">
        <v>1163</v>
      </c>
      <c r="N12" s="57">
        <v>1200</v>
      </c>
      <c r="O12" t="s">
        <v>100</v>
      </c>
      <c r="P12" t="s">
        <v>93</v>
      </c>
      <c r="Q12" s="3">
        <v>45418</v>
      </c>
      <c r="R12" s="10">
        <f t="shared" ca="1" si="0"/>
        <v>46229</v>
      </c>
      <c r="S12" s="7">
        <f t="shared" ca="1" si="1"/>
        <v>2.2219178082191782</v>
      </c>
    </row>
    <row r="13" spans="1:19" x14ac:dyDescent="0.25">
      <c r="A13">
        <v>4101396</v>
      </c>
      <c r="B13" t="s">
        <v>1516</v>
      </c>
      <c r="C13" t="s">
        <v>1044</v>
      </c>
      <c r="D13" s="6" t="s">
        <v>22</v>
      </c>
      <c r="E13" t="s">
        <v>21</v>
      </c>
      <c r="G13" s="6" t="s">
        <v>968</v>
      </c>
      <c r="H13" s="59" t="s">
        <v>1019</v>
      </c>
      <c r="I13" s="58" t="s">
        <v>897</v>
      </c>
      <c r="J13" t="s">
        <v>829</v>
      </c>
      <c r="K13" t="s">
        <v>830</v>
      </c>
      <c r="L13" t="s">
        <v>25</v>
      </c>
      <c r="M13" t="s">
        <v>1163</v>
      </c>
      <c r="N13" s="57">
        <v>1200</v>
      </c>
      <c r="O13" t="s">
        <v>100</v>
      </c>
      <c r="P13" t="s">
        <v>93</v>
      </c>
      <c r="Q13" s="3">
        <v>46163</v>
      </c>
      <c r="R13" s="10">
        <f t="shared" ca="1" si="0"/>
        <v>46229</v>
      </c>
      <c r="S13" s="7">
        <f t="shared" ca="1" si="1"/>
        <v>0.18082191780821918</v>
      </c>
    </row>
    <row r="14" spans="1:19" x14ac:dyDescent="0.25">
      <c r="A14">
        <v>4103260</v>
      </c>
      <c r="B14" t="s">
        <v>636</v>
      </c>
      <c r="C14" t="s">
        <v>17</v>
      </c>
      <c r="D14" s="6" t="s">
        <v>22</v>
      </c>
      <c r="E14" t="s">
        <v>21</v>
      </c>
      <c r="G14" s="6" t="s">
        <v>968</v>
      </c>
      <c r="H14" s="59" t="s">
        <v>1019</v>
      </c>
      <c r="I14" s="58" t="s">
        <v>897</v>
      </c>
      <c r="J14" t="s">
        <v>829</v>
      </c>
      <c r="K14" t="s">
        <v>830</v>
      </c>
      <c r="L14" t="s">
        <v>1038</v>
      </c>
      <c r="M14" t="s">
        <v>1163</v>
      </c>
      <c r="N14" s="57">
        <v>1200</v>
      </c>
      <c r="O14" t="s">
        <v>100</v>
      </c>
      <c r="P14" t="s">
        <v>93</v>
      </c>
      <c r="Q14" s="3">
        <v>45502</v>
      </c>
      <c r="R14" s="10">
        <f t="shared" ca="1" si="0"/>
        <v>46229</v>
      </c>
      <c r="S14" s="7">
        <f t="shared" ca="1" si="1"/>
        <v>1.9917808219178081</v>
      </c>
    </row>
    <row r="15" spans="1:19" x14ac:dyDescent="0.25">
      <c r="A15">
        <v>4104372</v>
      </c>
      <c r="B15" t="s">
        <v>646</v>
      </c>
      <c r="C15" t="s">
        <v>17</v>
      </c>
      <c r="D15" s="6" t="s">
        <v>22</v>
      </c>
      <c r="E15" t="s">
        <v>21</v>
      </c>
      <c r="G15" s="6" t="s">
        <v>968</v>
      </c>
      <c r="H15" s="59" t="s">
        <v>1019</v>
      </c>
      <c r="I15" s="58" t="s">
        <v>897</v>
      </c>
      <c r="J15" t="s">
        <v>829</v>
      </c>
      <c r="K15" t="s">
        <v>830</v>
      </c>
      <c r="L15" t="s">
        <v>1038</v>
      </c>
      <c r="M15" t="s">
        <v>1163</v>
      </c>
      <c r="N15" s="57">
        <v>1200</v>
      </c>
      <c r="O15" t="s">
        <v>100</v>
      </c>
      <c r="P15" t="s">
        <v>93</v>
      </c>
      <c r="Q15" s="3">
        <v>45526</v>
      </c>
      <c r="R15" s="10">
        <f t="shared" ca="1" si="0"/>
        <v>46229</v>
      </c>
      <c r="S15" s="7">
        <f t="shared" ca="1" si="1"/>
        <v>1.9260273972602739</v>
      </c>
    </row>
    <row r="16" spans="1:19" x14ac:dyDescent="0.25">
      <c r="A16">
        <v>4106070</v>
      </c>
      <c r="B16" t="s">
        <v>1244</v>
      </c>
      <c r="C16" t="s">
        <v>1044</v>
      </c>
      <c r="D16" s="6" t="s">
        <v>22</v>
      </c>
      <c r="E16" t="s">
        <v>21</v>
      </c>
      <c r="G16" s="6" t="s">
        <v>968</v>
      </c>
      <c r="H16" s="59" t="s">
        <v>1019</v>
      </c>
      <c r="I16" s="58" t="s">
        <v>897</v>
      </c>
      <c r="J16" t="s">
        <v>829</v>
      </c>
      <c r="K16" t="s">
        <v>830</v>
      </c>
      <c r="L16" t="s">
        <v>1038</v>
      </c>
      <c r="M16" t="s">
        <v>1163</v>
      </c>
      <c r="N16" s="57">
        <v>1200</v>
      </c>
      <c r="O16" t="s">
        <v>100</v>
      </c>
      <c r="P16" t="s">
        <v>93</v>
      </c>
      <c r="Q16" s="3">
        <v>46118</v>
      </c>
      <c r="R16" s="10">
        <f t="shared" ca="1" si="0"/>
        <v>46229</v>
      </c>
      <c r="S16" s="7">
        <f t="shared" ca="1" si="1"/>
        <v>0.30410958904109592</v>
      </c>
    </row>
    <row r="17" spans="1:19" x14ac:dyDescent="0.25">
      <c r="A17">
        <v>4113283</v>
      </c>
      <c r="B17" t="s">
        <v>685</v>
      </c>
      <c r="C17" t="s">
        <v>17</v>
      </c>
      <c r="D17" s="6" t="s">
        <v>22</v>
      </c>
      <c r="E17" t="s">
        <v>21</v>
      </c>
      <c r="G17" s="6" t="s">
        <v>968</v>
      </c>
      <c r="H17" s="59" t="s">
        <v>1019</v>
      </c>
      <c r="I17" s="58" t="s">
        <v>897</v>
      </c>
      <c r="J17" t="s">
        <v>829</v>
      </c>
      <c r="K17" t="s">
        <v>830</v>
      </c>
      <c r="L17" t="s">
        <v>1038</v>
      </c>
      <c r="M17" t="s">
        <v>1163</v>
      </c>
      <c r="N17" s="57">
        <v>1200</v>
      </c>
      <c r="O17" t="s">
        <v>100</v>
      </c>
      <c r="P17" t="s">
        <v>93</v>
      </c>
      <c r="Q17" s="3">
        <v>45729</v>
      </c>
      <c r="R17" s="10">
        <f t="shared" ca="1" si="0"/>
        <v>46229</v>
      </c>
      <c r="S17" s="7">
        <f t="shared" ca="1" si="1"/>
        <v>1.3698630136986301</v>
      </c>
    </row>
    <row r="18" spans="1:19" x14ac:dyDescent="0.25">
      <c r="A18">
        <v>4122557</v>
      </c>
      <c r="B18" t="s">
        <v>1265</v>
      </c>
      <c r="C18" t="s">
        <v>1044</v>
      </c>
      <c r="D18" s="6" t="s">
        <v>22</v>
      </c>
      <c r="E18" t="s">
        <v>21</v>
      </c>
      <c r="G18" s="6" t="s">
        <v>968</v>
      </c>
      <c r="H18" s="59" t="s">
        <v>1019</v>
      </c>
      <c r="I18" s="58" t="s">
        <v>897</v>
      </c>
      <c r="J18" t="s">
        <v>829</v>
      </c>
      <c r="K18" t="s">
        <v>830</v>
      </c>
      <c r="L18" t="s">
        <v>1038</v>
      </c>
      <c r="M18" t="s">
        <v>1163</v>
      </c>
      <c r="N18" s="57">
        <v>1200</v>
      </c>
      <c r="O18" t="s">
        <v>100</v>
      </c>
      <c r="P18" t="s">
        <v>93</v>
      </c>
      <c r="Q18" s="3">
        <v>46118</v>
      </c>
      <c r="R18" s="10">
        <f t="shared" ca="1" si="0"/>
        <v>46229</v>
      </c>
      <c r="S18" s="7">
        <f t="shared" ca="1" si="1"/>
        <v>0.30410958904109592</v>
      </c>
    </row>
    <row r="19" spans="1:19" x14ac:dyDescent="0.25">
      <c r="A19">
        <v>4122558</v>
      </c>
      <c r="B19" t="s">
        <v>1266</v>
      </c>
      <c r="C19" t="s">
        <v>1044</v>
      </c>
      <c r="D19" s="6" t="s">
        <v>22</v>
      </c>
      <c r="E19" t="s">
        <v>21</v>
      </c>
      <c r="G19" s="6" t="s">
        <v>968</v>
      </c>
      <c r="H19" s="59" t="s">
        <v>1019</v>
      </c>
      <c r="I19" s="58" t="s">
        <v>897</v>
      </c>
      <c r="J19" t="s">
        <v>829</v>
      </c>
      <c r="K19" t="s">
        <v>830</v>
      </c>
      <c r="L19" t="s">
        <v>1038</v>
      </c>
      <c r="M19" t="s">
        <v>1163</v>
      </c>
      <c r="N19" s="57">
        <v>1200</v>
      </c>
      <c r="O19" t="s">
        <v>100</v>
      </c>
      <c r="P19" t="s">
        <v>93</v>
      </c>
      <c r="Q19" s="3">
        <v>46118</v>
      </c>
      <c r="R19" s="10">
        <f t="shared" ca="1" si="0"/>
        <v>46229</v>
      </c>
      <c r="S19" s="7">
        <f t="shared" ca="1" si="1"/>
        <v>0.30410958904109592</v>
      </c>
    </row>
    <row r="20" spans="1:19" x14ac:dyDescent="0.25">
      <c r="A20">
        <v>4122734</v>
      </c>
      <c r="B20" t="s">
        <v>1280</v>
      </c>
      <c r="C20" t="s">
        <v>1044</v>
      </c>
      <c r="D20" s="6" t="s">
        <v>22</v>
      </c>
      <c r="E20" t="s">
        <v>21</v>
      </c>
      <c r="G20" s="6" t="s">
        <v>968</v>
      </c>
      <c r="H20" s="59" t="s">
        <v>1019</v>
      </c>
      <c r="I20" s="58" t="s">
        <v>897</v>
      </c>
      <c r="J20" t="s">
        <v>829</v>
      </c>
      <c r="K20" t="s">
        <v>830</v>
      </c>
      <c r="L20" t="s">
        <v>1038</v>
      </c>
      <c r="M20" t="s">
        <v>1163</v>
      </c>
      <c r="N20" s="57">
        <v>1200</v>
      </c>
      <c r="O20" t="s">
        <v>100</v>
      </c>
      <c r="P20" t="s">
        <v>93</v>
      </c>
      <c r="Q20" s="3">
        <v>46121</v>
      </c>
      <c r="R20" s="10">
        <f t="shared" ca="1" si="0"/>
        <v>46229</v>
      </c>
      <c r="S20" s="7">
        <f t="shared" ca="1" si="1"/>
        <v>0.29589041095890412</v>
      </c>
    </row>
    <row r="21" spans="1:19" x14ac:dyDescent="0.25">
      <c r="A21">
        <v>4124044</v>
      </c>
      <c r="B21" t="s">
        <v>1517</v>
      </c>
      <c r="C21" t="s">
        <v>1044</v>
      </c>
      <c r="D21" s="6" t="s">
        <v>22</v>
      </c>
      <c r="E21" t="s">
        <v>21</v>
      </c>
      <c r="G21" s="6" t="s">
        <v>968</v>
      </c>
      <c r="H21" s="59" t="s">
        <v>1019</v>
      </c>
      <c r="I21" s="58" t="s">
        <v>897</v>
      </c>
      <c r="J21" t="s">
        <v>829</v>
      </c>
      <c r="K21" t="s">
        <v>830</v>
      </c>
      <c r="L21" t="s">
        <v>25</v>
      </c>
      <c r="M21" t="s">
        <v>1163</v>
      </c>
      <c r="N21" s="57">
        <v>1200</v>
      </c>
      <c r="O21" t="s">
        <v>100</v>
      </c>
      <c r="P21" t="s">
        <v>93</v>
      </c>
      <c r="Q21" s="3">
        <v>46163</v>
      </c>
      <c r="R21" s="10">
        <f t="shared" ca="1" si="0"/>
        <v>46229</v>
      </c>
      <c r="S21" s="7">
        <f t="shared" ca="1" si="1"/>
        <v>0.18082191780821918</v>
      </c>
    </row>
    <row r="22" spans="1:19" x14ac:dyDescent="0.25">
      <c r="A22">
        <v>4124098</v>
      </c>
      <c r="B22" t="s">
        <v>1551</v>
      </c>
      <c r="C22" t="s">
        <v>1044</v>
      </c>
      <c r="D22" s="6" t="s">
        <v>22</v>
      </c>
      <c r="E22" t="s">
        <v>21</v>
      </c>
      <c r="G22" s="6" t="s">
        <v>968</v>
      </c>
      <c r="H22" s="59" t="s">
        <v>1019</v>
      </c>
      <c r="I22" s="58" t="s">
        <v>897</v>
      </c>
      <c r="J22" t="s">
        <v>829</v>
      </c>
      <c r="K22" t="s">
        <v>830</v>
      </c>
      <c r="L22" t="s">
        <v>1038</v>
      </c>
      <c r="M22" t="s">
        <v>1163</v>
      </c>
      <c r="N22" s="57">
        <v>1200</v>
      </c>
      <c r="O22" t="s">
        <v>100</v>
      </c>
      <c r="P22" t="s">
        <v>93</v>
      </c>
      <c r="Q22" s="3">
        <v>46167</v>
      </c>
      <c r="R22" s="10">
        <f t="shared" ca="1" si="0"/>
        <v>46229</v>
      </c>
      <c r="S22" s="7">
        <f t="shared" ca="1" si="1"/>
        <v>0.16986301369863013</v>
      </c>
    </row>
    <row r="23" spans="1:19" x14ac:dyDescent="0.25">
      <c r="A23">
        <v>4124103</v>
      </c>
      <c r="B23" t="s">
        <v>1552</v>
      </c>
      <c r="C23" t="s">
        <v>1044</v>
      </c>
      <c r="D23" s="6" t="s">
        <v>22</v>
      </c>
      <c r="E23" t="s">
        <v>21</v>
      </c>
      <c r="G23" s="6" t="s">
        <v>968</v>
      </c>
      <c r="H23" s="59" t="s">
        <v>1019</v>
      </c>
      <c r="I23" s="58" t="s">
        <v>897</v>
      </c>
      <c r="J23" t="s">
        <v>829</v>
      </c>
      <c r="K23" t="s">
        <v>830</v>
      </c>
      <c r="L23" t="s">
        <v>1038</v>
      </c>
      <c r="M23" t="s">
        <v>1163</v>
      </c>
      <c r="N23" s="57">
        <v>1200</v>
      </c>
      <c r="O23" t="s">
        <v>100</v>
      </c>
      <c r="P23" t="s">
        <v>93</v>
      </c>
      <c r="Q23" s="3">
        <v>46167</v>
      </c>
      <c r="R23" s="10">
        <f t="shared" ca="1" si="0"/>
        <v>46229</v>
      </c>
      <c r="S23" s="7">
        <f t="shared" ca="1" si="1"/>
        <v>0.16986301369863013</v>
      </c>
    </row>
    <row r="24" spans="1:19" x14ac:dyDescent="0.25">
      <c r="A24">
        <v>4124128</v>
      </c>
      <c r="B24" t="s">
        <v>1564</v>
      </c>
      <c r="C24" t="s">
        <v>1044</v>
      </c>
      <c r="D24" s="6" t="s">
        <v>22</v>
      </c>
      <c r="E24" t="s">
        <v>21</v>
      </c>
      <c r="G24" s="6" t="s">
        <v>968</v>
      </c>
      <c r="H24" s="59" t="s">
        <v>1019</v>
      </c>
      <c r="I24" s="58" t="s">
        <v>897</v>
      </c>
      <c r="J24" t="s">
        <v>829</v>
      </c>
      <c r="K24" t="s">
        <v>830</v>
      </c>
      <c r="L24" t="s">
        <v>1038</v>
      </c>
      <c r="M24" t="s">
        <v>1163</v>
      </c>
      <c r="N24" s="57">
        <v>1200</v>
      </c>
      <c r="O24" t="s">
        <v>100</v>
      </c>
      <c r="P24" t="s">
        <v>93</v>
      </c>
      <c r="Q24" s="3">
        <v>46167</v>
      </c>
      <c r="R24" s="10">
        <f t="shared" ca="1" si="0"/>
        <v>46229</v>
      </c>
      <c r="S24" s="7">
        <f t="shared" ca="1" si="1"/>
        <v>0.16986301369863013</v>
      </c>
    </row>
    <row r="25" spans="1:19" x14ac:dyDescent="0.25">
      <c r="A25">
        <v>4124131</v>
      </c>
      <c r="B25" t="s">
        <v>1566</v>
      </c>
      <c r="C25" t="s">
        <v>1044</v>
      </c>
      <c r="D25" s="6" t="s">
        <v>22</v>
      </c>
      <c r="E25" t="s">
        <v>21</v>
      </c>
      <c r="G25" s="6" t="s">
        <v>968</v>
      </c>
      <c r="H25" s="59" t="s">
        <v>1019</v>
      </c>
      <c r="I25" s="58" t="s">
        <v>897</v>
      </c>
      <c r="J25" t="s">
        <v>829</v>
      </c>
      <c r="K25" t="s">
        <v>830</v>
      </c>
      <c r="L25" t="s">
        <v>1038</v>
      </c>
      <c r="M25" t="s">
        <v>1163</v>
      </c>
      <c r="N25" s="57">
        <v>1200</v>
      </c>
      <c r="O25" t="s">
        <v>100</v>
      </c>
      <c r="P25" t="s">
        <v>93</v>
      </c>
      <c r="Q25" s="3">
        <v>46167</v>
      </c>
      <c r="R25" s="10">
        <f t="shared" ca="1" si="0"/>
        <v>46229</v>
      </c>
      <c r="S25" s="7">
        <f t="shared" ca="1" si="1"/>
        <v>0.16986301369863013</v>
      </c>
    </row>
    <row r="26" spans="1:19" x14ac:dyDescent="0.25">
      <c r="A26">
        <v>4124134</v>
      </c>
      <c r="B26" t="s">
        <v>1568</v>
      </c>
      <c r="C26" t="s">
        <v>1044</v>
      </c>
      <c r="D26" s="6" t="s">
        <v>22</v>
      </c>
      <c r="E26" t="s">
        <v>21</v>
      </c>
      <c r="G26" s="6" t="s">
        <v>968</v>
      </c>
      <c r="H26" s="59" t="s">
        <v>1019</v>
      </c>
      <c r="I26" s="58" t="s">
        <v>897</v>
      </c>
      <c r="J26" t="s">
        <v>829</v>
      </c>
      <c r="K26" t="s">
        <v>830</v>
      </c>
      <c r="L26" t="s">
        <v>1038</v>
      </c>
      <c r="M26" t="s">
        <v>1163</v>
      </c>
      <c r="N26" s="57">
        <v>1200</v>
      </c>
      <c r="O26" t="s">
        <v>100</v>
      </c>
      <c r="P26" t="s">
        <v>93</v>
      </c>
      <c r="Q26" s="3">
        <v>46167</v>
      </c>
      <c r="R26" s="10">
        <f t="shared" ca="1" si="0"/>
        <v>46229</v>
      </c>
      <c r="S26" s="7">
        <f t="shared" ca="1" si="1"/>
        <v>0.16986301369863013</v>
      </c>
    </row>
    <row r="27" spans="1:19" x14ac:dyDescent="0.25">
      <c r="A27">
        <v>4124188</v>
      </c>
      <c r="B27" t="s">
        <v>1655</v>
      </c>
      <c r="C27" t="s">
        <v>1044</v>
      </c>
      <c r="D27" s="6" t="s">
        <v>22</v>
      </c>
      <c r="E27" t="s">
        <v>21</v>
      </c>
      <c r="G27" s="6" t="s">
        <v>968</v>
      </c>
      <c r="H27" s="59" t="s">
        <v>1019</v>
      </c>
      <c r="I27" s="58" t="s">
        <v>897</v>
      </c>
      <c r="J27" t="s">
        <v>829</v>
      </c>
      <c r="K27" t="s">
        <v>830</v>
      </c>
      <c r="L27" t="s">
        <v>1038</v>
      </c>
      <c r="M27" t="s">
        <v>1163</v>
      </c>
      <c r="N27" s="57">
        <v>1200</v>
      </c>
      <c r="O27" t="s">
        <v>100</v>
      </c>
      <c r="P27" t="s">
        <v>93</v>
      </c>
      <c r="Q27" s="3">
        <v>46170</v>
      </c>
      <c r="R27" s="10">
        <f t="shared" ca="1" si="0"/>
        <v>46229</v>
      </c>
      <c r="S27" s="7">
        <f t="shared" ca="1" si="1"/>
        <v>0.16164383561643836</v>
      </c>
    </row>
    <row r="28" spans="1:19" x14ac:dyDescent="0.25">
      <c r="A28">
        <v>4124190</v>
      </c>
      <c r="B28" t="s">
        <v>1657</v>
      </c>
      <c r="C28" t="s">
        <v>1044</v>
      </c>
      <c r="D28" s="6" t="s">
        <v>22</v>
      </c>
      <c r="E28" t="s">
        <v>21</v>
      </c>
      <c r="G28" s="6" t="s">
        <v>968</v>
      </c>
      <c r="H28" s="59" t="s">
        <v>1019</v>
      </c>
      <c r="I28" s="58" t="s">
        <v>897</v>
      </c>
      <c r="J28" t="s">
        <v>829</v>
      </c>
      <c r="K28" t="s">
        <v>830</v>
      </c>
      <c r="L28" t="s">
        <v>1038</v>
      </c>
      <c r="M28" t="s">
        <v>1163</v>
      </c>
      <c r="N28" s="57">
        <v>1200</v>
      </c>
      <c r="O28" t="s">
        <v>100</v>
      </c>
      <c r="P28" t="s">
        <v>93</v>
      </c>
      <c r="Q28" s="3">
        <v>46170</v>
      </c>
      <c r="R28" s="10">
        <f t="shared" ca="1" si="0"/>
        <v>46229</v>
      </c>
      <c r="S28" s="7">
        <f t="shared" ca="1" si="1"/>
        <v>0.16164383561643836</v>
      </c>
    </row>
    <row r="29" spans="1:19" x14ac:dyDescent="0.25">
      <c r="A29">
        <v>4124199</v>
      </c>
      <c r="B29" t="s">
        <v>1664</v>
      </c>
      <c r="C29" t="s">
        <v>1044</v>
      </c>
      <c r="D29" s="6" t="s">
        <v>22</v>
      </c>
      <c r="E29" t="s">
        <v>21</v>
      </c>
      <c r="G29" s="6" t="s">
        <v>968</v>
      </c>
      <c r="H29" s="59" t="s">
        <v>1019</v>
      </c>
      <c r="I29" s="58" t="s">
        <v>897</v>
      </c>
      <c r="J29" t="s">
        <v>829</v>
      </c>
      <c r="K29" t="s">
        <v>830</v>
      </c>
      <c r="L29" t="s">
        <v>1038</v>
      </c>
      <c r="M29" t="s">
        <v>1163</v>
      </c>
      <c r="N29" s="57">
        <v>1200</v>
      </c>
      <c r="O29" t="s">
        <v>100</v>
      </c>
      <c r="P29" t="s">
        <v>93</v>
      </c>
      <c r="Q29" s="3">
        <v>46170</v>
      </c>
      <c r="R29" s="10">
        <f t="shared" ca="1" si="0"/>
        <v>46229</v>
      </c>
      <c r="S29" s="7">
        <f t="shared" ca="1" si="1"/>
        <v>0.16164383561643836</v>
      </c>
    </row>
    <row r="30" spans="1:19" x14ac:dyDescent="0.25">
      <c r="A30">
        <v>4124223</v>
      </c>
      <c r="B30" t="s">
        <v>1681</v>
      </c>
      <c r="C30" t="s">
        <v>1044</v>
      </c>
      <c r="D30" s="6" t="s">
        <v>22</v>
      </c>
      <c r="E30" t="s">
        <v>21</v>
      </c>
      <c r="G30" s="6" t="s">
        <v>968</v>
      </c>
      <c r="H30" s="59" t="s">
        <v>1019</v>
      </c>
      <c r="I30" s="58" t="s">
        <v>897</v>
      </c>
      <c r="J30" t="s">
        <v>829</v>
      </c>
      <c r="K30" t="s">
        <v>830</v>
      </c>
      <c r="L30" t="s">
        <v>1038</v>
      </c>
      <c r="M30" t="s">
        <v>1163</v>
      </c>
      <c r="N30" s="57">
        <v>1200</v>
      </c>
      <c r="O30" t="s">
        <v>100</v>
      </c>
      <c r="P30" t="s">
        <v>93</v>
      </c>
      <c r="Q30" s="3">
        <v>46170</v>
      </c>
      <c r="R30" s="10">
        <f t="shared" ca="1" si="0"/>
        <v>46229</v>
      </c>
      <c r="S30" s="7">
        <f t="shared" ca="1" si="1"/>
        <v>0.16164383561643836</v>
      </c>
    </row>
    <row r="31" spans="1:19" x14ac:dyDescent="0.25">
      <c r="A31">
        <v>4124225</v>
      </c>
      <c r="B31" t="s">
        <v>1683</v>
      </c>
      <c r="C31" t="s">
        <v>1044</v>
      </c>
      <c r="D31" s="6" t="s">
        <v>22</v>
      </c>
      <c r="E31" t="s">
        <v>21</v>
      </c>
      <c r="G31" s="6" t="s">
        <v>968</v>
      </c>
      <c r="H31" s="59" t="s">
        <v>1019</v>
      </c>
      <c r="I31" s="58" t="s">
        <v>897</v>
      </c>
      <c r="J31" t="s">
        <v>829</v>
      </c>
      <c r="K31" t="s">
        <v>830</v>
      </c>
      <c r="L31" t="s">
        <v>1038</v>
      </c>
      <c r="M31" t="s">
        <v>1163</v>
      </c>
      <c r="N31" s="57">
        <v>1200</v>
      </c>
      <c r="O31" t="s">
        <v>100</v>
      </c>
      <c r="P31" t="s">
        <v>93</v>
      </c>
      <c r="Q31" s="3">
        <v>46170</v>
      </c>
      <c r="R31" s="10">
        <f t="shared" ca="1" si="0"/>
        <v>46229</v>
      </c>
      <c r="S31" s="7">
        <f t="shared" ca="1" si="1"/>
        <v>0.16164383561643836</v>
      </c>
    </row>
    <row r="32" spans="1:19" x14ac:dyDescent="0.25">
      <c r="A32">
        <v>4124226</v>
      </c>
      <c r="B32" t="s">
        <v>1684</v>
      </c>
      <c r="C32" t="s">
        <v>1044</v>
      </c>
      <c r="D32" s="6" t="s">
        <v>22</v>
      </c>
      <c r="E32" t="s">
        <v>21</v>
      </c>
      <c r="G32" s="6" t="s">
        <v>968</v>
      </c>
      <c r="H32" s="59" t="s">
        <v>1019</v>
      </c>
      <c r="I32" s="58" t="s">
        <v>897</v>
      </c>
      <c r="J32" t="s">
        <v>829</v>
      </c>
      <c r="K32" t="s">
        <v>830</v>
      </c>
      <c r="L32" t="s">
        <v>1038</v>
      </c>
      <c r="M32" t="s">
        <v>1163</v>
      </c>
      <c r="N32" s="57">
        <v>1200</v>
      </c>
      <c r="O32" t="s">
        <v>100</v>
      </c>
      <c r="P32" t="s">
        <v>93</v>
      </c>
      <c r="Q32" s="3">
        <v>46170</v>
      </c>
      <c r="R32" s="10">
        <f t="shared" ca="1" si="0"/>
        <v>46229</v>
      </c>
      <c r="S32" s="7">
        <f t="shared" ca="1" si="1"/>
        <v>0.16164383561643836</v>
      </c>
    </row>
    <row r="33" spans="1:19" x14ac:dyDescent="0.25">
      <c r="A33">
        <v>4124227</v>
      </c>
      <c r="B33" t="s">
        <v>1685</v>
      </c>
      <c r="C33" t="s">
        <v>1044</v>
      </c>
      <c r="D33" s="6" t="s">
        <v>22</v>
      </c>
      <c r="E33" t="s">
        <v>21</v>
      </c>
      <c r="G33" s="6" t="s">
        <v>968</v>
      </c>
      <c r="H33" s="59" t="s">
        <v>1019</v>
      </c>
      <c r="I33" s="58" t="s">
        <v>897</v>
      </c>
      <c r="J33" t="s">
        <v>829</v>
      </c>
      <c r="K33" t="s">
        <v>830</v>
      </c>
      <c r="L33" t="s">
        <v>1038</v>
      </c>
      <c r="M33" t="s">
        <v>1163</v>
      </c>
      <c r="N33" s="57">
        <v>1200</v>
      </c>
      <c r="O33" t="s">
        <v>100</v>
      </c>
      <c r="P33" t="s">
        <v>93</v>
      </c>
      <c r="Q33" s="3">
        <v>46170</v>
      </c>
      <c r="R33" s="10">
        <f t="shared" ca="1" si="0"/>
        <v>46229</v>
      </c>
      <c r="S33" s="7">
        <f t="shared" ca="1" si="1"/>
        <v>0.16164383561643836</v>
      </c>
    </row>
    <row r="34" spans="1:19" x14ac:dyDescent="0.25">
      <c r="A34">
        <v>4124231</v>
      </c>
      <c r="B34" t="s">
        <v>1688</v>
      </c>
      <c r="C34" t="s">
        <v>1044</v>
      </c>
      <c r="D34" s="6" t="s">
        <v>22</v>
      </c>
      <c r="E34" t="s">
        <v>21</v>
      </c>
      <c r="G34" s="6" t="s">
        <v>968</v>
      </c>
      <c r="H34" s="59" t="s">
        <v>1019</v>
      </c>
      <c r="I34" s="58" t="s">
        <v>897</v>
      </c>
      <c r="J34" t="s">
        <v>829</v>
      </c>
      <c r="K34" t="s">
        <v>830</v>
      </c>
      <c r="L34" t="s">
        <v>1038</v>
      </c>
      <c r="M34" t="s">
        <v>1163</v>
      </c>
      <c r="N34" s="57">
        <v>1200</v>
      </c>
      <c r="O34" t="s">
        <v>100</v>
      </c>
      <c r="P34" t="s">
        <v>93</v>
      </c>
      <c r="Q34" s="3">
        <v>46170</v>
      </c>
      <c r="R34" s="10">
        <f t="shared" ca="1" si="0"/>
        <v>46229</v>
      </c>
      <c r="S34" s="7">
        <f t="shared" ca="1" si="1"/>
        <v>0.16164383561643836</v>
      </c>
    </row>
    <row r="35" spans="1:19" x14ac:dyDescent="0.25">
      <c r="A35">
        <v>4124233</v>
      </c>
      <c r="B35" t="s">
        <v>1690</v>
      </c>
      <c r="C35" t="s">
        <v>1044</v>
      </c>
      <c r="D35" s="6" t="s">
        <v>22</v>
      </c>
      <c r="E35" t="s">
        <v>21</v>
      </c>
      <c r="G35" s="6" t="s">
        <v>968</v>
      </c>
      <c r="H35" s="59" t="s">
        <v>1019</v>
      </c>
      <c r="I35" s="58" t="s">
        <v>897</v>
      </c>
      <c r="J35" t="s">
        <v>829</v>
      </c>
      <c r="K35" t="s">
        <v>830</v>
      </c>
      <c r="L35" t="s">
        <v>1038</v>
      </c>
      <c r="M35" t="s">
        <v>1163</v>
      </c>
      <c r="N35" s="57">
        <v>1200</v>
      </c>
      <c r="O35" t="s">
        <v>100</v>
      </c>
      <c r="P35" t="s">
        <v>93</v>
      </c>
      <c r="Q35" s="3">
        <v>46170</v>
      </c>
      <c r="R35" s="10">
        <f t="shared" ca="1" si="0"/>
        <v>46229</v>
      </c>
      <c r="S35" s="7">
        <f t="shared" ca="1" si="1"/>
        <v>0.16164383561643836</v>
      </c>
    </row>
    <row r="36" spans="1:19" x14ac:dyDescent="0.25">
      <c r="A36">
        <v>4124234</v>
      </c>
      <c r="B36" t="s">
        <v>1691</v>
      </c>
      <c r="C36" t="s">
        <v>1044</v>
      </c>
      <c r="D36" s="6" t="s">
        <v>22</v>
      </c>
      <c r="E36" t="s">
        <v>21</v>
      </c>
      <c r="G36" s="6" t="s">
        <v>968</v>
      </c>
      <c r="H36" s="59" t="s">
        <v>1019</v>
      </c>
      <c r="I36" s="58" t="s">
        <v>897</v>
      </c>
      <c r="J36" t="s">
        <v>829</v>
      </c>
      <c r="K36" t="s">
        <v>830</v>
      </c>
      <c r="L36" t="s">
        <v>1038</v>
      </c>
      <c r="M36" t="s">
        <v>1163</v>
      </c>
      <c r="N36" s="57">
        <v>1200</v>
      </c>
      <c r="O36" t="s">
        <v>100</v>
      </c>
      <c r="P36" t="s">
        <v>93</v>
      </c>
      <c r="Q36" s="3">
        <v>46170</v>
      </c>
      <c r="R36" s="10">
        <f t="shared" ca="1" si="0"/>
        <v>46229</v>
      </c>
      <c r="S36" s="7">
        <f t="shared" ca="1" si="1"/>
        <v>0.16164383561643836</v>
      </c>
    </row>
    <row r="37" spans="1:19" x14ac:dyDescent="0.25">
      <c r="A37">
        <v>4124244</v>
      </c>
      <c r="B37" t="s">
        <v>1699</v>
      </c>
      <c r="C37" t="s">
        <v>1044</v>
      </c>
      <c r="D37" s="6" t="s">
        <v>22</v>
      </c>
      <c r="E37" t="s">
        <v>21</v>
      </c>
      <c r="G37" s="6" t="s">
        <v>968</v>
      </c>
      <c r="H37" s="59" t="s">
        <v>1019</v>
      </c>
      <c r="I37" s="58" t="s">
        <v>897</v>
      </c>
      <c r="J37" t="s">
        <v>829</v>
      </c>
      <c r="K37" t="s">
        <v>830</v>
      </c>
      <c r="L37" t="s">
        <v>1038</v>
      </c>
      <c r="M37" t="s">
        <v>1163</v>
      </c>
      <c r="N37" s="57">
        <v>1200</v>
      </c>
      <c r="O37" t="s">
        <v>100</v>
      </c>
      <c r="P37" t="s">
        <v>93</v>
      </c>
      <c r="Q37" s="3">
        <v>46170</v>
      </c>
      <c r="R37" s="10">
        <f t="shared" ca="1" si="0"/>
        <v>46229</v>
      </c>
      <c r="S37" s="7">
        <f t="shared" ca="1" si="1"/>
        <v>0.16164383561643836</v>
      </c>
    </row>
    <row r="38" spans="1:19" x14ac:dyDescent="0.25">
      <c r="A38">
        <v>4124246</v>
      </c>
      <c r="B38" t="s">
        <v>1701</v>
      </c>
      <c r="C38" t="s">
        <v>1044</v>
      </c>
      <c r="D38" s="6" t="s">
        <v>22</v>
      </c>
      <c r="E38" t="s">
        <v>21</v>
      </c>
      <c r="G38" s="6" t="s">
        <v>968</v>
      </c>
      <c r="H38" s="59" t="s">
        <v>1019</v>
      </c>
      <c r="I38" s="58" t="s">
        <v>897</v>
      </c>
      <c r="J38" t="s">
        <v>829</v>
      </c>
      <c r="K38" t="s">
        <v>830</v>
      </c>
      <c r="L38" t="s">
        <v>1038</v>
      </c>
      <c r="M38" t="s">
        <v>1163</v>
      </c>
      <c r="N38" s="57">
        <v>1200</v>
      </c>
      <c r="O38" t="s">
        <v>100</v>
      </c>
      <c r="P38" t="s">
        <v>93</v>
      </c>
      <c r="Q38" s="3">
        <v>46170</v>
      </c>
      <c r="R38" s="10">
        <f t="shared" ca="1" si="0"/>
        <v>46229</v>
      </c>
      <c r="S38" s="7">
        <f t="shared" ca="1" si="1"/>
        <v>0.16164383561643836</v>
      </c>
    </row>
    <row r="39" spans="1:19" x14ac:dyDescent="0.25">
      <c r="A39">
        <v>4124248</v>
      </c>
      <c r="B39" t="s">
        <v>1703</v>
      </c>
      <c r="C39" t="s">
        <v>1044</v>
      </c>
      <c r="D39" s="6" t="s">
        <v>22</v>
      </c>
      <c r="E39" t="s">
        <v>21</v>
      </c>
      <c r="G39" s="6" t="s">
        <v>968</v>
      </c>
      <c r="H39" s="59" t="s">
        <v>1019</v>
      </c>
      <c r="I39" s="58" t="s">
        <v>897</v>
      </c>
      <c r="J39" t="s">
        <v>829</v>
      </c>
      <c r="K39" t="s">
        <v>830</v>
      </c>
      <c r="L39" t="s">
        <v>1038</v>
      </c>
      <c r="M39" t="s">
        <v>1163</v>
      </c>
      <c r="N39" s="57">
        <v>1200</v>
      </c>
      <c r="O39" t="s">
        <v>100</v>
      </c>
      <c r="P39" t="s">
        <v>93</v>
      </c>
      <c r="Q39" s="3">
        <v>46170</v>
      </c>
      <c r="R39" s="10">
        <f t="shared" ca="1" si="0"/>
        <v>46229</v>
      </c>
      <c r="S39" s="7">
        <f t="shared" ca="1" si="1"/>
        <v>0.16164383561643836</v>
      </c>
    </row>
    <row r="40" spans="1:19" x14ac:dyDescent="0.25">
      <c r="A40">
        <v>4124405</v>
      </c>
      <c r="B40" t="s">
        <v>1757</v>
      </c>
      <c r="C40" t="s">
        <v>1044</v>
      </c>
      <c r="D40" s="6" t="s">
        <v>22</v>
      </c>
      <c r="E40" t="s">
        <v>21</v>
      </c>
      <c r="G40" s="6" t="s">
        <v>968</v>
      </c>
      <c r="H40" s="59" t="s">
        <v>1019</v>
      </c>
      <c r="I40" s="58" t="s">
        <v>897</v>
      </c>
      <c r="J40" t="s">
        <v>829</v>
      </c>
      <c r="K40" t="s">
        <v>830</v>
      </c>
      <c r="L40" t="s">
        <v>1038</v>
      </c>
      <c r="M40" t="s">
        <v>1163</v>
      </c>
      <c r="N40" s="57">
        <v>1200</v>
      </c>
      <c r="O40" t="s">
        <v>100</v>
      </c>
      <c r="P40" t="s">
        <v>93</v>
      </c>
      <c r="Q40" s="3">
        <v>46174</v>
      </c>
      <c r="R40" s="10">
        <f t="shared" ca="1" si="0"/>
        <v>46229</v>
      </c>
      <c r="S40" s="7">
        <f t="shared" ca="1" si="1"/>
        <v>0.15068493150684931</v>
      </c>
    </row>
    <row r="41" spans="1:19" x14ac:dyDescent="0.25">
      <c r="A41">
        <v>4124406</v>
      </c>
      <c r="B41" t="s">
        <v>1758</v>
      </c>
      <c r="C41" t="s">
        <v>1044</v>
      </c>
      <c r="D41" s="6" t="s">
        <v>22</v>
      </c>
      <c r="E41" t="s">
        <v>21</v>
      </c>
      <c r="G41" s="6" t="s">
        <v>968</v>
      </c>
      <c r="H41" s="59" t="s">
        <v>1019</v>
      </c>
      <c r="I41" s="58" t="s">
        <v>897</v>
      </c>
      <c r="J41" t="s">
        <v>829</v>
      </c>
      <c r="K41" t="s">
        <v>830</v>
      </c>
      <c r="L41" t="s">
        <v>1038</v>
      </c>
      <c r="M41" t="s">
        <v>1163</v>
      </c>
      <c r="N41" s="57">
        <v>1200</v>
      </c>
      <c r="O41" t="s">
        <v>100</v>
      </c>
      <c r="P41" t="s">
        <v>93</v>
      </c>
      <c r="Q41" s="3">
        <v>46174</v>
      </c>
      <c r="R41" s="10">
        <f t="shared" ca="1" si="0"/>
        <v>46229</v>
      </c>
      <c r="S41" s="7">
        <f t="shared" ca="1" si="1"/>
        <v>0.15068493150684931</v>
      </c>
    </row>
    <row r="42" spans="1:19" x14ac:dyDescent="0.25">
      <c r="A42">
        <v>4124407</v>
      </c>
      <c r="B42" t="s">
        <v>1759</v>
      </c>
      <c r="C42" t="s">
        <v>1044</v>
      </c>
      <c r="D42" s="6" t="s">
        <v>22</v>
      </c>
      <c r="E42" t="s">
        <v>21</v>
      </c>
      <c r="G42" s="6" t="s">
        <v>968</v>
      </c>
      <c r="H42" s="59" t="s">
        <v>1019</v>
      </c>
      <c r="I42" s="58" t="s">
        <v>897</v>
      </c>
      <c r="J42" t="s">
        <v>829</v>
      </c>
      <c r="K42" t="s">
        <v>830</v>
      </c>
      <c r="L42" t="s">
        <v>1038</v>
      </c>
      <c r="M42" t="s">
        <v>1163</v>
      </c>
      <c r="N42" s="57">
        <v>1200</v>
      </c>
      <c r="O42" t="s">
        <v>100</v>
      </c>
      <c r="P42" t="s">
        <v>93</v>
      </c>
      <c r="Q42" s="3">
        <v>46174</v>
      </c>
      <c r="R42" s="10">
        <f t="shared" ca="1" si="0"/>
        <v>46229</v>
      </c>
      <c r="S42" s="7">
        <f t="shared" ca="1" si="1"/>
        <v>0.15068493150684931</v>
      </c>
    </row>
    <row r="43" spans="1:19" x14ac:dyDescent="0.25">
      <c r="A43">
        <v>4124409</v>
      </c>
      <c r="B43" t="s">
        <v>1761</v>
      </c>
      <c r="C43" t="s">
        <v>1044</v>
      </c>
      <c r="D43" s="6" t="s">
        <v>22</v>
      </c>
      <c r="E43" t="s">
        <v>21</v>
      </c>
      <c r="G43" s="6" t="s">
        <v>968</v>
      </c>
      <c r="H43" s="59" t="s">
        <v>1019</v>
      </c>
      <c r="I43" s="58" t="s">
        <v>897</v>
      </c>
      <c r="J43" t="s">
        <v>829</v>
      </c>
      <c r="K43" t="s">
        <v>830</v>
      </c>
      <c r="L43" t="s">
        <v>1038</v>
      </c>
      <c r="M43" t="s">
        <v>1163</v>
      </c>
      <c r="N43" s="57">
        <v>1200</v>
      </c>
      <c r="O43" t="s">
        <v>100</v>
      </c>
      <c r="P43" t="s">
        <v>93</v>
      </c>
      <c r="Q43" s="3">
        <v>46174</v>
      </c>
      <c r="R43" s="10">
        <f t="shared" ca="1" si="0"/>
        <v>46229</v>
      </c>
      <c r="S43" s="7">
        <f t="shared" ca="1" si="1"/>
        <v>0.15068493150684931</v>
      </c>
    </row>
    <row r="44" spans="1:19" x14ac:dyDescent="0.25">
      <c r="A44">
        <v>4124410</v>
      </c>
      <c r="B44" t="s">
        <v>1762</v>
      </c>
      <c r="C44" t="s">
        <v>1044</v>
      </c>
      <c r="D44" s="6" t="s">
        <v>22</v>
      </c>
      <c r="E44" t="s">
        <v>21</v>
      </c>
      <c r="G44" s="6" t="s">
        <v>968</v>
      </c>
      <c r="H44" s="59" t="s">
        <v>1019</v>
      </c>
      <c r="I44" s="58" t="s">
        <v>897</v>
      </c>
      <c r="J44" t="s">
        <v>829</v>
      </c>
      <c r="K44" t="s">
        <v>830</v>
      </c>
      <c r="L44" t="s">
        <v>1038</v>
      </c>
      <c r="M44" t="s">
        <v>1163</v>
      </c>
      <c r="N44" s="57">
        <v>1200</v>
      </c>
      <c r="O44" t="s">
        <v>100</v>
      </c>
      <c r="P44" t="s">
        <v>93</v>
      </c>
      <c r="Q44" s="3">
        <v>46174</v>
      </c>
      <c r="R44" s="10">
        <f t="shared" ca="1" si="0"/>
        <v>46229</v>
      </c>
      <c r="S44" s="7">
        <f t="shared" ca="1" si="1"/>
        <v>0.15068493150684931</v>
      </c>
    </row>
    <row r="45" spans="1:19" x14ac:dyDescent="0.25">
      <c r="A45">
        <v>855488</v>
      </c>
      <c r="B45" t="s">
        <v>1336</v>
      </c>
      <c r="C45" t="s">
        <v>1044</v>
      </c>
      <c r="D45" s="6" t="s">
        <v>22</v>
      </c>
      <c r="E45" t="s">
        <v>21</v>
      </c>
      <c r="G45" s="6" t="s">
        <v>968</v>
      </c>
      <c r="H45" s="59" t="s">
        <v>1019</v>
      </c>
      <c r="I45" s="58" t="s">
        <v>897</v>
      </c>
      <c r="J45" t="s">
        <v>829</v>
      </c>
      <c r="K45" t="s">
        <v>830</v>
      </c>
      <c r="L45" t="s">
        <v>1038</v>
      </c>
      <c r="M45" t="s">
        <v>1163</v>
      </c>
      <c r="N45" s="57">
        <v>1200</v>
      </c>
      <c r="O45" t="s">
        <v>100</v>
      </c>
      <c r="P45" t="s">
        <v>93</v>
      </c>
      <c r="Q45" s="3">
        <v>46118</v>
      </c>
      <c r="R45" s="10">
        <f t="shared" ca="1" si="0"/>
        <v>46229</v>
      </c>
      <c r="S45" s="7">
        <f t="shared" ca="1" si="1"/>
        <v>0.30410958904109592</v>
      </c>
    </row>
    <row r="46" spans="1:19" x14ac:dyDescent="0.25">
      <c r="A46">
        <v>947316</v>
      </c>
      <c r="B46" t="s">
        <v>1527</v>
      </c>
      <c r="C46" t="s">
        <v>1044</v>
      </c>
      <c r="D46" s="6" t="s">
        <v>22</v>
      </c>
      <c r="E46" t="s">
        <v>21</v>
      </c>
      <c r="G46" s="6" t="s">
        <v>968</v>
      </c>
      <c r="H46" s="59" t="s">
        <v>1019</v>
      </c>
      <c r="I46" s="58" t="s">
        <v>897</v>
      </c>
      <c r="J46" t="s">
        <v>829</v>
      </c>
      <c r="K46" t="s">
        <v>830</v>
      </c>
      <c r="L46" t="s">
        <v>25</v>
      </c>
      <c r="M46" t="s">
        <v>1163</v>
      </c>
      <c r="N46" s="57">
        <v>1200</v>
      </c>
      <c r="O46" t="s">
        <v>100</v>
      </c>
      <c r="P46" t="s">
        <v>93</v>
      </c>
      <c r="Q46" s="3">
        <v>46163</v>
      </c>
      <c r="R46" s="10">
        <f t="shared" ca="1" si="0"/>
        <v>46229</v>
      </c>
      <c r="S46" s="7">
        <f t="shared" ca="1" si="1"/>
        <v>0.18082191780821918</v>
      </c>
    </row>
    <row r="47" spans="1:19" x14ac:dyDescent="0.25">
      <c r="A47">
        <v>1229869</v>
      </c>
      <c r="B47" t="s">
        <v>1224</v>
      </c>
      <c r="C47" t="s">
        <v>17</v>
      </c>
      <c r="D47" s="6" t="s">
        <v>22</v>
      </c>
      <c r="E47" t="s">
        <v>102</v>
      </c>
      <c r="G47" s="6" t="s">
        <v>971</v>
      </c>
      <c r="H47" s="59" t="s">
        <v>1010</v>
      </c>
      <c r="I47" s="58" t="s">
        <v>896</v>
      </c>
      <c r="J47" t="s">
        <v>894</v>
      </c>
      <c r="K47" t="s">
        <v>845</v>
      </c>
      <c r="L47" t="s">
        <v>1038</v>
      </c>
      <c r="M47" t="s">
        <v>1163</v>
      </c>
      <c r="N47" s="57">
        <v>1300</v>
      </c>
      <c r="O47" t="s">
        <v>100</v>
      </c>
      <c r="P47" t="s">
        <v>93</v>
      </c>
      <c r="Q47" s="3">
        <v>46125</v>
      </c>
      <c r="R47" s="10">
        <f t="shared" ca="1" si="0"/>
        <v>46229</v>
      </c>
      <c r="S47" s="7">
        <f t="shared" ca="1" si="1"/>
        <v>0.28493150684931506</v>
      </c>
    </row>
    <row r="48" spans="1:19" x14ac:dyDescent="0.25">
      <c r="A48">
        <v>29549</v>
      </c>
      <c r="B48" t="s">
        <v>352</v>
      </c>
      <c r="C48" t="s">
        <v>17</v>
      </c>
      <c r="D48" s="6" t="s">
        <v>22</v>
      </c>
      <c r="E48" t="s">
        <v>102</v>
      </c>
      <c r="G48" s="6" t="s">
        <v>971</v>
      </c>
      <c r="H48" s="59" t="s">
        <v>1010</v>
      </c>
      <c r="I48" s="58" t="s">
        <v>896</v>
      </c>
      <c r="J48" t="s">
        <v>894</v>
      </c>
      <c r="K48" t="s">
        <v>845</v>
      </c>
      <c r="L48" t="s">
        <v>1038</v>
      </c>
      <c r="M48" t="s">
        <v>1163</v>
      </c>
      <c r="N48" s="57">
        <v>1200</v>
      </c>
      <c r="O48" t="s">
        <v>100</v>
      </c>
      <c r="P48" t="s">
        <v>38</v>
      </c>
      <c r="Q48" s="3">
        <v>45747</v>
      </c>
      <c r="R48" s="10">
        <f t="shared" ca="1" si="0"/>
        <v>46229</v>
      </c>
      <c r="S48" s="7">
        <f t="shared" ca="1" si="1"/>
        <v>1.3205479452054794</v>
      </c>
    </row>
    <row r="49" spans="1:19" x14ac:dyDescent="0.25">
      <c r="A49">
        <v>37249</v>
      </c>
      <c r="B49" t="s">
        <v>414</v>
      </c>
      <c r="C49" t="s">
        <v>17</v>
      </c>
      <c r="D49" s="6" t="s">
        <v>22</v>
      </c>
      <c r="E49" t="s">
        <v>102</v>
      </c>
      <c r="G49" s="6" t="s">
        <v>971</v>
      </c>
      <c r="H49" s="59" t="s">
        <v>1010</v>
      </c>
      <c r="I49" s="58" t="s">
        <v>896</v>
      </c>
      <c r="J49" t="s">
        <v>894</v>
      </c>
      <c r="K49" t="s">
        <v>845</v>
      </c>
      <c r="L49" t="s">
        <v>1038</v>
      </c>
      <c r="M49" t="s">
        <v>1163</v>
      </c>
      <c r="N49" s="57">
        <v>1200</v>
      </c>
      <c r="O49" t="s">
        <v>100</v>
      </c>
      <c r="P49" t="s">
        <v>93</v>
      </c>
      <c r="Q49" s="3">
        <v>45615</v>
      </c>
      <c r="R49" s="10">
        <f t="shared" ca="1" si="0"/>
        <v>46229</v>
      </c>
      <c r="S49" s="7">
        <f t="shared" ca="1" si="1"/>
        <v>1.6821917808219178</v>
      </c>
    </row>
    <row r="50" spans="1:19" x14ac:dyDescent="0.25">
      <c r="A50">
        <v>4055778</v>
      </c>
      <c r="B50" t="s">
        <v>1000</v>
      </c>
      <c r="C50" t="s">
        <v>17</v>
      </c>
      <c r="D50" s="6" t="s">
        <v>22</v>
      </c>
      <c r="E50" t="s">
        <v>102</v>
      </c>
      <c r="G50" s="6" t="s">
        <v>971</v>
      </c>
      <c r="H50" s="59" t="s">
        <v>1010</v>
      </c>
      <c r="I50" s="58" t="s">
        <v>896</v>
      </c>
      <c r="J50" t="s">
        <v>894</v>
      </c>
      <c r="K50" t="s">
        <v>845</v>
      </c>
      <c r="L50" t="s">
        <v>1038</v>
      </c>
      <c r="M50" t="s">
        <v>1163</v>
      </c>
      <c r="N50" s="57">
        <v>1200</v>
      </c>
      <c r="O50" t="s">
        <v>100</v>
      </c>
      <c r="P50" t="s">
        <v>93</v>
      </c>
      <c r="Q50" s="3">
        <v>44658</v>
      </c>
      <c r="R50" s="10">
        <f t="shared" ca="1" si="0"/>
        <v>46229</v>
      </c>
      <c r="S50" s="7">
        <f t="shared" ca="1" si="1"/>
        <v>4.3041095890410963</v>
      </c>
    </row>
    <row r="51" spans="1:19" x14ac:dyDescent="0.25">
      <c r="A51">
        <v>4064868</v>
      </c>
      <c r="B51" t="s">
        <v>512</v>
      </c>
      <c r="C51" t="s">
        <v>17</v>
      </c>
      <c r="D51" s="6" t="s">
        <v>22</v>
      </c>
      <c r="E51" t="s">
        <v>102</v>
      </c>
      <c r="G51" s="6" t="s">
        <v>971</v>
      </c>
      <c r="H51" s="59" t="s">
        <v>1010</v>
      </c>
      <c r="I51" s="58" t="s">
        <v>896</v>
      </c>
      <c r="J51" t="s">
        <v>894</v>
      </c>
      <c r="K51" t="s">
        <v>845</v>
      </c>
      <c r="L51" t="s">
        <v>1038</v>
      </c>
      <c r="M51" t="s">
        <v>1163</v>
      </c>
      <c r="N51" s="57">
        <v>1200</v>
      </c>
      <c r="O51" t="s">
        <v>100</v>
      </c>
      <c r="P51" t="s">
        <v>93</v>
      </c>
      <c r="Q51" s="3">
        <v>45817</v>
      </c>
      <c r="R51" s="10">
        <f t="shared" ca="1" si="0"/>
        <v>46229</v>
      </c>
      <c r="S51" s="7">
        <f t="shared" ca="1" si="1"/>
        <v>1.1287671232876713</v>
      </c>
    </row>
    <row r="52" spans="1:19" x14ac:dyDescent="0.25">
      <c r="A52">
        <v>4075577</v>
      </c>
      <c r="B52" t="s">
        <v>536</v>
      </c>
      <c r="C52" t="s">
        <v>17</v>
      </c>
      <c r="D52" s="6" t="s">
        <v>22</v>
      </c>
      <c r="E52" t="s">
        <v>102</v>
      </c>
      <c r="G52" s="6" t="s">
        <v>971</v>
      </c>
      <c r="H52" s="59" t="s">
        <v>1010</v>
      </c>
      <c r="I52" s="58" t="s">
        <v>896</v>
      </c>
      <c r="J52" t="s">
        <v>894</v>
      </c>
      <c r="K52" t="s">
        <v>845</v>
      </c>
      <c r="L52" t="s">
        <v>1038</v>
      </c>
      <c r="M52" t="s">
        <v>1163</v>
      </c>
      <c r="N52" s="57">
        <v>1300</v>
      </c>
      <c r="O52" t="s">
        <v>100</v>
      </c>
      <c r="P52" t="s">
        <v>93</v>
      </c>
      <c r="Q52" s="3">
        <v>44914</v>
      </c>
      <c r="R52" s="10">
        <f t="shared" ca="1" si="0"/>
        <v>46229</v>
      </c>
      <c r="S52" s="7">
        <f t="shared" ca="1" si="1"/>
        <v>3.6027397260273974</v>
      </c>
    </row>
    <row r="53" spans="1:19" x14ac:dyDescent="0.25">
      <c r="A53">
        <v>4094652</v>
      </c>
      <c r="B53" t="s">
        <v>580</v>
      </c>
      <c r="C53" t="s">
        <v>17</v>
      </c>
      <c r="D53" s="6" t="s">
        <v>22</v>
      </c>
      <c r="E53" t="s">
        <v>80</v>
      </c>
      <c r="G53" s="6" t="s">
        <v>971</v>
      </c>
      <c r="H53" s="59" t="s">
        <v>1010</v>
      </c>
      <c r="I53" s="58" t="s">
        <v>896</v>
      </c>
      <c r="J53" t="s">
        <v>894</v>
      </c>
      <c r="K53" t="s">
        <v>845</v>
      </c>
      <c r="L53" t="s">
        <v>1038</v>
      </c>
      <c r="M53" t="s">
        <v>1163</v>
      </c>
      <c r="N53" s="57">
        <v>1200</v>
      </c>
      <c r="O53" t="s">
        <v>100</v>
      </c>
      <c r="P53" t="s">
        <v>93</v>
      </c>
      <c r="Q53" s="3">
        <v>45166</v>
      </c>
      <c r="R53" s="10">
        <f t="shared" ca="1" si="0"/>
        <v>46229</v>
      </c>
      <c r="S53" s="7">
        <f t="shared" ca="1" si="1"/>
        <v>2.9123287671232876</v>
      </c>
    </row>
    <row r="54" spans="1:19" x14ac:dyDescent="0.25">
      <c r="A54">
        <v>4124193</v>
      </c>
      <c r="B54" t="s">
        <v>1659</v>
      </c>
      <c r="C54" t="s">
        <v>1044</v>
      </c>
      <c r="D54" s="6" t="s">
        <v>22</v>
      </c>
      <c r="E54" t="s">
        <v>21</v>
      </c>
      <c r="G54" s="6" t="s">
        <v>971</v>
      </c>
      <c r="H54" s="59" t="s">
        <v>1010</v>
      </c>
      <c r="I54" s="58" t="s">
        <v>896</v>
      </c>
      <c r="J54" t="s">
        <v>894</v>
      </c>
      <c r="K54" t="s">
        <v>845</v>
      </c>
      <c r="L54" t="s">
        <v>1038</v>
      </c>
      <c r="M54" t="s">
        <v>1163</v>
      </c>
      <c r="N54" s="57">
        <v>1200</v>
      </c>
      <c r="O54" t="s">
        <v>100</v>
      </c>
      <c r="P54" t="s">
        <v>93</v>
      </c>
      <c r="Q54" s="3">
        <v>46170</v>
      </c>
      <c r="R54" s="10">
        <f t="shared" ca="1" si="0"/>
        <v>46229</v>
      </c>
      <c r="S54" s="7">
        <f t="shared" ca="1" si="1"/>
        <v>0.16164383561643836</v>
      </c>
    </row>
    <row r="55" spans="1:19" x14ac:dyDescent="0.25">
      <c r="A55">
        <v>4124251</v>
      </c>
      <c r="B55" t="s">
        <v>1706</v>
      </c>
      <c r="C55" t="s">
        <v>1044</v>
      </c>
      <c r="D55" s="6" t="s">
        <v>22</v>
      </c>
      <c r="E55" t="s">
        <v>21</v>
      </c>
      <c r="G55" s="6" t="s">
        <v>971</v>
      </c>
      <c r="H55" s="59" t="s">
        <v>1010</v>
      </c>
      <c r="I55" s="58" t="s">
        <v>896</v>
      </c>
      <c r="J55" t="s">
        <v>894</v>
      </c>
      <c r="K55" t="s">
        <v>845</v>
      </c>
      <c r="L55" t="s">
        <v>1038</v>
      </c>
      <c r="M55" t="s">
        <v>1163</v>
      </c>
      <c r="N55" s="57">
        <v>1200</v>
      </c>
      <c r="O55" t="s">
        <v>100</v>
      </c>
      <c r="P55" t="s">
        <v>93</v>
      </c>
      <c r="Q55" s="3">
        <v>46170</v>
      </c>
      <c r="R55" s="10">
        <f t="shared" ca="1" si="0"/>
        <v>46229</v>
      </c>
      <c r="S55" s="7">
        <f t="shared" ca="1" si="1"/>
        <v>0.16164383561643836</v>
      </c>
    </row>
    <row r="56" spans="1:19" x14ac:dyDescent="0.25">
      <c r="A56">
        <v>575211</v>
      </c>
      <c r="B56" t="s">
        <v>706</v>
      </c>
      <c r="C56" t="s">
        <v>17</v>
      </c>
      <c r="D56" s="6" t="s">
        <v>22</v>
      </c>
      <c r="E56" t="s">
        <v>102</v>
      </c>
      <c r="G56" s="6" t="s">
        <v>971</v>
      </c>
      <c r="H56" s="59" t="s">
        <v>1010</v>
      </c>
      <c r="I56" s="58" t="s">
        <v>896</v>
      </c>
      <c r="J56" t="s">
        <v>894</v>
      </c>
      <c r="K56" t="s">
        <v>845</v>
      </c>
      <c r="L56" t="s">
        <v>1038</v>
      </c>
      <c r="M56" t="s">
        <v>1163</v>
      </c>
      <c r="N56" s="57">
        <v>1200</v>
      </c>
      <c r="O56" t="s">
        <v>100</v>
      </c>
      <c r="P56" t="s">
        <v>38</v>
      </c>
      <c r="Q56" s="3">
        <v>45488</v>
      </c>
      <c r="R56" s="10">
        <f t="shared" ca="1" si="0"/>
        <v>46229</v>
      </c>
      <c r="S56" s="7">
        <f t="shared" ca="1" si="1"/>
        <v>2.0301369863013701</v>
      </c>
    </row>
    <row r="57" spans="1:19" x14ac:dyDescent="0.25">
      <c r="A57">
        <v>4124194</v>
      </c>
      <c r="B57" t="s">
        <v>1660</v>
      </c>
      <c r="C57" t="s">
        <v>1044</v>
      </c>
      <c r="D57" s="6" t="s">
        <v>22</v>
      </c>
      <c r="E57" t="s">
        <v>21</v>
      </c>
      <c r="G57" s="6" t="s">
        <v>971</v>
      </c>
      <c r="H57" s="59" t="s">
        <v>1010</v>
      </c>
      <c r="I57" s="58" t="s">
        <v>896</v>
      </c>
      <c r="J57" t="s">
        <v>894</v>
      </c>
      <c r="K57" t="s">
        <v>845</v>
      </c>
      <c r="L57" t="s">
        <v>1038</v>
      </c>
      <c r="M57" t="s">
        <v>1163</v>
      </c>
      <c r="N57" s="57">
        <v>1200</v>
      </c>
      <c r="O57" t="s">
        <v>100</v>
      </c>
      <c r="P57" t="s">
        <v>93</v>
      </c>
      <c r="Q57" s="3">
        <v>46170</v>
      </c>
      <c r="R57" s="10">
        <f t="shared" ca="1" si="0"/>
        <v>46229</v>
      </c>
      <c r="S57" s="7">
        <f t="shared" ca="1" si="1"/>
        <v>0.16164383561643836</v>
      </c>
    </row>
    <row r="58" spans="1:19" x14ac:dyDescent="0.25">
      <c r="A58">
        <v>28332</v>
      </c>
      <c r="B58" t="s">
        <v>1580</v>
      </c>
      <c r="C58" t="s">
        <v>17</v>
      </c>
      <c r="D58" s="6" t="s">
        <v>22</v>
      </c>
      <c r="E58" t="s">
        <v>66</v>
      </c>
      <c r="G58" s="6" t="s">
        <v>970</v>
      </c>
      <c r="H58" s="59" t="s">
        <v>1029</v>
      </c>
      <c r="I58" s="58" t="s">
        <v>42</v>
      </c>
      <c r="J58" t="s">
        <v>1830</v>
      </c>
      <c r="K58" t="s">
        <v>99</v>
      </c>
      <c r="L58" t="s">
        <v>1038</v>
      </c>
      <c r="M58" t="s">
        <v>1163</v>
      </c>
      <c r="N58" s="57">
        <v>1400</v>
      </c>
      <c r="O58" t="s">
        <v>100</v>
      </c>
      <c r="P58" t="s">
        <v>1799</v>
      </c>
      <c r="Q58" s="3">
        <v>39517</v>
      </c>
      <c r="R58" s="10">
        <f t="shared" ca="1" si="0"/>
        <v>46229</v>
      </c>
      <c r="S58" s="7">
        <f t="shared" ca="1" si="1"/>
        <v>18.389041095890413</v>
      </c>
    </row>
    <row r="59" spans="1:19" x14ac:dyDescent="0.25">
      <c r="A59">
        <v>1007471</v>
      </c>
      <c r="B59" t="s">
        <v>114</v>
      </c>
      <c r="C59" t="s">
        <v>17</v>
      </c>
      <c r="D59" s="6" t="s">
        <v>39</v>
      </c>
      <c r="E59" t="s">
        <v>1579</v>
      </c>
      <c r="G59" s="6" t="s">
        <v>1849</v>
      </c>
      <c r="H59" s="59" t="s">
        <v>92</v>
      </c>
      <c r="I59" s="58" t="s">
        <v>840</v>
      </c>
      <c r="J59" t="s">
        <v>841</v>
      </c>
      <c r="K59" t="s">
        <v>842</v>
      </c>
      <c r="L59" t="s">
        <v>25</v>
      </c>
      <c r="M59" t="s">
        <v>1163</v>
      </c>
      <c r="N59" s="57">
        <v>6420</v>
      </c>
      <c r="O59" t="s">
        <v>100</v>
      </c>
      <c r="P59" t="s">
        <v>93</v>
      </c>
      <c r="Q59" s="3">
        <v>45495</v>
      </c>
      <c r="R59" s="10">
        <f t="shared" ca="1" si="0"/>
        <v>46229</v>
      </c>
      <c r="S59" s="7">
        <f t="shared" ca="1" si="1"/>
        <v>2.010958904109589</v>
      </c>
    </row>
    <row r="60" spans="1:19" x14ac:dyDescent="0.25">
      <c r="A60">
        <v>575119</v>
      </c>
      <c r="B60" t="s">
        <v>978</v>
      </c>
      <c r="C60" t="s">
        <v>17</v>
      </c>
      <c r="D60" s="6" t="s">
        <v>39</v>
      </c>
      <c r="E60" t="s">
        <v>1414</v>
      </c>
      <c r="G60" s="6" t="s">
        <v>1846</v>
      </c>
      <c r="H60" s="59" t="s">
        <v>92</v>
      </c>
      <c r="I60" s="58" t="s">
        <v>96</v>
      </c>
      <c r="J60" t="s">
        <v>97</v>
      </c>
      <c r="K60" t="s">
        <v>981</v>
      </c>
      <c r="L60" t="s">
        <v>966</v>
      </c>
      <c r="M60" t="s">
        <v>1163</v>
      </c>
      <c r="N60" s="57">
        <v>5110</v>
      </c>
      <c r="O60" t="s">
        <v>100</v>
      </c>
      <c r="P60" t="s">
        <v>38</v>
      </c>
      <c r="Q60" s="3">
        <v>40770</v>
      </c>
      <c r="R60" s="10">
        <f t="shared" ca="1" si="0"/>
        <v>46229</v>
      </c>
      <c r="S60" s="7">
        <f t="shared" ca="1" si="1"/>
        <v>14.956164383561644</v>
      </c>
    </row>
    <row r="61" spans="1:19" x14ac:dyDescent="0.25">
      <c r="A61">
        <v>1220565</v>
      </c>
      <c r="B61" t="s">
        <v>292</v>
      </c>
      <c r="C61" t="s">
        <v>17</v>
      </c>
      <c r="D61" s="6" t="s">
        <v>22</v>
      </c>
      <c r="E61" t="s">
        <v>72</v>
      </c>
      <c r="G61" s="6" t="s">
        <v>1850</v>
      </c>
      <c r="H61" s="59" t="s">
        <v>1018</v>
      </c>
      <c r="I61" s="58" t="s">
        <v>899</v>
      </c>
      <c r="J61" t="s">
        <v>1795</v>
      </c>
      <c r="K61" t="s">
        <v>31</v>
      </c>
      <c r="L61" t="s">
        <v>966</v>
      </c>
      <c r="M61" t="s">
        <v>1163</v>
      </c>
      <c r="N61" s="57">
        <v>1300</v>
      </c>
      <c r="O61" t="s">
        <v>100</v>
      </c>
      <c r="P61" t="s">
        <v>93</v>
      </c>
      <c r="Q61" s="3">
        <v>45964</v>
      </c>
      <c r="R61" s="10">
        <f t="shared" ca="1" si="0"/>
        <v>46229</v>
      </c>
      <c r="S61" s="7">
        <f t="shared" ca="1" si="1"/>
        <v>0.72602739726027399</v>
      </c>
    </row>
    <row r="62" spans="1:19" x14ac:dyDescent="0.25">
      <c r="A62">
        <v>4047680</v>
      </c>
      <c r="B62" t="s">
        <v>474</v>
      </c>
      <c r="C62" t="s">
        <v>17</v>
      </c>
      <c r="D62" s="6" t="s">
        <v>22</v>
      </c>
      <c r="E62" t="s">
        <v>72</v>
      </c>
      <c r="G62" s="6" t="s">
        <v>1850</v>
      </c>
      <c r="H62" s="59" t="s">
        <v>1018</v>
      </c>
      <c r="I62" s="58" t="s">
        <v>899</v>
      </c>
      <c r="J62" t="s">
        <v>1795</v>
      </c>
      <c r="K62" t="s">
        <v>31</v>
      </c>
      <c r="L62" t="s">
        <v>966</v>
      </c>
      <c r="M62" t="s">
        <v>1163</v>
      </c>
      <c r="N62" s="57">
        <v>1300</v>
      </c>
      <c r="O62" t="s">
        <v>100</v>
      </c>
      <c r="P62" t="s">
        <v>93</v>
      </c>
      <c r="Q62" s="3">
        <v>44574</v>
      </c>
      <c r="R62" s="10">
        <f t="shared" ca="1" si="0"/>
        <v>46229</v>
      </c>
      <c r="S62" s="7">
        <f t="shared" ca="1" si="1"/>
        <v>4.5342465753424657</v>
      </c>
    </row>
    <row r="63" spans="1:19" x14ac:dyDescent="0.25">
      <c r="A63">
        <v>4109655</v>
      </c>
      <c r="B63" t="s">
        <v>669</v>
      </c>
      <c r="C63" t="s">
        <v>17</v>
      </c>
      <c r="D63" s="6" t="s">
        <v>22</v>
      </c>
      <c r="E63" t="s">
        <v>72</v>
      </c>
      <c r="G63" s="6" t="s">
        <v>1850</v>
      </c>
      <c r="H63" s="59" t="s">
        <v>1018</v>
      </c>
      <c r="I63" s="58" t="s">
        <v>899</v>
      </c>
      <c r="J63" t="s">
        <v>1795</v>
      </c>
      <c r="K63" t="s">
        <v>31</v>
      </c>
      <c r="L63" t="s">
        <v>91</v>
      </c>
      <c r="M63" t="s">
        <v>1163</v>
      </c>
      <c r="N63" s="57">
        <v>1300</v>
      </c>
      <c r="O63" t="s">
        <v>100</v>
      </c>
      <c r="P63" t="s">
        <v>93</v>
      </c>
      <c r="Q63" s="3">
        <v>45666</v>
      </c>
      <c r="R63" s="10">
        <f t="shared" ca="1" si="0"/>
        <v>46229</v>
      </c>
      <c r="S63" s="7">
        <f t="shared" ca="1" si="1"/>
        <v>1.5424657534246575</v>
      </c>
    </row>
    <row r="64" spans="1:19" x14ac:dyDescent="0.25">
      <c r="A64">
        <v>1174287</v>
      </c>
      <c r="B64" t="s">
        <v>209</v>
      </c>
      <c r="C64" t="s">
        <v>17</v>
      </c>
      <c r="D64" s="6" t="s">
        <v>22</v>
      </c>
      <c r="E64" t="s">
        <v>67</v>
      </c>
      <c r="G64" s="6" t="s">
        <v>968</v>
      </c>
      <c r="H64" s="59" t="s">
        <v>1011</v>
      </c>
      <c r="I64" s="58" t="s">
        <v>928</v>
      </c>
      <c r="J64" t="s">
        <v>929</v>
      </c>
      <c r="K64" t="s">
        <v>37</v>
      </c>
      <c r="L64" t="s">
        <v>25</v>
      </c>
      <c r="M64" t="s">
        <v>1163</v>
      </c>
      <c r="N64" s="57">
        <v>1200</v>
      </c>
      <c r="O64" t="s">
        <v>100</v>
      </c>
      <c r="P64" t="s">
        <v>93</v>
      </c>
      <c r="Q64" s="3">
        <v>44970</v>
      </c>
      <c r="R64" s="10">
        <f t="shared" ca="1" si="0"/>
        <v>46229</v>
      </c>
      <c r="S64" s="7">
        <f t="shared" ca="1" si="1"/>
        <v>3.4493150684931506</v>
      </c>
    </row>
    <row r="65" spans="1:19" x14ac:dyDescent="0.25">
      <c r="A65">
        <v>4066271</v>
      </c>
      <c r="B65" t="s">
        <v>518</v>
      </c>
      <c r="C65" t="s">
        <v>17</v>
      </c>
      <c r="D65" s="6" t="s">
        <v>39</v>
      </c>
      <c r="E65" t="s">
        <v>67</v>
      </c>
      <c r="G65" s="6" t="s">
        <v>1011</v>
      </c>
      <c r="H65" s="59" t="s">
        <v>92</v>
      </c>
      <c r="I65" s="58" t="s">
        <v>928</v>
      </c>
      <c r="J65" t="s">
        <v>929</v>
      </c>
      <c r="K65" t="s">
        <v>37</v>
      </c>
      <c r="L65" t="s">
        <v>1038</v>
      </c>
      <c r="M65" t="s">
        <v>1163</v>
      </c>
      <c r="N65" s="57">
        <v>5700</v>
      </c>
      <c r="O65" t="s">
        <v>100</v>
      </c>
      <c r="P65" t="s">
        <v>38</v>
      </c>
      <c r="Q65" s="3">
        <v>44812</v>
      </c>
      <c r="R65" s="10">
        <f t="shared" ca="1" si="0"/>
        <v>46229</v>
      </c>
      <c r="S65" s="7">
        <f t="shared" ca="1" si="1"/>
        <v>3.882191780821918</v>
      </c>
    </row>
    <row r="66" spans="1:19" x14ac:dyDescent="0.25">
      <c r="A66">
        <v>982384</v>
      </c>
      <c r="B66" t="s">
        <v>802</v>
      </c>
      <c r="C66" t="s">
        <v>17</v>
      </c>
      <c r="D66" s="6" t="s">
        <v>39</v>
      </c>
      <c r="E66" t="s">
        <v>67</v>
      </c>
      <c r="G66" s="6" t="s">
        <v>1011</v>
      </c>
      <c r="H66" s="59" t="s">
        <v>92</v>
      </c>
      <c r="I66" s="58" t="s">
        <v>928</v>
      </c>
      <c r="J66" t="s">
        <v>929</v>
      </c>
      <c r="K66" t="s">
        <v>37</v>
      </c>
      <c r="L66" t="s">
        <v>25</v>
      </c>
      <c r="M66" t="s">
        <v>1163</v>
      </c>
      <c r="N66" s="57">
        <v>5700</v>
      </c>
      <c r="O66" t="s">
        <v>100</v>
      </c>
      <c r="P66" t="s">
        <v>38</v>
      </c>
      <c r="Q66" s="3">
        <v>42816</v>
      </c>
      <c r="R66" s="10">
        <f t="shared" ca="1" si="0"/>
        <v>46229</v>
      </c>
      <c r="S66" s="7">
        <f t="shared" ca="1" si="1"/>
        <v>9.3506849315068497</v>
      </c>
    </row>
    <row r="67" spans="1:19" x14ac:dyDescent="0.25">
      <c r="A67">
        <v>1124451</v>
      </c>
      <c r="B67" t="s">
        <v>155</v>
      </c>
      <c r="C67" t="s">
        <v>17</v>
      </c>
      <c r="D67" s="6" t="s">
        <v>39</v>
      </c>
      <c r="E67" t="s">
        <v>959</v>
      </c>
      <c r="G67" s="6" t="s">
        <v>16</v>
      </c>
      <c r="H67" s="59" t="s">
        <v>1418</v>
      </c>
      <c r="I67" s="58" t="s">
        <v>876</v>
      </c>
      <c r="J67" t="s">
        <v>877</v>
      </c>
      <c r="K67" t="s">
        <v>27</v>
      </c>
      <c r="L67" t="s">
        <v>966</v>
      </c>
      <c r="M67" t="s">
        <v>1163</v>
      </c>
      <c r="N67" s="57">
        <v>6900</v>
      </c>
      <c r="O67" t="s">
        <v>100</v>
      </c>
      <c r="P67" t="s">
        <v>93</v>
      </c>
      <c r="Q67" s="3">
        <v>44256</v>
      </c>
      <c r="R67" s="10">
        <f t="shared" ref="R67:R130" ca="1" si="2">TODAY()</f>
        <v>46229</v>
      </c>
      <c r="S67" s="7">
        <f t="shared" ref="S67:S130" ca="1" si="3">(R67-Q67)/365</f>
        <v>5.4054794520547942</v>
      </c>
    </row>
    <row r="68" spans="1:19" x14ac:dyDescent="0.25">
      <c r="A68">
        <v>1232850</v>
      </c>
      <c r="B68" t="s">
        <v>1505</v>
      </c>
      <c r="C68" t="s">
        <v>17</v>
      </c>
      <c r="D68" s="6" t="s">
        <v>39</v>
      </c>
      <c r="E68" t="s">
        <v>64</v>
      </c>
      <c r="G68" s="6" t="s">
        <v>16</v>
      </c>
      <c r="H68" s="59" t="s">
        <v>92</v>
      </c>
      <c r="I68" s="58" t="s">
        <v>876</v>
      </c>
      <c r="J68" t="s">
        <v>877</v>
      </c>
      <c r="K68" t="s">
        <v>27</v>
      </c>
      <c r="L68" t="s">
        <v>966</v>
      </c>
      <c r="M68" t="s">
        <v>1163</v>
      </c>
      <c r="N68" s="57">
        <v>6900</v>
      </c>
      <c r="O68" t="s">
        <v>100</v>
      </c>
      <c r="P68" t="s">
        <v>38</v>
      </c>
      <c r="Q68" s="3">
        <v>46167</v>
      </c>
      <c r="R68" s="10">
        <f t="shared" ca="1" si="2"/>
        <v>46229</v>
      </c>
      <c r="S68" s="7">
        <f t="shared" ca="1" si="3"/>
        <v>0.16986301369863013</v>
      </c>
    </row>
    <row r="69" spans="1:19" x14ac:dyDescent="0.25">
      <c r="A69">
        <v>980847</v>
      </c>
      <c r="B69" t="s">
        <v>1826</v>
      </c>
      <c r="C69" t="s">
        <v>17</v>
      </c>
      <c r="D69" s="6" t="s">
        <v>39</v>
      </c>
      <c r="E69" t="s">
        <v>64</v>
      </c>
      <c r="G69" s="6" t="s">
        <v>16</v>
      </c>
      <c r="H69" s="59" t="s">
        <v>1418</v>
      </c>
      <c r="I69" s="58" t="s">
        <v>876</v>
      </c>
      <c r="J69" t="s">
        <v>877</v>
      </c>
      <c r="K69" t="s">
        <v>27</v>
      </c>
      <c r="L69" t="s">
        <v>966</v>
      </c>
      <c r="M69" t="s">
        <v>1163</v>
      </c>
      <c r="N69" s="57">
        <v>6900</v>
      </c>
      <c r="O69" t="s">
        <v>100</v>
      </c>
      <c r="P69" t="s">
        <v>38</v>
      </c>
      <c r="Q69" s="3">
        <v>45173</v>
      </c>
      <c r="R69" s="10">
        <f t="shared" ca="1" si="2"/>
        <v>46229</v>
      </c>
      <c r="S69" s="7">
        <f t="shared" ca="1" si="3"/>
        <v>2.893150684931507</v>
      </c>
    </row>
    <row r="70" spans="1:19" x14ac:dyDescent="0.25">
      <c r="A70">
        <v>31676</v>
      </c>
      <c r="B70" t="s">
        <v>378</v>
      </c>
      <c r="C70" t="s">
        <v>17</v>
      </c>
      <c r="D70" s="6" t="s">
        <v>39</v>
      </c>
      <c r="E70" t="s">
        <v>64</v>
      </c>
      <c r="G70" s="6" t="s">
        <v>16</v>
      </c>
      <c r="H70" s="59" t="s">
        <v>1418</v>
      </c>
      <c r="I70" s="58" t="s">
        <v>876</v>
      </c>
      <c r="J70" t="s">
        <v>877</v>
      </c>
      <c r="K70" t="s">
        <v>27</v>
      </c>
      <c r="L70" t="s">
        <v>966</v>
      </c>
      <c r="M70" t="s">
        <v>1163</v>
      </c>
      <c r="N70" s="57">
        <v>6900</v>
      </c>
      <c r="O70" t="s">
        <v>100</v>
      </c>
      <c r="P70" t="s">
        <v>93</v>
      </c>
      <c r="Q70" s="3">
        <v>38362</v>
      </c>
      <c r="R70" s="10">
        <f t="shared" ca="1" si="2"/>
        <v>46229</v>
      </c>
      <c r="S70" s="7">
        <f t="shared" ca="1" si="3"/>
        <v>21.553424657534247</v>
      </c>
    </row>
    <row r="71" spans="1:19" x14ac:dyDescent="0.25">
      <c r="A71">
        <v>34665</v>
      </c>
      <c r="B71" t="s">
        <v>402</v>
      </c>
      <c r="C71" t="s">
        <v>17</v>
      </c>
      <c r="D71" s="6" t="s">
        <v>39</v>
      </c>
      <c r="E71" t="s">
        <v>64</v>
      </c>
      <c r="G71" s="6" t="s">
        <v>16</v>
      </c>
      <c r="H71" s="59" t="s">
        <v>1418</v>
      </c>
      <c r="I71" s="58" t="s">
        <v>876</v>
      </c>
      <c r="J71" t="s">
        <v>877</v>
      </c>
      <c r="K71" t="s">
        <v>27</v>
      </c>
      <c r="L71" t="s">
        <v>966</v>
      </c>
      <c r="M71" t="s">
        <v>1163</v>
      </c>
      <c r="N71" s="57">
        <v>6900</v>
      </c>
      <c r="O71" t="s">
        <v>100</v>
      </c>
      <c r="P71" t="s">
        <v>38</v>
      </c>
      <c r="Q71" s="3">
        <v>39868</v>
      </c>
      <c r="R71" s="10">
        <f t="shared" ca="1" si="2"/>
        <v>46229</v>
      </c>
      <c r="S71" s="7">
        <f t="shared" ca="1" si="3"/>
        <v>17.427397260273974</v>
      </c>
    </row>
    <row r="72" spans="1:19" x14ac:dyDescent="0.25">
      <c r="A72">
        <v>1007160</v>
      </c>
      <c r="B72" t="s">
        <v>111</v>
      </c>
      <c r="C72" t="s">
        <v>17</v>
      </c>
      <c r="D72" s="6" t="s">
        <v>22</v>
      </c>
      <c r="E72" t="s">
        <v>66</v>
      </c>
      <c r="G72" s="6" t="s">
        <v>970</v>
      </c>
      <c r="H72" s="59" t="s">
        <v>1030</v>
      </c>
      <c r="I72" s="58" t="s">
        <v>835</v>
      </c>
      <c r="J72" t="s">
        <v>836</v>
      </c>
      <c r="K72" t="s">
        <v>837</v>
      </c>
      <c r="L72" t="s">
        <v>966</v>
      </c>
      <c r="M72" t="s">
        <v>1163</v>
      </c>
      <c r="N72" s="57">
        <v>1400</v>
      </c>
      <c r="O72" t="s">
        <v>100</v>
      </c>
      <c r="P72" t="s">
        <v>93</v>
      </c>
      <c r="Q72" s="3">
        <v>42828</v>
      </c>
      <c r="R72" s="10">
        <f t="shared" ca="1" si="2"/>
        <v>46229</v>
      </c>
      <c r="S72" s="7">
        <f t="shared" ca="1" si="3"/>
        <v>9.3178082191780813</v>
      </c>
    </row>
    <row r="73" spans="1:19" x14ac:dyDescent="0.25">
      <c r="A73">
        <v>30057</v>
      </c>
      <c r="B73" t="s">
        <v>1607</v>
      </c>
      <c r="C73" t="s">
        <v>17</v>
      </c>
      <c r="D73" s="6" t="s">
        <v>22</v>
      </c>
      <c r="E73" t="s">
        <v>66</v>
      </c>
      <c r="G73" s="6" t="s">
        <v>970</v>
      </c>
      <c r="H73" s="59" t="s">
        <v>1030</v>
      </c>
      <c r="I73" s="58" t="s">
        <v>835</v>
      </c>
      <c r="J73" t="s">
        <v>836</v>
      </c>
      <c r="K73" t="s">
        <v>837</v>
      </c>
      <c r="L73" t="s">
        <v>25</v>
      </c>
      <c r="M73" t="s">
        <v>1163</v>
      </c>
      <c r="N73" s="57">
        <v>1400</v>
      </c>
      <c r="O73" t="s">
        <v>100</v>
      </c>
      <c r="P73" t="s">
        <v>93</v>
      </c>
      <c r="Q73" s="3">
        <v>39909</v>
      </c>
      <c r="R73" s="10">
        <f t="shared" ca="1" si="2"/>
        <v>46229</v>
      </c>
      <c r="S73" s="7">
        <f t="shared" ca="1" si="3"/>
        <v>17.315068493150687</v>
      </c>
    </row>
    <row r="74" spans="1:19" x14ac:dyDescent="0.25">
      <c r="A74">
        <v>4059365</v>
      </c>
      <c r="B74" t="s">
        <v>1626</v>
      </c>
      <c r="C74" t="s">
        <v>17</v>
      </c>
      <c r="D74" s="6" t="s">
        <v>22</v>
      </c>
      <c r="E74" t="s">
        <v>66</v>
      </c>
      <c r="G74" s="6" t="s">
        <v>970</v>
      </c>
      <c r="H74" s="59" t="s">
        <v>1030</v>
      </c>
      <c r="I74" s="58" t="s">
        <v>835</v>
      </c>
      <c r="J74" t="s">
        <v>836</v>
      </c>
      <c r="K74" t="s">
        <v>837</v>
      </c>
      <c r="L74" t="s">
        <v>1038</v>
      </c>
      <c r="M74" t="s">
        <v>1163</v>
      </c>
      <c r="N74" s="57">
        <v>1400</v>
      </c>
      <c r="O74" t="s">
        <v>100</v>
      </c>
      <c r="P74" t="s">
        <v>93</v>
      </c>
      <c r="Q74" s="3">
        <v>44718</v>
      </c>
      <c r="R74" s="10">
        <f t="shared" ca="1" si="2"/>
        <v>46229</v>
      </c>
      <c r="S74" s="7">
        <f t="shared" ca="1" si="3"/>
        <v>4.13972602739726</v>
      </c>
    </row>
    <row r="75" spans="1:19" x14ac:dyDescent="0.25">
      <c r="A75">
        <v>32125</v>
      </c>
      <c r="B75" t="s">
        <v>1462</v>
      </c>
      <c r="C75" t="s">
        <v>17</v>
      </c>
      <c r="D75" s="6" t="s">
        <v>22</v>
      </c>
      <c r="E75" t="s">
        <v>66</v>
      </c>
      <c r="G75" s="6" t="s">
        <v>970</v>
      </c>
      <c r="H75" s="59" t="s">
        <v>1030</v>
      </c>
      <c r="I75" s="58" t="s">
        <v>835</v>
      </c>
      <c r="J75" t="s">
        <v>836</v>
      </c>
      <c r="K75" t="s">
        <v>837</v>
      </c>
      <c r="L75" t="s">
        <v>966</v>
      </c>
      <c r="M75" t="s">
        <v>1163</v>
      </c>
      <c r="N75" s="57">
        <v>1400</v>
      </c>
      <c r="O75" t="s">
        <v>100</v>
      </c>
      <c r="P75" t="s">
        <v>93</v>
      </c>
      <c r="Q75" s="3">
        <v>38649</v>
      </c>
      <c r="R75" s="10">
        <f t="shared" ca="1" si="2"/>
        <v>46229</v>
      </c>
      <c r="S75" s="7">
        <f t="shared" ca="1" si="3"/>
        <v>20.767123287671232</v>
      </c>
    </row>
    <row r="76" spans="1:19" x14ac:dyDescent="0.25">
      <c r="A76">
        <v>35977</v>
      </c>
      <c r="B76" t="s">
        <v>411</v>
      </c>
      <c r="C76" t="s">
        <v>17</v>
      </c>
      <c r="D76" s="6" t="s">
        <v>22</v>
      </c>
      <c r="E76" t="s">
        <v>66</v>
      </c>
      <c r="G76" s="6" t="s">
        <v>970</v>
      </c>
      <c r="H76" s="59" t="s">
        <v>1030</v>
      </c>
      <c r="I76" s="58" t="s">
        <v>835</v>
      </c>
      <c r="J76" t="s">
        <v>836</v>
      </c>
      <c r="K76" t="s">
        <v>837</v>
      </c>
      <c r="L76" t="s">
        <v>966</v>
      </c>
      <c r="M76" t="s">
        <v>1163</v>
      </c>
      <c r="N76" s="57">
        <v>1400</v>
      </c>
      <c r="O76" t="s">
        <v>100</v>
      </c>
      <c r="P76" t="s">
        <v>93</v>
      </c>
      <c r="Q76" s="3">
        <v>39216</v>
      </c>
      <c r="R76" s="10">
        <f t="shared" ca="1" si="2"/>
        <v>46229</v>
      </c>
      <c r="S76" s="7">
        <f t="shared" ca="1" si="3"/>
        <v>19.213698630136985</v>
      </c>
    </row>
    <row r="77" spans="1:19" x14ac:dyDescent="0.25">
      <c r="A77">
        <v>4058745</v>
      </c>
      <c r="B77" t="s">
        <v>497</v>
      </c>
      <c r="C77" t="s">
        <v>17</v>
      </c>
      <c r="D77" s="6" t="s">
        <v>22</v>
      </c>
      <c r="E77" t="s">
        <v>66</v>
      </c>
      <c r="G77" s="6" t="s">
        <v>970</v>
      </c>
      <c r="H77" s="59" t="s">
        <v>1030</v>
      </c>
      <c r="I77" s="58" t="s">
        <v>835</v>
      </c>
      <c r="J77" t="s">
        <v>836</v>
      </c>
      <c r="K77" t="s">
        <v>837</v>
      </c>
      <c r="L77" t="s">
        <v>966</v>
      </c>
      <c r="M77" t="s">
        <v>1163</v>
      </c>
      <c r="N77" s="57">
        <v>1400</v>
      </c>
      <c r="O77" t="s">
        <v>100</v>
      </c>
      <c r="P77" t="s">
        <v>93</v>
      </c>
      <c r="Q77" s="3">
        <v>44707</v>
      </c>
      <c r="R77" s="10">
        <f t="shared" ca="1" si="2"/>
        <v>46229</v>
      </c>
      <c r="S77" s="7">
        <f t="shared" ca="1" si="3"/>
        <v>4.1698630136986301</v>
      </c>
    </row>
    <row r="78" spans="1:19" x14ac:dyDescent="0.25">
      <c r="A78">
        <v>42520</v>
      </c>
      <c r="B78" t="s">
        <v>696</v>
      </c>
      <c r="C78" t="s">
        <v>17</v>
      </c>
      <c r="D78" s="6" t="s">
        <v>22</v>
      </c>
      <c r="E78" t="s">
        <v>66</v>
      </c>
      <c r="G78" s="6" t="s">
        <v>970</v>
      </c>
      <c r="H78" s="59" t="s">
        <v>1030</v>
      </c>
      <c r="I78" s="58" t="s">
        <v>835</v>
      </c>
      <c r="J78" t="s">
        <v>836</v>
      </c>
      <c r="K78" t="s">
        <v>837</v>
      </c>
      <c r="L78" t="s">
        <v>1038</v>
      </c>
      <c r="M78" t="s">
        <v>1163</v>
      </c>
      <c r="N78" s="57">
        <v>1400</v>
      </c>
      <c r="O78" t="s">
        <v>100</v>
      </c>
      <c r="P78" t="s">
        <v>38</v>
      </c>
      <c r="Q78" s="3">
        <v>44259</v>
      </c>
      <c r="R78" s="10">
        <f t="shared" ca="1" si="2"/>
        <v>46229</v>
      </c>
      <c r="S78" s="7">
        <f t="shared" ca="1" si="3"/>
        <v>5.397260273972603</v>
      </c>
    </row>
    <row r="79" spans="1:19" x14ac:dyDescent="0.25">
      <c r="A79">
        <v>4026559</v>
      </c>
      <c r="B79" t="s">
        <v>440</v>
      </c>
      <c r="C79" t="s">
        <v>17</v>
      </c>
      <c r="D79" s="6" t="s">
        <v>22</v>
      </c>
      <c r="E79" t="s">
        <v>65</v>
      </c>
      <c r="G79" s="6" t="s">
        <v>967</v>
      </c>
      <c r="H79" s="59" t="s">
        <v>1022</v>
      </c>
      <c r="I79" s="58" t="s">
        <v>1032</v>
      </c>
      <c r="J79" t="s">
        <v>820</v>
      </c>
      <c r="K79" t="s">
        <v>821</v>
      </c>
      <c r="L79" t="s">
        <v>1038</v>
      </c>
      <c r="M79" t="s">
        <v>1163</v>
      </c>
      <c r="N79" s="57">
        <v>1500</v>
      </c>
      <c r="O79" t="s">
        <v>100</v>
      </c>
      <c r="P79" t="s">
        <v>93</v>
      </c>
      <c r="Q79" s="3">
        <v>44105</v>
      </c>
      <c r="R79" s="10">
        <f t="shared" ca="1" si="2"/>
        <v>46229</v>
      </c>
      <c r="S79" s="7">
        <f t="shared" ca="1" si="3"/>
        <v>5.8191780821917805</v>
      </c>
    </row>
    <row r="80" spans="1:19" x14ac:dyDescent="0.25">
      <c r="A80">
        <v>4029499</v>
      </c>
      <c r="B80" t="s">
        <v>1054</v>
      </c>
      <c r="C80" t="s">
        <v>17</v>
      </c>
      <c r="D80" s="6" t="s">
        <v>22</v>
      </c>
      <c r="E80" t="s">
        <v>54</v>
      </c>
      <c r="G80" s="6" t="s">
        <v>967</v>
      </c>
      <c r="H80" s="59" t="s">
        <v>1022</v>
      </c>
      <c r="I80" s="58" t="s">
        <v>1032</v>
      </c>
      <c r="J80" t="s">
        <v>820</v>
      </c>
      <c r="K80" t="s">
        <v>821</v>
      </c>
      <c r="L80" t="s">
        <v>1038</v>
      </c>
      <c r="M80" t="s">
        <v>1163</v>
      </c>
      <c r="N80" s="57">
        <v>1500</v>
      </c>
      <c r="O80" t="s">
        <v>100</v>
      </c>
      <c r="P80" t="s">
        <v>93</v>
      </c>
      <c r="Q80" s="3">
        <v>46072</v>
      </c>
      <c r="R80" s="10">
        <f t="shared" ca="1" si="2"/>
        <v>46229</v>
      </c>
      <c r="S80" s="7">
        <f t="shared" ca="1" si="3"/>
        <v>0.43013698630136987</v>
      </c>
    </row>
    <row r="81" spans="1:19" x14ac:dyDescent="0.25">
      <c r="A81">
        <v>4033714</v>
      </c>
      <c r="B81" t="s">
        <v>1488</v>
      </c>
      <c r="C81" t="s">
        <v>17</v>
      </c>
      <c r="D81" s="6" t="s">
        <v>22</v>
      </c>
      <c r="E81" t="s">
        <v>54</v>
      </c>
      <c r="G81" s="6" t="s">
        <v>967</v>
      </c>
      <c r="H81" s="59" t="s">
        <v>1022</v>
      </c>
      <c r="I81" s="58" t="s">
        <v>1032</v>
      </c>
      <c r="J81" t="s">
        <v>820</v>
      </c>
      <c r="K81" t="s">
        <v>821</v>
      </c>
      <c r="L81" t="s">
        <v>1038</v>
      </c>
      <c r="M81" t="s">
        <v>1163</v>
      </c>
      <c r="N81" s="57">
        <v>1500</v>
      </c>
      <c r="O81" t="s">
        <v>100</v>
      </c>
      <c r="P81" t="s">
        <v>93</v>
      </c>
      <c r="Q81" s="3">
        <v>44235</v>
      </c>
      <c r="R81" s="10">
        <f t="shared" ca="1" si="2"/>
        <v>46229</v>
      </c>
      <c r="S81" s="7">
        <f t="shared" ca="1" si="3"/>
        <v>5.463013698630137</v>
      </c>
    </row>
    <row r="82" spans="1:19" x14ac:dyDescent="0.25">
      <c r="A82">
        <v>4080140</v>
      </c>
      <c r="B82" t="s">
        <v>550</v>
      </c>
      <c r="C82" t="s">
        <v>17</v>
      </c>
      <c r="D82" s="6" t="s">
        <v>22</v>
      </c>
      <c r="E82" t="s">
        <v>54</v>
      </c>
      <c r="G82" s="6" t="s">
        <v>967</v>
      </c>
      <c r="H82" s="59" t="s">
        <v>1022</v>
      </c>
      <c r="I82" s="58" t="s">
        <v>1032</v>
      </c>
      <c r="J82" t="s">
        <v>820</v>
      </c>
      <c r="K82" t="s">
        <v>821</v>
      </c>
      <c r="L82" t="s">
        <v>1038</v>
      </c>
      <c r="M82" t="s">
        <v>1163</v>
      </c>
      <c r="N82" s="57">
        <v>1500</v>
      </c>
      <c r="O82" t="s">
        <v>100</v>
      </c>
      <c r="P82" t="s">
        <v>93</v>
      </c>
      <c r="Q82" s="3">
        <v>44959</v>
      </c>
      <c r="R82" s="10">
        <f t="shared" ca="1" si="2"/>
        <v>46229</v>
      </c>
      <c r="S82" s="7">
        <f t="shared" ca="1" si="3"/>
        <v>3.4794520547945207</v>
      </c>
    </row>
    <row r="83" spans="1:19" x14ac:dyDescent="0.25">
      <c r="A83">
        <v>4117095</v>
      </c>
      <c r="B83" t="s">
        <v>1818</v>
      </c>
      <c r="C83" t="s">
        <v>17</v>
      </c>
      <c r="D83" s="6" t="s">
        <v>22</v>
      </c>
      <c r="E83" t="s">
        <v>54</v>
      </c>
      <c r="G83" s="6" t="s">
        <v>967</v>
      </c>
      <c r="H83" s="59" t="s">
        <v>1022</v>
      </c>
      <c r="I83" s="58" t="s">
        <v>939</v>
      </c>
      <c r="J83" t="s">
        <v>820</v>
      </c>
      <c r="K83" t="s">
        <v>821</v>
      </c>
      <c r="L83" t="s">
        <v>25</v>
      </c>
      <c r="M83" t="s">
        <v>1163</v>
      </c>
      <c r="N83" s="57">
        <v>1500</v>
      </c>
      <c r="O83" t="s">
        <v>100</v>
      </c>
      <c r="P83" t="s">
        <v>93</v>
      </c>
      <c r="Q83" s="3">
        <v>45946</v>
      </c>
      <c r="R83" s="10">
        <f t="shared" ca="1" si="2"/>
        <v>46229</v>
      </c>
      <c r="S83" s="7">
        <f t="shared" ca="1" si="3"/>
        <v>0.77534246575342469</v>
      </c>
    </row>
    <row r="84" spans="1:19" x14ac:dyDescent="0.25">
      <c r="A84">
        <v>4100913</v>
      </c>
      <c r="B84" t="s">
        <v>616</v>
      </c>
      <c r="C84" t="s">
        <v>17</v>
      </c>
      <c r="D84" s="6" t="s">
        <v>22</v>
      </c>
      <c r="E84" t="s">
        <v>54</v>
      </c>
      <c r="G84" s="6" t="s">
        <v>967</v>
      </c>
      <c r="H84" s="59" t="s">
        <v>1022</v>
      </c>
      <c r="I84" s="58" t="s">
        <v>939</v>
      </c>
      <c r="J84" t="s">
        <v>820</v>
      </c>
      <c r="K84" t="s">
        <v>821</v>
      </c>
      <c r="L84" t="s">
        <v>25</v>
      </c>
      <c r="M84" t="s">
        <v>1163</v>
      </c>
      <c r="N84" s="57">
        <v>1200</v>
      </c>
      <c r="O84" t="s">
        <v>100</v>
      </c>
      <c r="P84" t="s">
        <v>93</v>
      </c>
      <c r="Q84" s="3">
        <v>45442</v>
      </c>
      <c r="R84" s="10">
        <f t="shared" ca="1" si="2"/>
        <v>46229</v>
      </c>
      <c r="S84" s="7">
        <f t="shared" ca="1" si="3"/>
        <v>2.1561643835616437</v>
      </c>
    </row>
    <row r="85" spans="1:19" x14ac:dyDescent="0.25">
      <c r="A85">
        <v>4103043</v>
      </c>
      <c r="B85" t="s">
        <v>633</v>
      </c>
      <c r="C85" t="s">
        <v>17</v>
      </c>
      <c r="D85" s="6" t="s">
        <v>22</v>
      </c>
      <c r="E85" t="s">
        <v>54</v>
      </c>
      <c r="G85" s="6" t="s">
        <v>967</v>
      </c>
      <c r="H85" s="59" t="s">
        <v>1022</v>
      </c>
      <c r="I85" s="58" t="s">
        <v>939</v>
      </c>
      <c r="J85" t="s">
        <v>820</v>
      </c>
      <c r="K85" t="s">
        <v>821</v>
      </c>
      <c r="L85" t="s">
        <v>25</v>
      </c>
      <c r="M85" t="s">
        <v>1163</v>
      </c>
      <c r="N85" s="57">
        <v>1500</v>
      </c>
      <c r="O85" t="s">
        <v>100</v>
      </c>
      <c r="P85" t="s">
        <v>93</v>
      </c>
      <c r="Q85" s="3">
        <v>45495</v>
      </c>
      <c r="R85" s="10">
        <f t="shared" ca="1" si="2"/>
        <v>46229</v>
      </c>
      <c r="S85" s="7">
        <f t="shared" ca="1" si="3"/>
        <v>2.010958904109589</v>
      </c>
    </row>
    <row r="86" spans="1:19" x14ac:dyDescent="0.25">
      <c r="A86">
        <v>4110089</v>
      </c>
      <c r="B86" t="s">
        <v>671</v>
      </c>
      <c r="C86" t="s">
        <v>17</v>
      </c>
      <c r="D86" s="6" t="s">
        <v>22</v>
      </c>
      <c r="E86" t="s">
        <v>54</v>
      </c>
      <c r="G86" s="6" t="s">
        <v>967</v>
      </c>
      <c r="H86" s="59" t="s">
        <v>1022</v>
      </c>
      <c r="I86" s="58" t="s">
        <v>939</v>
      </c>
      <c r="J86" t="s">
        <v>820</v>
      </c>
      <c r="K86" t="s">
        <v>821</v>
      </c>
      <c r="L86" t="s">
        <v>25</v>
      </c>
      <c r="M86" t="s">
        <v>1163</v>
      </c>
      <c r="N86" s="57">
        <v>1200</v>
      </c>
      <c r="O86" t="s">
        <v>100</v>
      </c>
      <c r="P86" t="s">
        <v>93</v>
      </c>
      <c r="Q86" s="3">
        <v>45673</v>
      </c>
      <c r="R86" s="10">
        <f t="shared" ca="1" si="2"/>
        <v>46229</v>
      </c>
      <c r="S86" s="7">
        <f t="shared" ca="1" si="3"/>
        <v>1.5232876712328767</v>
      </c>
    </row>
    <row r="87" spans="1:19" x14ac:dyDescent="0.25">
      <c r="A87">
        <v>4122728</v>
      </c>
      <c r="B87" t="s">
        <v>1276</v>
      </c>
      <c r="C87" t="s">
        <v>1044</v>
      </c>
      <c r="D87" s="6" t="s">
        <v>22</v>
      </c>
      <c r="E87" t="s">
        <v>54</v>
      </c>
      <c r="G87" s="6" t="s">
        <v>967</v>
      </c>
      <c r="H87" s="59" t="s">
        <v>1022</v>
      </c>
      <c r="I87" s="58" t="s">
        <v>939</v>
      </c>
      <c r="J87" t="s">
        <v>820</v>
      </c>
      <c r="K87" t="s">
        <v>821</v>
      </c>
      <c r="L87" t="s">
        <v>25</v>
      </c>
      <c r="M87" t="s">
        <v>1163</v>
      </c>
      <c r="N87" s="57">
        <v>1500</v>
      </c>
      <c r="O87" t="s">
        <v>100</v>
      </c>
      <c r="P87" t="s">
        <v>93</v>
      </c>
      <c r="Q87" s="3">
        <v>46121</v>
      </c>
      <c r="R87" s="10">
        <f t="shared" ca="1" si="2"/>
        <v>46229</v>
      </c>
      <c r="S87" s="7">
        <f t="shared" ca="1" si="3"/>
        <v>0.29589041095890412</v>
      </c>
    </row>
    <row r="88" spans="1:19" x14ac:dyDescent="0.25">
      <c r="A88">
        <v>3005377</v>
      </c>
      <c r="B88" t="s">
        <v>1606</v>
      </c>
      <c r="C88" t="s">
        <v>1044</v>
      </c>
      <c r="D88" s="6" t="s">
        <v>22</v>
      </c>
      <c r="E88" t="s">
        <v>21</v>
      </c>
      <c r="G88" s="6" t="s">
        <v>968</v>
      </c>
      <c r="H88" s="59" t="s">
        <v>1020</v>
      </c>
      <c r="I88" s="58" t="s">
        <v>910</v>
      </c>
      <c r="J88" t="s">
        <v>839</v>
      </c>
      <c r="K88" t="s">
        <v>830</v>
      </c>
      <c r="L88" t="s">
        <v>25</v>
      </c>
      <c r="M88" t="s">
        <v>1163</v>
      </c>
      <c r="N88" s="57">
        <v>1200</v>
      </c>
      <c r="O88" t="s">
        <v>100</v>
      </c>
      <c r="P88" t="s">
        <v>93</v>
      </c>
      <c r="Q88" s="3">
        <v>46170</v>
      </c>
      <c r="R88" s="10">
        <f t="shared" ca="1" si="2"/>
        <v>46229</v>
      </c>
      <c r="S88" s="7">
        <f t="shared" ca="1" si="3"/>
        <v>0.16164383561643836</v>
      </c>
    </row>
    <row r="89" spans="1:19" x14ac:dyDescent="0.25">
      <c r="A89">
        <v>36609</v>
      </c>
      <c r="B89" t="s">
        <v>1228</v>
      </c>
      <c r="C89" t="s">
        <v>1044</v>
      </c>
      <c r="D89" s="6" t="s">
        <v>22</v>
      </c>
      <c r="E89" t="s">
        <v>21</v>
      </c>
      <c r="G89" s="6" t="s">
        <v>968</v>
      </c>
      <c r="H89" s="59" t="s">
        <v>1020</v>
      </c>
      <c r="I89" s="58" t="s">
        <v>910</v>
      </c>
      <c r="J89" t="s">
        <v>839</v>
      </c>
      <c r="K89" t="s">
        <v>830</v>
      </c>
      <c r="L89" t="s">
        <v>25</v>
      </c>
      <c r="M89" t="s">
        <v>1163</v>
      </c>
      <c r="N89" s="57">
        <v>1200</v>
      </c>
      <c r="O89" t="s">
        <v>100</v>
      </c>
      <c r="P89" t="s">
        <v>93</v>
      </c>
      <c r="Q89" s="3">
        <v>46121</v>
      </c>
      <c r="R89" s="10">
        <f t="shared" ca="1" si="2"/>
        <v>46229</v>
      </c>
      <c r="S89" s="7">
        <f t="shared" ca="1" si="3"/>
        <v>0.29589041095890412</v>
      </c>
    </row>
    <row r="90" spans="1:19" x14ac:dyDescent="0.25">
      <c r="A90">
        <v>4063223</v>
      </c>
      <c r="B90" t="s">
        <v>1629</v>
      </c>
      <c r="C90" t="s">
        <v>1044</v>
      </c>
      <c r="D90" s="6" t="s">
        <v>22</v>
      </c>
      <c r="E90" t="s">
        <v>21</v>
      </c>
      <c r="G90" s="6" t="s">
        <v>968</v>
      </c>
      <c r="H90" s="59" t="s">
        <v>1020</v>
      </c>
      <c r="I90" s="58" t="s">
        <v>910</v>
      </c>
      <c r="J90" t="s">
        <v>839</v>
      </c>
      <c r="K90" t="s">
        <v>830</v>
      </c>
      <c r="L90" t="s">
        <v>25</v>
      </c>
      <c r="M90" t="s">
        <v>1163</v>
      </c>
      <c r="N90" s="57">
        <v>1200</v>
      </c>
      <c r="O90" t="s">
        <v>100</v>
      </c>
      <c r="P90" t="s">
        <v>93</v>
      </c>
      <c r="Q90" s="3">
        <v>46170</v>
      </c>
      <c r="R90" s="10">
        <f t="shared" ca="1" si="2"/>
        <v>46229</v>
      </c>
      <c r="S90" s="7">
        <f t="shared" ca="1" si="3"/>
        <v>0.16164383561643836</v>
      </c>
    </row>
    <row r="91" spans="1:19" x14ac:dyDescent="0.25">
      <c r="A91">
        <v>4101547</v>
      </c>
      <c r="B91" t="s">
        <v>1366</v>
      </c>
      <c r="C91" t="s">
        <v>1044</v>
      </c>
      <c r="D91" s="6" t="s">
        <v>22</v>
      </c>
      <c r="E91" t="s">
        <v>21</v>
      </c>
      <c r="G91" s="6" t="s">
        <v>968</v>
      </c>
      <c r="H91" s="59" t="s">
        <v>1020</v>
      </c>
      <c r="I91" s="58" t="s">
        <v>910</v>
      </c>
      <c r="J91" t="s">
        <v>839</v>
      </c>
      <c r="K91" t="s">
        <v>830</v>
      </c>
      <c r="L91" t="s">
        <v>25</v>
      </c>
      <c r="M91" t="s">
        <v>1163</v>
      </c>
      <c r="N91" s="57">
        <v>1200</v>
      </c>
      <c r="O91" t="s">
        <v>100</v>
      </c>
      <c r="P91" t="s">
        <v>93</v>
      </c>
      <c r="Q91" s="3">
        <v>46125</v>
      </c>
      <c r="R91" s="10">
        <f t="shared" ca="1" si="2"/>
        <v>46229</v>
      </c>
      <c r="S91" s="7">
        <f t="shared" ca="1" si="3"/>
        <v>0.28493150684931506</v>
      </c>
    </row>
    <row r="92" spans="1:19" x14ac:dyDescent="0.25">
      <c r="A92">
        <v>4124045</v>
      </c>
      <c r="B92" t="s">
        <v>1518</v>
      </c>
      <c r="C92" t="s">
        <v>1044</v>
      </c>
      <c r="D92" s="6" t="s">
        <v>22</v>
      </c>
      <c r="E92" t="s">
        <v>21</v>
      </c>
      <c r="G92" s="6" t="s">
        <v>968</v>
      </c>
      <c r="H92" s="59" t="s">
        <v>1020</v>
      </c>
      <c r="I92" s="58" t="s">
        <v>910</v>
      </c>
      <c r="J92" t="s">
        <v>839</v>
      </c>
      <c r="K92" t="s">
        <v>830</v>
      </c>
      <c r="L92" t="s">
        <v>25</v>
      </c>
      <c r="M92" t="s">
        <v>1163</v>
      </c>
      <c r="N92" s="57">
        <v>1200</v>
      </c>
      <c r="O92" t="s">
        <v>100</v>
      </c>
      <c r="P92" t="s">
        <v>93</v>
      </c>
      <c r="Q92" s="3">
        <v>46163</v>
      </c>
      <c r="R92" s="10">
        <f t="shared" ca="1" si="2"/>
        <v>46229</v>
      </c>
      <c r="S92" s="7">
        <f t="shared" ca="1" si="3"/>
        <v>0.18082191780821918</v>
      </c>
    </row>
    <row r="93" spans="1:19" x14ac:dyDescent="0.25">
      <c r="A93">
        <v>573709</v>
      </c>
      <c r="B93" t="s">
        <v>1780</v>
      </c>
      <c r="C93" t="s">
        <v>1044</v>
      </c>
      <c r="D93" s="6" t="s">
        <v>22</v>
      </c>
      <c r="E93" t="s">
        <v>21</v>
      </c>
      <c r="G93" s="6" t="s">
        <v>968</v>
      </c>
      <c r="H93" s="59" t="s">
        <v>1020</v>
      </c>
      <c r="I93" s="58" t="s">
        <v>910</v>
      </c>
      <c r="J93" t="s">
        <v>839</v>
      </c>
      <c r="K93" t="s">
        <v>830</v>
      </c>
      <c r="L93" t="s">
        <v>25</v>
      </c>
      <c r="M93" t="s">
        <v>1163</v>
      </c>
      <c r="N93" s="57">
        <v>1200</v>
      </c>
      <c r="O93" t="s">
        <v>100</v>
      </c>
      <c r="P93" t="s">
        <v>93</v>
      </c>
      <c r="Q93" s="3">
        <v>46170</v>
      </c>
      <c r="R93" s="10">
        <f t="shared" ca="1" si="2"/>
        <v>46229</v>
      </c>
      <c r="S93" s="7">
        <f t="shared" ca="1" si="3"/>
        <v>0.16164383561643836</v>
      </c>
    </row>
    <row r="94" spans="1:19" x14ac:dyDescent="0.25">
      <c r="A94">
        <v>583834</v>
      </c>
      <c r="B94" t="s">
        <v>1781</v>
      </c>
      <c r="C94" t="s">
        <v>1044</v>
      </c>
      <c r="D94" s="6" t="s">
        <v>22</v>
      </c>
      <c r="E94" t="s">
        <v>21</v>
      </c>
      <c r="G94" s="6" t="s">
        <v>968</v>
      </c>
      <c r="H94" s="59" t="s">
        <v>1020</v>
      </c>
      <c r="I94" s="58" t="s">
        <v>910</v>
      </c>
      <c r="J94" t="s">
        <v>839</v>
      </c>
      <c r="K94" t="s">
        <v>830</v>
      </c>
      <c r="L94" t="s">
        <v>25</v>
      </c>
      <c r="M94" t="s">
        <v>1163</v>
      </c>
      <c r="N94" s="57">
        <v>1200</v>
      </c>
      <c r="O94" t="s">
        <v>100</v>
      </c>
      <c r="P94" t="s">
        <v>93</v>
      </c>
      <c r="Q94" s="3">
        <v>46170</v>
      </c>
      <c r="R94" s="10">
        <f t="shared" ca="1" si="2"/>
        <v>46229</v>
      </c>
      <c r="S94" s="7">
        <f t="shared" ca="1" si="3"/>
        <v>0.16164383561643836</v>
      </c>
    </row>
    <row r="95" spans="1:19" x14ac:dyDescent="0.25">
      <c r="A95">
        <v>4124414</v>
      </c>
      <c r="B95" t="s">
        <v>1766</v>
      </c>
      <c r="C95" t="s">
        <v>1044</v>
      </c>
      <c r="D95" s="6" t="s">
        <v>22</v>
      </c>
      <c r="E95" t="s">
        <v>21</v>
      </c>
      <c r="G95" s="6" t="s">
        <v>968</v>
      </c>
      <c r="H95" s="59" t="s">
        <v>1020</v>
      </c>
      <c r="I95" s="58" t="s">
        <v>910</v>
      </c>
      <c r="J95" t="s">
        <v>839</v>
      </c>
      <c r="K95" t="s">
        <v>830</v>
      </c>
      <c r="L95" t="s">
        <v>25</v>
      </c>
      <c r="M95" t="s">
        <v>1163</v>
      </c>
      <c r="N95" s="57">
        <v>1200</v>
      </c>
      <c r="O95" t="s">
        <v>100</v>
      </c>
      <c r="P95" t="s">
        <v>93</v>
      </c>
      <c r="Q95" s="3">
        <v>46174</v>
      </c>
      <c r="R95" s="10">
        <f t="shared" ca="1" si="2"/>
        <v>46229</v>
      </c>
      <c r="S95" s="7">
        <f t="shared" ca="1" si="3"/>
        <v>0.15068493150684931</v>
      </c>
    </row>
    <row r="96" spans="1:19" x14ac:dyDescent="0.25">
      <c r="A96">
        <v>4124366</v>
      </c>
      <c r="B96" t="s">
        <v>1726</v>
      </c>
      <c r="C96" t="s">
        <v>1044</v>
      </c>
      <c r="D96" s="6" t="s">
        <v>22</v>
      </c>
      <c r="E96" t="s">
        <v>21</v>
      </c>
      <c r="G96" s="6" t="s">
        <v>968</v>
      </c>
      <c r="H96" s="59" t="s">
        <v>1020</v>
      </c>
      <c r="I96" s="58" t="s">
        <v>910</v>
      </c>
      <c r="J96" t="s">
        <v>839</v>
      </c>
      <c r="K96" t="s">
        <v>830</v>
      </c>
      <c r="L96" t="s">
        <v>25</v>
      </c>
      <c r="M96" t="s">
        <v>1163</v>
      </c>
      <c r="N96" s="57">
        <v>1200</v>
      </c>
      <c r="O96" t="s">
        <v>100</v>
      </c>
      <c r="P96" t="s">
        <v>93</v>
      </c>
      <c r="Q96" s="3">
        <v>46174</v>
      </c>
      <c r="R96" s="10">
        <f t="shared" ca="1" si="2"/>
        <v>46229</v>
      </c>
      <c r="S96" s="7">
        <f t="shared" ca="1" si="3"/>
        <v>0.15068493150684931</v>
      </c>
    </row>
    <row r="97" spans="1:19" x14ac:dyDescent="0.25">
      <c r="A97">
        <v>4124384</v>
      </c>
      <c r="B97" t="s">
        <v>1741</v>
      </c>
      <c r="C97" t="s">
        <v>1044</v>
      </c>
      <c r="D97" s="6" t="s">
        <v>22</v>
      </c>
      <c r="E97" t="s">
        <v>21</v>
      </c>
      <c r="G97" s="6" t="s">
        <v>968</v>
      </c>
      <c r="H97" s="59" t="s">
        <v>1020</v>
      </c>
      <c r="I97" s="58" t="s">
        <v>910</v>
      </c>
      <c r="J97" t="s">
        <v>839</v>
      </c>
      <c r="K97" t="s">
        <v>830</v>
      </c>
      <c r="L97" t="s">
        <v>25</v>
      </c>
      <c r="M97" t="s">
        <v>1163</v>
      </c>
      <c r="N97" s="57">
        <v>1200</v>
      </c>
      <c r="O97" t="s">
        <v>100</v>
      </c>
      <c r="P97" t="s">
        <v>93</v>
      </c>
      <c r="Q97" s="3">
        <v>46174</v>
      </c>
      <c r="R97" s="10">
        <f t="shared" ca="1" si="2"/>
        <v>46229</v>
      </c>
      <c r="S97" s="7">
        <f t="shared" ca="1" si="3"/>
        <v>0.15068493150684931</v>
      </c>
    </row>
    <row r="98" spans="1:19" x14ac:dyDescent="0.25">
      <c r="A98">
        <v>4124380</v>
      </c>
      <c r="B98" t="s">
        <v>1737</v>
      </c>
      <c r="C98" t="s">
        <v>1044</v>
      </c>
      <c r="D98" s="6" t="s">
        <v>22</v>
      </c>
      <c r="E98" t="s">
        <v>21</v>
      </c>
      <c r="G98" s="6" t="s">
        <v>968</v>
      </c>
      <c r="H98" s="59" t="s">
        <v>1020</v>
      </c>
      <c r="I98" s="58" t="s">
        <v>910</v>
      </c>
      <c r="J98" t="s">
        <v>839</v>
      </c>
      <c r="K98" t="s">
        <v>830</v>
      </c>
      <c r="L98" t="s">
        <v>25</v>
      </c>
      <c r="M98" t="s">
        <v>1163</v>
      </c>
      <c r="N98" s="57">
        <v>1200</v>
      </c>
      <c r="O98" t="s">
        <v>100</v>
      </c>
      <c r="P98" t="s">
        <v>93</v>
      </c>
      <c r="Q98" s="3">
        <v>46174</v>
      </c>
      <c r="R98" s="10">
        <f t="shared" ca="1" si="2"/>
        <v>46229</v>
      </c>
      <c r="S98" s="7">
        <f t="shared" ca="1" si="3"/>
        <v>0.15068493150684931</v>
      </c>
    </row>
    <row r="99" spans="1:19" x14ac:dyDescent="0.25">
      <c r="A99">
        <v>4124387</v>
      </c>
      <c r="B99" t="s">
        <v>1744</v>
      </c>
      <c r="C99" t="s">
        <v>1044</v>
      </c>
      <c r="D99" s="6" t="s">
        <v>22</v>
      </c>
      <c r="E99" t="s">
        <v>21</v>
      </c>
      <c r="G99" s="6" t="s">
        <v>968</v>
      </c>
      <c r="H99" s="59" t="s">
        <v>1020</v>
      </c>
      <c r="I99" s="58" t="s">
        <v>910</v>
      </c>
      <c r="J99" t="s">
        <v>839</v>
      </c>
      <c r="K99" t="s">
        <v>830</v>
      </c>
      <c r="L99" t="s">
        <v>25</v>
      </c>
      <c r="M99" t="s">
        <v>1163</v>
      </c>
      <c r="N99" s="57">
        <v>1200</v>
      </c>
      <c r="O99" t="s">
        <v>100</v>
      </c>
      <c r="P99" t="s">
        <v>93</v>
      </c>
      <c r="Q99" s="3">
        <v>46174</v>
      </c>
      <c r="R99" s="10">
        <f t="shared" ca="1" si="2"/>
        <v>46229</v>
      </c>
      <c r="S99" s="7">
        <f t="shared" ca="1" si="3"/>
        <v>0.15068493150684931</v>
      </c>
    </row>
    <row r="100" spans="1:19" x14ac:dyDescent="0.25">
      <c r="A100">
        <v>4124369</v>
      </c>
      <c r="B100" t="s">
        <v>1729</v>
      </c>
      <c r="C100" t="s">
        <v>1044</v>
      </c>
      <c r="D100" s="6" t="s">
        <v>22</v>
      </c>
      <c r="E100" t="s">
        <v>21</v>
      </c>
      <c r="G100" s="6" t="s">
        <v>968</v>
      </c>
      <c r="H100" s="59" t="s">
        <v>1020</v>
      </c>
      <c r="I100" s="58" t="s">
        <v>910</v>
      </c>
      <c r="J100" t="s">
        <v>839</v>
      </c>
      <c r="K100" t="s">
        <v>830</v>
      </c>
      <c r="L100" t="s">
        <v>25</v>
      </c>
      <c r="M100" t="s">
        <v>1163</v>
      </c>
      <c r="N100" s="57">
        <v>1200</v>
      </c>
      <c r="O100" t="s">
        <v>100</v>
      </c>
      <c r="P100" t="s">
        <v>93</v>
      </c>
      <c r="Q100" s="3">
        <v>46174</v>
      </c>
      <c r="R100" s="10">
        <f t="shared" ca="1" si="2"/>
        <v>46229</v>
      </c>
      <c r="S100" s="7">
        <f t="shared" ca="1" si="3"/>
        <v>0.15068493150684931</v>
      </c>
    </row>
    <row r="101" spans="1:19" x14ac:dyDescent="0.25">
      <c r="A101">
        <v>4124375</v>
      </c>
      <c r="B101" t="s">
        <v>1734</v>
      </c>
      <c r="C101" t="s">
        <v>1044</v>
      </c>
      <c r="D101" s="6" t="s">
        <v>22</v>
      </c>
      <c r="E101" t="s">
        <v>21</v>
      </c>
      <c r="G101" s="6" t="s">
        <v>968</v>
      </c>
      <c r="H101" s="59" t="s">
        <v>1020</v>
      </c>
      <c r="I101" s="58" t="s">
        <v>1837</v>
      </c>
      <c r="J101" t="s">
        <v>839</v>
      </c>
      <c r="K101" t="s">
        <v>830</v>
      </c>
      <c r="L101" t="s">
        <v>25</v>
      </c>
      <c r="M101" t="s">
        <v>1163</v>
      </c>
      <c r="N101" s="57">
        <v>1200</v>
      </c>
      <c r="O101" t="s">
        <v>100</v>
      </c>
      <c r="P101" t="s">
        <v>93</v>
      </c>
      <c r="Q101" s="3">
        <v>46174</v>
      </c>
      <c r="R101" s="10">
        <f t="shared" ca="1" si="2"/>
        <v>46229</v>
      </c>
      <c r="S101" s="7">
        <f t="shared" ca="1" si="3"/>
        <v>0.15068493150684931</v>
      </c>
    </row>
    <row r="102" spans="1:19" x14ac:dyDescent="0.25">
      <c r="A102">
        <v>1014765</v>
      </c>
      <c r="B102" t="s">
        <v>131</v>
      </c>
      <c r="C102" t="s">
        <v>17</v>
      </c>
      <c r="D102" s="6" t="s">
        <v>39</v>
      </c>
      <c r="E102" t="s">
        <v>946</v>
      </c>
      <c r="G102" s="6" t="s">
        <v>1839</v>
      </c>
      <c r="H102" s="59" t="s">
        <v>92</v>
      </c>
      <c r="I102" s="58" t="s">
        <v>862</v>
      </c>
      <c r="J102" t="s">
        <v>863</v>
      </c>
      <c r="K102" t="s">
        <v>864</v>
      </c>
      <c r="L102" t="s">
        <v>966</v>
      </c>
      <c r="M102" t="s">
        <v>1163</v>
      </c>
      <c r="N102" s="57">
        <v>7400</v>
      </c>
      <c r="O102" t="s">
        <v>100</v>
      </c>
      <c r="P102" t="s">
        <v>38</v>
      </c>
      <c r="Q102" s="3">
        <v>44578</v>
      </c>
      <c r="R102" s="10">
        <f t="shared" ca="1" si="2"/>
        <v>46229</v>
      </c>
      <c r="S102" s="7">
        <f t="shared" ca="1" si="3"/>
        <v>4.5232876712328771</v>
      </c>
    </row>
    <row r="103" spans="1:19" x14ac:dyDescent="0.25">
      <c r="A103">
        <v>4049034</v>
      </c>
      <c r="B103" t="s">
        <v>475</v>
      </c>
      <c r="C103" t="s">
        <v>17</v>
      </c>
      <c r="D103" s="6" t="s">
        <v>39</v>
      </c>
      <c r="E103" t="s">
        <v>952</v>
      </c>
      <c r="G103" s="6" t="s">
        <v>1839</v>
      </c>
      <c r="H103" s="59" t="s">
        <v>92</v>
      </c>
      <c r="I103" s="58" t="s">
        <v>862</v>
      </c>
      <c r="J103" t="s">
        <v>863</v>
      </c>
      <c r="K103" t="s">
        <v>864</v>
      </c>
      <c r="L103" t="s">
        <v>966</v>
      </c>
      <c r="M103" t="s">
        <v>1163</v>
      </c>
      <c r="N103" s="57">
        <v>7400</v>
      </c>
      <c r="O103" t="s">
        <v>100</v>
      </c>
      <c r="P103" t="s">
        <v>38</v>
      </c>
      <c r="Q103" s="3">
        <v>44588</v>
      </c>
      <c r="R103" s="10">
        <f t="shared" ca="1" si="2"/>
        <v>46229</v>
      </c>
      <c r="S103" s="7">
        <f t="shared" ca="1" si="3"/>
        <v>4.4958904109589044</v>
      </c>
    </row>
    <row r="104" spans="1:19" x14ac:dyDescent="0.25">
      <c r="A104">
        <v>27145</v>
      </c>
      <c r="B104" t="s">
        <v>333</v>
      </c>
      <c r="C104" t="s">
        <v>17</v>
      </c>
      <c r="D104" s="6" t="s">
        <v>22</v>
      </c>
      <c r="E104" t="s">
        <v>55</v>
      </c>
      <c r="G104" s="6" t="s">
        <v>968</v>
      </c>
      <c r="H104" s="59" t="s">
        <v>1020</v>
      </c>
      <c r="I104" s="58" t="s">
        <v>911</v>
      </c>
      <c r="J104" t="s">
        <v>839</v>
      </c>
      <c r="K104" t="s">
        <v>830</v>
      </c>
      <c r="L104" t="s">
        <v>1038</v>
      </c>
      <c r="M104" t="s">
        <v>1163</v>
      </c>
      <c r="N104" s="57">
        <v>1400</v>
      </c>
      <c r="O104" t="s">
        <v>100</v>
      </c>
      <c r="P104" t="s">
        <v>93</v>
      </c>
      <c r="Q104" s="3">
        <v>45544</v>
      </c>
      <c r="R104" s="10">
        <f t="shared" ca="1" si="2"/>
        <v>46229</v>
      </c>
      <c r="S104" s="7">
        <f t="shared" ca="1" si="3"/>
        <v>1.8767123287671232</v>
      </c>
    </row>
    <row r="105" spans="1:19" x14ac:dyDescent="0.25">
      <c r="A105">
        <v>28566</v>
      </c>
      <c r="B105" t="s">
        <v>343</v>
      </c>
      <c r="C105" t="s">
        <v>17</v>
      </c>
      <c r="D105" s="6" t="s">
        <v>22</v>
      </c>
      <c r="E105" t="s">
        <v>55</v>
      </c>
      <c r="G105" s="6" t="s">
        <v>968</v>
      </c>
      <c r="H105" s="59" t="s">
        <v>1020</v>
      </c>
      <c r="I105" s="58" t="s">
        <v>911</v>
      </c>
      <c r="J105" t="s">
        <v>839</v>
      </c>
      <c r="K105" t="s">
        <v>830</v>
      </c>
      <c r="L105" t="s">
        <v>1038</v>
      </c>
      <c r="M105" t="s">
        <v>1163</v>
      </c>
      <c r="N105" s="57">
        <v>1200</v>
      </c>
      <c r="O105" t="s">
        <v>100</v>
      </c>
      <c r="P105" t="s">
        <v>93</v>
      </c>
      <c r="Q105" s="3">
        <v>39552</v>
      </c>
      <c r="R105" s="10">
        <f t="shared" ca="1" si="2"/>
        <v>46229</v>
      </c>
      <c r="S105" s="7">
        <f t="shared" ca="1" si="3"/>
        <v>18.293150684931508</v>
      </c>
    </row>
    <row r="106" spans="1:19" x14ac:dyDescent="0.25">
      <c r="A106">
        <v>28585</v>
      </c>
      <c r="B106" t="s">
        <v>344</v>
      </c>
      <c r="C106" t="s">
        <v>17</v>
      </c>
      <c r="D106" s="6" t="s">
        <v>22</v>
      </c>
      <c r="E106" t="s">
        <v>21</v>
      </c>
      <c r="G106" s="6" t="s">
        <v>968</v>
      </c>
      <c r="H106" s="59" t="s">
        <v>1020</v>
      </c>
      <c r="I106" s="58" t="s">
        <v>911</v>
      </c>
      <c r="J106" t="s">
        <v>839</v>
      </c>
      <c r="K106" t="s">
        <v>830</v>
      </c>
      <c r="L106" t="s">
        <v>1038</v>
      </c>
      <c r="M106" t="s">
        <v>1163</v>
      </c>
      <c r="N106" s="57">
        <v>1200</v>
      </c>
      <c r="O106" t="s">
        <v>100</v>
      </c>
      <c r="P106" t="s">
        <v>93</v>
      </c>
      <c r="Q106" s="3">
        <v>42695</v>
      </c>
      <c r="R106" s="10">
        <f t="shared" ca="1" si="2"/>
        <v>46229</v>
      </c>
      <c r="S106" s="7">
        <f t="shared" ca="1" si="3"/>
        <v>9.6821917808219187</v>
      </c>
    </row>
    <row r="107" spans="1:19" x14ac:dyDescent="0.25">
      <c r="A107">
        <v>30099</v>
      </c>
      <c r="B107" t="s">
        <v>371</v>
      </c>
      <c r="C107" t="s">
        <v>17</v>
      </c>
      <c r="D107" s="6" t="s">
        <v>22</v>
      </c>
      <c r="E107" t="s">
        <v>21</v>
      </c>
      <c r="G107" s="6" t="s">
        <v>968</v>
      </c>
      <c r="H107" s="59" t="s">
        <v>1020</v>
      </c>
      <c r="I107" s="58" t="s">
        <v>911</v>
      </c>
      <c r="J107" t="s">
        <v>839</v>
      </c>
      <c r="K107" t="s">
        <v>830</v>
      </c>
      <c r="L107" t="s">
        <v>1038</v>
      </c>
      <c r="M107" t="s">
        <v>1163</v>
      </c>
      <c r="N107" s="57">
        <v>1200</v>
      </c>
      <c r="O107" t="s">
        <v>100</v>
      </c>
      <c r="P107" t="s">
        <v>93</v>
      </c>
      <c r="Q107" s="3">
        <v>42555</v>
      </c>
      <c r="R107" s="10">
        <f t="shared" ca="1" si="2"/>
        <v>46229</v>
      </c>
      <c r="S107" s="7">
        <f t="shared" ca="1" si="3"/>
        <v>10.065753424657535</v>
      </c>
    </row>
    <row r="108" spans="1:19" x14ac:dyDescent="0.25">
      <c r="A108">
        <v>4030401</v>
      </c>
      <c r="B108" t="s">
        <v>1615</v>
      </c>
      <c r="C108" t="s">
        <v>1044</v>
      </c>
      <c r="D108" s="6" t="s">
        <v>22</v>
      </c>
      <c r="E108" t="s">
        <v>21</v>
      </c>
      <c r="G108" s="6" t="s">
        <v>968</v>
      </c>
      <c r="H108" s="59" t="s">
        <v>1020</v>
      </c>
      <c r="I108" s="58" t="s">
        <v>911</v>
      </c>
      <c r="J108" t="s">
        <v>839</v>
      </c>
      <c r="K108" t="s">
        <v>830</v>
      </c>
      <c r="L108" t="s">
        <v>1038</v>
      </c>
      <c r="M108" t="s">
        <v>1163</v>
      </c>
      <c r="N108" s="57">
        <v>1200</v>
      </c>
      <c r="O108" t="s">
        <v>100</v>
      </c>
      <c r="P108" t="s">
        <v>93</v>
      </c>
      <c r="Q108" s="3">
        <v>46170</v>
      </c>
      <c r="R108" s="10">
        <f t="shared" ca="1" si="2"/>
        <v>46229</v>
      </c>
      <c r="S108" s="7">
        <f t="shared" ca="1" si="3"/>
        <v>0.16164383561643836</v>
      </c>
    </row>
    <row r="109" spans="1:19" x14ac:dyDescent="0.25">
      <c r="A109">
        <v>4040949</v>
      </c>
      <c r="B109" t="s">
        <v>464</v>
      </c>
      <c r="C109" t="s">
        <v>17</v>
      </c>
      <c r="D109" s="6" t="s">
        <v>22</v>
      </c>
      <c r="E109" t="s">
        <v>87</v>
      </c>
      <c r="G109" s="6" t="s">
        <v>968</v>
      </c>
      <c r="H109" s="59" t="s">
        <v>1020</v>
      </c>
      <c r="I109" s="58" t="s">
        <v>911</v>
      </c>
      <c r="J109" t="s">
        <v>839</v>
      </c>
      <c r="K109" t="s">
        <v>830</v>
      </c>
      <c r="L109" t="s">
        <v>1038</v>
      </c>
      <c r="M109" t="s">
        <v>1163</v>
      </c>
      <c r="N109" s="57">
        <v>1200</v>
      </c>
      <c r="O109" t="s">
        <v>100</v>
      </c>
      <c r="P109" t="s">
        <v>93</v>
      </c>
      <c r="Q109" s="3">
        <v>44448</v>
      </c>
      <c r="R109" s="10">
        <f t="shared" ca="1" si="2"/>
        <v>46229</v>
      </c>
      <c r="S109" s="7">
        <f t="shared" ca="1" si="3"/>
        <v>4.8794520547945206</v>
      </c>
    </row>
    <row r="110" spans="1:19" x14ac:dyDescent="0.25">
      <c r="A110">
        <v>4058936</v>
      </c>
      <c r="B110" t="s">
        <v>498</v>
      </c>
      <c r="C110" t="s">
        <v>17</v>
      </c>
      <c r="D110" s="6" t="s">
        <v>22</v>
      </c>
      <c r="E110" t="s">
        <v>87</v>
      </c>
      <c r="G110" s="6" t="s">
        <v>968</v>
      </c>
      <c r="H110" s="59" t="s">
        <v>1020</v>
      </c>
      <c r="I110" s="58" t="s">
        <v>911</v>
      </c>
      <c r="J110" t="s">
        <v>839</v>
      </c>
      <c r="K110" t="s">
        <v>830</v>
      </c>
      <c r="L110" t="s">
        <v>1038</v>
      </c>
      <c r="M110" t="s">
        <v>1163</v>
      </c>
      <c r="N110" s="57">
        <v>1200</v>
      </c>
      <c r="O110" t="s">
        <v>100</v>
      </c>
      <c r="P110" t="s">
        <v>93</v>
      </c>
      <c r="Q110" s="3">
        <v>44711</v>
      </c>
      <c r="R110" s="10">
        <f t="shared" ca="1" si="2"/>
        <v>46229</v>
      </c>
      <c r="S110" s="7">
        <f t="shared" ca="1" si="3"/>
        <v>4.1589041095890407</v>
      </c>
    </row>
    <row r="111" spans="1:19" x14ac:dyDescent="0.25">
      <c r="A111">
        <v>4063236</v>
      </c>
      <c r="B111" t="s">
        <v>503</v>
      </c>
      <c r="C111" t="s">
        <v>17</v>
      </c>
      <c r="D111" s="6" t="s">
        <v>22</v>
      </c>
      <c r="E111" t="s">
        <v>55</v>
      </c>
      <c r="G111" s="6" t="s">
        <v>968</v>
      </c>
      <c r="H111" s="59" t="s">
        <v>1020</v>
      </c>
      <c r="I111" s="58" t="s">
        <v>911</v>
      </c>
      <c r="J111" t="s">
        <v>839</v>
      </c>
      <c r="K111" t="s">
        <v>830</v>
      </c>
      <c r="L111" t="s">
        <v>1038</v>
      </c>
      <c r="M111" t="s">
        <v>1163</v>
      </c>
      <c r="N111" s="57">
        <v>1400</v>
      </c>
      <c r="O111" t="s">
        <v>100</v>
      </c>
      <c r="P111" t="s">
        <v>93</v>
      </c>
      <c r="Q111" s="3">
        <v>45544</v>
      </c>
      <c r="R111" s="10">
        <f t="shared" ca="1" si="2"/>
        <v>46229</v>
      </c>
      <c r="S111" s="7">
        <f t="shared" ca="1" si="3"/>
        <v>1.8767123287671232</v>
      </c>
    </row>
    <row r="112" spans="1:19" x14ac:dyDescent="0.25">
      <c r="A112">
        <v>4070675</v>
      </c>
      <c r="B112" t="s">
        <v>1239</v>
      </c>
      <c r="C112" t="s">
        <v>1044</v>
      </c>
      <c r="D112" s="6" t="s">
        <v>22</v>
      </c>
      <c r="E112" t="s">
        <v>21</v>
      </c>
      <c r="G112" s="6" t="s">
        <v>968</v>
      </c>
      <c r="H112" s="59" t="s">
        <v>1020</v>
      </c>
      <c r="I112" s="58" t="s">
        <v>911</v>
      </c>
      <c r="J112" t="s">
        <v>839</v>
      </c>
      <c r="K112" t="s">
        <v>830</v>
      </c>
      <c r="L112" t="s">
        <v>1038</v>
      </c>
      <c r="M112" t="s">
        <v>1163</v>
      </c>
      <c r="N112" s="57">
        <v>1200</v>
      </c>
      <c r="O112" t="s">
        <v>100</v>
      </c>
      <c r="P112" t="s">
        <v>93</v>
      </c>
      <c r="Q112" s="3">
        <v>46118</v>
      </c>
      <c r="R112" s="10">
        <f t="shared" ca="1" si="2"/>
        <v>46229</v>
      </c>
      <c r="S112" s="7">
        <f t="shared" ca="1" si="3"/>
        <v>0.30410958904109592</v>
      </c>
    </row>
    <row r="113" spans="1:19" x14ac:dyDescent="0.25">
      <c r="A113">
        <v>4074357</v>
      </c>
      <c r="B113" t="s">
        <v>1240</v>
      </c>
      <c r="C113" t="s">
        <v>1044</v>
      </c>
      <c r="D113" s="6" t="s">
        <v>22</v>
      </c>
      <c r="E113" t="s">
        <v>21</v>
      </c>
      <c r="G113" s="6" t="s">
        <v>968</v>
      </c>
      <c r="H113" s="59" t="s">
        <v>1020</v>
      </c>
      <c r="I113" s="58" t="s">
        <v>911</v>
      </c>
      <c r="J113" t="s">
        <v>839</v>
      </c>
      <c r="K113" t="s">
        <v>830</v>
      </c>
      <c r="L113" t="s">
        <v>1038</v>
      </c>
      <c r="M113" t="s">
        <v>1163</v>
      </c>
      <c r="N113" s="57">
        <v>1200</v>
      </c>
      <c r="O113" t="s">
        <v>100</v>
      </c>
      <c r="P113" t="s">
        <v>93</v>
      </c>
      <c r="Q113" s="3">
        <v>46121</v>
      </c>
      <c r="R113" s="10">
        <f t="shared" ca="1" si="2"/>
        <v>46229</v>
      </c>
      <c r="S113" s="7">
        <f t="shared" ca="1" si="3"/>
        <v>0.29589041095890412</v>
      </c>
    </row>
    <row r="114" spans="1:19" x14ac:dyDescent="0.25">
      <c r="A114">
        <v>4077392</v>
      </c>
      <c r="B114" t="s">
        <v>540</v>
      </c>
      <c r="C114" t="s">
        <v>17</v>
      </c>
      <c r="D114" s="6" t="s">
        <v>22</v>
      </c>
      <c r="E114" t="s">
        <v>55</v>
      </c>
      <c r="G114" s="6" t="s">
        <v>968</v>
      </c>
      <c r="H114" s="59" t="s">
        <v>1020</v>
      </c>
      <c r="I114" s="58" t="s">
        <v>911</v>
      </c>
      <c r="J114" t="s">
        <v>839</v>
      </c>
      <c r="K114" t="s">
        <v>830</v>
      </c>
      <c r="L114" t="s">
        <v>1038</v>
      </c>
      <c r="M114" t="s">
        <v>1163</v>
      </c>
      <c r="N114" s="57">
        <v>1200</v>
      </c>
      <c r="O114" t="s">
        <v>100</v>
      </c>
      <c r="P114" t="s">
        <v>93</v>
      </c>
      <c r="Q114" s="3">
        <v>44938</v>
      </c>
      <c r="R114" s="10">
        <f t="shared" ca="1" si="2"/>
        <v>46229</v>
      </c>
      <c r="S114" s="7">
        <f t="shared" ca="1" si="3"/>
        <v>3.536986301369863</v>
      </c>
    </row>
    <row r="115" spans="1:19" x14ac:dyDescent="0.25">
      <c r="A115">
        <v>4087740</v>
      </c>
      <c r="B115" t="s">
        <v>565</v>
      </c>
      <c r="C115" t="s">
        <v>17</v>
      </c>
      <c r="D115" s="6" t="s">
        <v>22</v>
      </c>
      <c r="E115" t="s">
        <v>55</v>
      </c>
      <c r="G115" s="6" t="s">
        <v>968</v>
      </c>
      <c r="H115" s="59" t="s">
        <v>1020</v>
      </c>
      <c r="I115" s="58" t="s">
        <v>911</v>
      </c>
      <c r="J115" t="s">
        <v>839</v>
      </c>
      <c r="K115" t="s">
        <v>830</v>
      </c>
      <c r="L115" t="s">
        <v>1038</v>
      </c>
      <c r="M115" t="s">
        <v>1163</v>
      </c>
      <c r="N115" s="57">
        <v>1200</v>
      </c>
      <c r="O115" t="s">
        <v>100</v>
      </c>
      <c r="P115" t="s">
        <v>93</v>
      </c>
      <c r="Q115" s="3">
        <v>45495</v>
      </c>
      <c r="R115" s="10">
        <f t="shared" ca="1" si="2"/>
        <v>46229</v>
      </c>
      <c r="S115" s="7">
        <f t="shared" ca="1" si="3"/>
        <v>2.010958904109589</v>
      </c>
    </row>
    <row r="116" spans="1:19" x14ac:dyDescent="0.25">
      <c r="A116">
        <v>4088080</v>
      </c>
      <c r="B116" t="s">
        <v>1365</v>
      </c>
      <c r="C116" t="s">
        <v>1044</v>
      </c>
      <c r="D116" s="6" t="s">
        <v>22</v>
      </c>
      <c r="E116" t="s">
        <v>21</v>
      </c>
      <c r="G116" s="6" t="s">
        <v>968</v>
      </c>
      <c r="H116" s="59" t="s">
        <v>1020</v>
      </c>
      <c r="I116" s="58" t="s">
        <v>911</v>
      </c>
      <c r="J116" t="s">
        <v>839</v>
      </c>
      <c r="K116" t="s">
        <v>830</v>
      </c>
      <c r="L116" t="s">
        <v>1038</v>
      </c>
      <c r="M116" t="s">
        <v>1163</v>
      </c>
      <c r="N116" s="57">
        <v>1200</v>
      </c>
      <c r="O116" t="s">
        <v>100</v>
      </c>
      <c r="P116" t="s">
        <v>93</v>
      </c>
      <c r="Q116" s="3">
        <v>46125</v>
      </c>
      <c r="R116" s="10">
        <f t="shared" ca="1" si="2"/>
        <v>46229</v>
      </c>
      <c r="S116" s="7">
        <f t="shared" ca="1" si="3"/>
        <v>0.28493150684931506</v>
      </c>
    </row>
    <row r="117" spans="1:19" x14ac:dyDescent="0.25">
      <c r="A117">
        <v>4090673</v>
      </c>
      <c r="B117" t="s">
        <v>1242</v>
      </c>
      <c r="C117" t="s">
        <v>1044</v>
      </c>
      <c r="D117" s="6" t="s">
        <v>22</v>
      </c>
      <c r="E117" t="s">
        <v>21</v>
      </c>
      <c r="G117" s="6" t="s">
        <v>968</v>
      </c>
      <c r="H117" s="59" t="s">
        <v>1020</v>
      </c>
      <c r="I117" s="58" t="s">
        <v>911</v>
      </c>
      <c r="J117" t="s">
        <v>839</v>
      </c>
      <c r="K117" t="s">
        <v>830</v>
      </c>
      <c r="L117" t="s">
        <v>1038</v>
      </c>
      <c r="M117" t="s">
        <v>1163</v>
      </c>
      <c r="N117" s="57">
        <v>1200</v>
      </c>
      <c r="O117" t="s">
        <v>100</v>
      </c>
      <c r="P117" t="s">
        <v>93</v>
      </c>
      <c r="Q117" s="3">
        <v>46121</v>
      </c>
      <c r="R117" s="10">
        <f t="shared" ca="1" si="2"/>
        <v>46229</v>
      </c>
      <c r="S117" s="7">
        <f t="shared" ca="1" si="3"/>
        <v>0.29589041095890412</v>
      </c>
    </row>
    <row r="118" spans="1:19" x14ac:dyDescent="0.25">
      <c r="A118">
        <v>4096053</v>
      </c>
      <c r="B118" t="s">
        <v>1549</v>
      </c>
      <c r="C118" t="s">
        <v>1044</v>
      </c>
      <c r="D118" s="6" t="s">
        <v>22</v>
      </c>
      <c r="E118" t="s">
        <v>21</v>
      </c>
      <c r="G118" s="6" t="s">
        <v>968</v>
      </c>
      <c r="H118" s="59" t="s">
        <v>1020</v>
      </c>
      <c r="I118" s="58" t="s">
        <v>911</v>
      </c>
      <c r="J118" t="s">
        <v>839</v>
      </c>
      <c r="K118" t="s">
        <v>830</v>
      </c>
      <c r="L118" t="s">
        <v>1038</v>
      </c>
      <c r="M118" t="s">
        <v>1163</v>
      </c>
      <c r="N118" s="57">
        <v>1200</v>
      </c>
      <c r="O118" t="s">
        <v>100</v>
      </c>
      <c r="P118" t="s">
        <v>93</v>
      </c>
      <c r="Q118" s="3">
        <v>46167</v>
      </c>
      <c r="R118" s="10">
        <f t="shared" ca="1" si="2"/>
        <v>46229</v>
      </c>
      <c r="S118" s="7">
        <f t="shared" ca="1" si="3"/>
        <v>0.16986301369863013</v>
      </c>
    </row>
    <row r="119" spans="1:19" x14ac:dyDescent="0.25">
      <c r="A119">
        <v>4098052</v>
      </c>
      <c r="B119" t="s">
        <v>587</v>
      </c>
      <c r="C119" t="s">
        <v>17</v>
      </c>
      <c r="D119" s="6" t="s">
        <v>22</v>
      </c>
      <c r="E119" t="s">
        <v>55</v>
      </c>
      <c r="G119" s="6" t="s">
        <v>968</v>
      </c>
      <c r="H119" s="59" t="s">
        <v>1020</v>
      </c>
      <c r="I119" s="58" t="s">
        <v>911</v>
      </c>
      <c r="J119" t="s">
        <v>839</v>
      </c>
      <c r="K119" t="s">
        <v>830</v>
      </c>
      <c r="L119" t="s">
        <v>1038</v>
      </c>
      <c r="M119" t="s">
        <v>1163</v>
      </c>
      <c r="N119" s="57">
        <v>1200</v>
      </c>
      <c r="O119" t="s">
        <v>100</v>
      </c>
      <c r="P119" t="s">
        <v>93</v>
      </c>
      <c r="Q119" s="3">
        <v>45299</v>
      </c>
      <c r="R119" s="10">
        <f t="shared" ca="1" si="2"/>
        <v>46229</v>
      </c>
      <c r="S119" s="7">
        <f t="shared" ca="1" si="3"/>
        <v>2.547945205479452</v>
      </c>
    </row>
    <row r="120" spans="1:19" x14ac:dyDescent="0.25">
      <c r="A120">
        <v>4100692</v>
      </c>
      <c r="B120" t="s">
        <v>609</v>
      </c>
      <c r="C120" t="s">
        <v>17</v>
      </c>
      <c r="D120" s="6" t="s">
        <v>22</v>
      </c>
      <c r="E120" t="s">
        <v>55</v>
      </c>
      <c r="G120" s="6" t="s">
        <v>968</v>
      </c>
      <c r="H120" s="59" t="s">
        <v>1020</v>
      </c>
      <c r="I120" s="58" t="s">
        <v>911</v>
      </c>
      <c r="J120" t="s">
        <v>839</v>
      </c>
      <c r="K120" t="s">
        <v>830</v>
      </c>
      <c r="L120" t="s">
        <v>1038</v>
      </c>
      <c r="M120" t="s">
        <v>1163</v>
      </c>
      <c r="N120" s="57">
        <v>1200</v>
      </c>
      <c r="O120" t="s">
        <v>100</v>
      </c>
      <c r="P120" t="s">
        <v>93</v>
      </c>
      <c r="Q120" s="3">
        <v>45439</v>
      </c>
      <c r="R120" s="10">
        <f t="shared" ca="1" si="2"/>
        <v>46229</v>
      </c>
      <c r="S120" s="7">
        <f t="shared" ca="1" si="3"/>
        <v>2.1643835616438358</v>
      </c>
    </row>
    <row r="121" spans="1:19" x14ac:dyDescent="0.25">
      <c r="A121">
        <v>4101972</v>
      </c>
      <c r="B121" t="s">
        <v>618</v>
      </c>
      <c r="C121" t="s">
        <v>17</v>
      </c>
      <c r="D121" s="6" t="s">
        <v>22</v>
      </c>
      <c r="E121" t="s">
        <v>55</v>
      </c>
      <c r="G121" s="6" t="s">
        <v>968</v>
      </c>
      <c r="H121" s="59" t="s">
        <v>1020</v>
      </c>
      <c r="I121" s="58" t="s">
        <v>911</v>
      </c>
      <c r="J121" t="s">
        <v>839</v>
      </c>
      <c r="K121" t="s">
        <v>830</v>
      </c>
      <c r="L121" t="s">
        <v>1038</v>
      </c>
      <c r="M121" t="s">
        <v>1163</v>
      </c>
      <c r="N121" s="57">
        <v>1200</v>
      </c>
      <c r="O121" t="s">
        <v>100</v>
      </c>
      <c r="P121" t="s">
        <v>93</v>
      </c>
      <c r="Q121" s="3">
        <v>45463</v>
      </c>
      <c r="R121" s="10">
        <f t="shared" ca="1" si="2"/>
        <v>46229</v>
      </c>
      <c r="S121" s="7">
        <f t="shared" ca="1" si="3"/>
        <v>2.0986301369863014</v>
      </c>
    </row>
    <row r="122" spans="1:19" x14ac:dyDescent="0.25">
      <c r="A122">
        <v>4101975</v>
      </c>
      <c r="B122" t="s">
        <v>619</v>
      </c>
      <c r="C122" t="s">
        <v>17</v>
      </c>
      <c r="D122" s="6" t="s">
        <v>22</v>
      </c>
      <c r="E122" t="s">
        <v>55</v>
      </c>
      <c r="G122" s="6" t="s">
        <v>968</v>
      </c>
      <c r="H122" s="59" t="s">
        <v>1020</v>
      </c>
      <c r="I122" s="58" t="s">
        <v>911</v>
      </c>
      <c r="J122" t="s">
        <v>839</v>
      </c>
      <c r="K122" t="s">
        <v>830</v>
      </c>
      <c r="L122" t="s">
        <v>1038</v>
      </c>
      <c r="M122" t="s">
        <v>1163</v>
      </c>
      <c r="N122" s="57">
        <v>1200</v>
      </c>
      <c r="O122" t="s">
        <v>100</v>
      </c>
      <c r="P122" t="s">
        <v>93</v>
      </c>
      <c r="Q122" s="3">
        <v>45463</v>
      </c>
      <c r="R122" s="10">
        <f t="shared" ca="1" si="2"/>
        <v>46229</v>
      </c>
      <c r="S122" s="7">
        <f t="shared" ca="1" si="3"/>
        <v>2.0986301369863014</v>
      </c>
    </row>
    <row r="123" spans="1:19" x14ac:dyDescent="0.25">
      <c r="A123">
        <v>4102092</v>
      </c>
      <c r="B123" t="s">
        <v>622</v>
      </c>
      <c r="C123" t="s">
        <v>17</v>
      </c>
      <c r="D123" s="6" t="s">
        <v>22</v>
      </c>
      <c r="E123" t="s">
        <v>55</v>
      </c>
      <c r="G123" s="6" t="s">
        <v>968</v>
      </c>
      <c r="H123" s="59" t="s">
        <v>1020</v>
      </c>
      <c r="I123" s="58" t="s">
        <v>911</v>
      </c>
      <c r="J123" t="s">
        <v>839</v>
      </c>
      <c r="K123" t="s">
        <v>830</v>
      </c>
      <c r="L123" t="s">
        <v>1038</v>
      </c>
      <c r="M123" t="s">
        <v>1163</v>
      </c>
      <c r="N123" s="57">
        <v>1200</v>
      </c>
      <c r="O123" t="s">
        <v>100</v>
      </c>
      <c r="P123" t="s">
        <v>93</v>
      </c>
      <c r="Q123" s="3">
        <v>45467</v>
      </c>
      <c r="R123" s="10">
        <f t="shared" ca="1" si="2"/>
        <v>46229</v>
      </c>
      <c r="S123" s="7">
        <f t="shared" ca="1" si="3"/>
        <v>2.0876712328767124</v>
      </c>
    </row>
    <row r="124" spans="1:19" x14ac:dyDescent="0.25">
      <c r="A124">
        <v>4102228</v>
      </c>
      <c r="B124" t="s">
        <v>624</v>
      </c>
      <c r="C124" t="s">
        <v>17</v>
      </c>
      <c r="D124" s="6" t="s">
        <v>22</v>
      </c>
      <c r="E124" t="s">
        <v>55</v>
      </c>
      <c r="G124" s="6" t="s">
        <v>968</v>
      </c>
      <c r="H124" s="59" t="s">
        <v>1020</v>
      </c>
      <c r="I124" s="58" t="s">
        <v>911</v>
      </c>
      <c r="J124" t="s">
        <v>839</v>
      </c>
      <c r="K124" t="s">
        <v>830</v>
      </c>
      <c r="L124" t="s">
        <v>1038</v>
      </c>
      <c r="M124" t="s">
        <v>1163</v>
      </c>
      <c r="N124" s="57">
        <v>1200</v>
      </c>
      <c r="O124" t="s">
        <v>100</v>
      </c>
      <c r="P124" t="s">
        <v>93</v>
      </c>
      <c r="Q124" s="3">
        <v>45470</v>
      </c>
      <c r="R124" s="10">
        <f t="shared" ca="1" si="2"/>
        <v>46229</v>
      </c>
      <c r="S124" s="7">
        <f t="shared" ca="1" si="3"/>
        <v>2.0794520547945203</v>
      </c>
    </row>
    <row r="125" spans="1:19" x14ac:dyDescent="0.25">
      <c r="A125">
        <v>4103015</v>
      </c>
      <c r="B125" t="s">
        <v>630</v>
      </c>
      <c r="C125" t="s">
        <v>17</v>
      </c>
      <c r="D125" s="6" t="s">
        <v>22</v>
      </c>
      <c r="E125" t="s">
        <v>55</v>
      </c>
      <c r="G125" s="6" t="s">
        <v>968</v>
      </c>
      <c r="H125" s="59" t="s">
        <v>1020</v>
      </c>
      <c r="I125" s="58" t="s">
        <v>911</v>
      </c>
      <c r="J125" t="s">
        <v>839</v>
      </c>
      <c r="K125" t="s">
        <v>830</v>
      </c>
      <c r="L125" t="s">
        <v>1038</v>
      </c>
      <c r="M125" t="s">
        <v>1163</v>
      </c>
      <c r="N125" s="57">
        <v>1200</v>
      </c>
      <c r="O125" t="s">
        <v>100</v>
      </c>
      <c r="P125" t="s">
        <v>93</v>
      </c>
      <c r="Q125" s="3">
        <v>45495</v>
      </c>
      <c r="R125" s="10">
        <f t="shared" ca="1" si="2"/>
        <v>46229</v>
      </c>
      <c r="S125" s="7">
        <f t="shared" ca="1" si="3"/>
        <v>2.010958904109589</v>
      </c>
    </row>
    <row r="126" spans="1:19" x14ac:dyDescent="0.25">
      <c r="A126">
        <v>4104687</v>
      </c>
      <c r="B126" t="s">
        <v>649</v>
      </c>
      <c r="C126" t="s">
        <v>17</v>
      </c>
      <c r="D126" s="6" t="s">
        <v>22</v>
      </c>
      <c r="E126" t="s">
        <v>55</v>
      </c>
      <c r="G126" s="6" t="s">
        <v>968</v>
      </c>
      <c r="H126" s="59" t="s">
        <v>1020</v>
      </c>
      <c r="I126" s="58" t="s">
        <v>911</v>
      </c>
      <c r="J126" t="s">
        <v>839</v>
      </c>
      <c r="K126" t="s">
        <v>830</v>
      </c>
      <c r="L126" t="s">
        <v>1038</v>
      </c>
      <c r="M126" t="s">
        <v>1163</v>
      </c>
      <c r="N126" s="57">
        <v>1200</v>
      </c>
      <c r="O126" t="s">
        <v>100</v>
      </c>
      <c r="P126" t="s">
        <v>93</v>
      </c>
      <c r="Q126" s="3">
        <v>45533</v>
      </c>
      <c r="R126" s="10">
        <f t="shared" ca="1" si="2"/>
        <v>46229</v>
      </c>
      <c r="S126" s="7">
        <f t="shared" ca="1" si="3"/>
        <v>1.9068493150684931</v>
      </c>
    </row>
    <row r="127" spans="1:19" x14ac:dyDescent="0.25">
      <c r="A127">
        <v>4105531</v>
      </c>
      <c r="B127" t="s">
        <v>650</v>
      </c>
      <c r="C127" t="s">
        <v>17</v>
      </c>
      <c r="D127" s="6" t="s">
        <v>22</v>
      </c>
      <c r="E127" t="s">
        <v>55</v>
      </c>
      <c r="G127" s="6" t="s">
        <v>968</v>
      </c>
      <c r="H127" s="59" t="s">
        <v>1020</v>
      </c>
      <c r="I127" s="58" t="s">
        <v>911</v>
      </c>
      <c r="J127" t="s">
        <v>839</v>
      </c>
      <c r="K127" t="s">
        <v>830</v>
      </c>
      <c r="L127" t="s">
        <v>1038</v>
      </c>
      <c r="M127" t="s">
        <v>1163</v>
      </c>
      <c r="N127" s="57">
        <v>1200</v>
      </c>
      <c r="O127" t="s">
        <v>100</v>
      </c>
      <c r="P127" t="s">
        <v>93</v>
      </c>
      <c r="Q127" s="3">
        <v>45558</v>
      </c>
      <c r="R127" s="10">
        <f t="shared" ca="1" si="2"/>
        <v>46229</v>
      </c>
      <c r="S127" s="7">
        <f t="shared" ca="1" si="3"/>
        <v>1.8383561643835618</v>
      </c>
    </row>
    <row r="128" spans="1:19" x14ac:dyDescent="0.25">
      <c r="A128">
        <v>4106727</v>
      </c>
      <c r="B128" t="s">
        <v>663</v>
      </c>
      <c r="C128" t="s">
        <v>17</v>
      </c>
      <c r="D128" s="6" t="s">
        <v>22</v>
      </c>
      <c r="E128" t="s">
        <v>55</v>
      </c>
      <c r="G128" s="6" t="s">
        <v>968</v>
      </c>
      <c r="H128" s="59" t="s">
        <v>1020</v>
      </c>
      <c r="I128" s="58" t="s">
        <v>911</v>
      </c>
      <c r="J128" t="s">
        <v>839</v>
      </c>
      <c r="K128" t="s">
        <v>830</v>
      </c>
      <c r="L128" t="s">
        <v>1038</v>
      </c>
      <c r="M128" t="s">
        <v>1163</v>
      </c>
      <c r="N128" s="57">
        <v>1200</v>
      </c>
      <c r="O128" t="s">
        <v>100</v>
      </c>
      <c r="P128" t="s">
        <v>93</v>
      </c>
      <c r="Q128" s="3">
        <v>45603</v>
      </c>
      <c r="R128" s="10">
        <f t="shared" ca="1" si="2"/>
        <v>46229</v>
      </c>
      <c r="S128" s="7">
        <f t="shared" ca="1" si="3"/>
        <v>1.715068493150685</v>
      </c>
    </row>
    <row r="129" spans="1:19" x14ac:dyDescent="0.25">
      <c r="A129">
        <v>4108795</v>
      </c>
      <c r="B129" t="s">
        <v>1247</v>
      </c>
      <c r="C129" t="s">
        <v>1044</v>
      </c>
      <c r="D129" s="6" t="s">
        <v>22</v>
      </c>
      <c r="E129" t="s">
        <v>21</v>
      </c>
      <c r="G129" s="6" t="s">
        <v>968</v>
      </c>
      <c r="H129" s="59" t="s">
        <v>1020</v>
      </c>
      <c r="I129" s="58" t="s">
        <v>911</v>
      </c>
      <c r="J129" t="s">
        <v>839</v>
      </c>
      <c r="K129" t="s">
        <v>830</v>
      </c>
      <c r="L129" t="s">
        <v>1038</v>
      </c>
      <c r="M129" t="s">
        <v>1163</v>
      </c>
      <c r="N129" s="57">
        <v>1200</v>
      </c>
      <c r="O129" t="s">
        <v>100</v>
      </c>
      <c r="P129" t="s">
        <v>93</v>
      </c>
      <c r="Q129" s="3">
        <v>46121</v>
      </c>
      <c r="R129" s="10">
        <f t="shared" ca="1" si="2"/>
        <v>46229</v>
      </c>
      <c r="S129" s="7">
        <f t="shared" ca="1" si="3"/>
        <v>0.29589041095890412</v>
      </c>
    </row>
    <row r="130" spans="1:19" x14ac:dyDescent="0.25">
      <c r="A130">
        <v>4112468</v>
      </c>
      <c r="B130" t="s">
        <v>674</v>
      </c>
      <c r="C130" t="s">
        <v>17</v>
      </c>
      <c r="D130" s="6" t="s">
        <v>22</v>
      </c>
      <c r="E130" t="s">
        <v>21</v>
      </c>
      <c r="G130" s="6" t="s">
        <v>968</v>
      </c>
      <c r="H130" s="59" t="s">
        <v>1020</v>
      </c>
      <c r="I130" s="58" t="s">
        <v>911</v>
      </c>
      <c r="J130" t="s">
        <v>839</v>
      </c>
      <c r="K130" t="s">
        <v>830</v>
      </c>
      <c r="L130" t="s">
        <v>1038</v>
      </c>
      <c r="M130" t="s">
        <v>1163</v>
      </c>
      <c r="N130" s="57">
        <v>1200</v>
      </c>
      <c r="O130" t="s">
        <v>100</v>
      </c>
      <c r="P130" t="s">
        <v>93</v>
      </c>
      <c r="Q130" s="3">
        <v>45698</v>
      </c>
      <c r="R130" s="10">
        <f t="shared" ca="1" si="2"/>
        <v>46229</v>
      </c>
      <c r="S130" s="7">
        <f t="shared" ca="1" si="3"/>
        <v>1.4547945205479451</v>
      </c>
    </row>
    <row r="131" spans="1:19" x14ac:dyDescent="0.25">
      <c r="A131">
        <v>4112474</v>
      </c>
      <c r="B131" t="s">
        <v>675</v>
      </c>
      <c r="C131" t="s">
        <v>17</v>
      </c>
      <c r="D131" s="6" t="s">
        <v>22</v>
      </c>
      <c r="E131" t="s">
        <v>55</v>
      </c>
      <c r="G131" s="6" t="s">
        <v>968</v>
      </c>
      <c r="H131" s="59" t="s">
        <v>1020</v>
      </c>
      <c r="I131" s="58" t="s">
        <v>911</v>
      </c>
      <c r="J131" t="s">
        <v>839</v>
      </c>
      <c r="K131" t="s">
        <v>830</v>
      </c>
      <c r="L131" t="s">
        <v>1038</v>
      </c>
      <c r="M131" t="s">
        <v>1163</v>
      </c>
      <c r="N131" s="57">
        <v>1200</v>
      </c>
      <c r="O131" t="s">
        <v>100</v>
      </c>
      <c r="P131" t="s">
        <v>93</v>
      </c>
      <c r="Q131" s="3">
        <v>45698</v>
      </c>
      <c r="R131" s="10">
        <f t="shared" ref="R131:R194" ca="1" si="4">TODAY()</f>
        <v>46229</v>
      </c>
      <c r="S131" s="7">
        <f t="shared" ref="S131:S194" ca="1" si="5">(R131-Q131)/365</f>
        <v>1.4547945205479451</v>
      </c>
    </row>
    <row r="132" spans="1:19" x14ac:dyDescent="0.25">
      <c r="A132">
        <v>4112476</v>
      </c>
      <c r="B132" t="s">
        <v>676</v>
      </c>
      <c r="C132" t="s">
        <v>17</v>
      </c>
      <c r="D132" s="6" t="s">
        <v>22</v>
      </c>
      <c r="E132" t="s">
        <v>55</v>
      </c>
      <c r="G132" s="6" t="s">
        <v>968</v>
      </c>
      <c r="H132" s="59" t="s">
        <v>1020</v>
      </c>
      <c r="I132" s="58" t="s">
        <v>911</v>
      </c>
      <c r="J132" t="s">
        <v>839</v>
      </c>
      <c r="K132" t="s">
        <v>830</v>
      </c>
      <c r="L132" t="s">
        <v>1038</v>
      </c>
      <c r="M132" t="s">
        <v>1163</v>
      </c>
      <c r="N132" s="57">
        <v>1200</v>
      </c>
      <c r="O132" t="s">
        <v>100</v>
      </c>
      <c r="P132" t="s">
        <v>93</v>
      </c>
      <c r="Q132" s="3">
        <v>45698</v>
      </c>
      <c r="R132" s="10">
        <f t="shared" ca="1" si="4"/>
        <v>46229</v>
      </c>
      <c r="S132" s="7">
        <f t="shared" ca="1" si="5"/>
        <v>1.4547945205479451</v>
      </c>
    </row>
    <row r="133" spans="1:19" x14ac:dyDescent="0.25">
      <c r="A133">
        <v>4115838</v>
      </c>
      <c r="B133" t="s">
        <v>1648</v>
      </c>
      <c r="C133" t="s">
        <v>1044</v>
      </c>
      <c r="D133" s="6" t="s">
        <v>22</v>
      </c>
      <c r="E133" t="s">
        <v>21</v>
      </c>
      <c r="G133" s="6" t="s">
        <v>968</v>
      </c>
      <c r="H133" s="59" t="s">
        <v>1020</v>
      </c>
      <c r="I133" s="58" t="s">
        <v>911</v>
      </c>
      <c r="J133" t="s">
        <v>839</v>
      </c>
      <c r="K133" t="s">
        <v>830</v>
      </c>
      <c r="L133" t="s">
        <v>1038</v>
      </c>
      <c r="M133" t="s">
        <v>1163</v>
      </c>
      <c r="N133" s="57">
        <v>1200</v>
      </c>
      <c r="O133" t="s">
        <v>100</v>
      </c>
      <c r="P133" t="s">
        <v>93</v>
      </c>
      <c r="Q133" s="3">
        <v>46170</v>
      </c>
      <c r="R133" s="10">
        <f t="shared" ca="1" si="4"/>
        <v>46229</v>
      </c>
      <c r="S133" s="7">
        <f t="shared" ca="1" si="5"/>
        <v>0.16164383561643836</v>
      </c>
    </row>
    <row r="134" spans="1:19" x14ac:dyDescent="0.25">
      <c r="A134">
        <v>4121071</v>
      </c>
      <c r="B134" t="s">
        <v>1070</v>
      </c>
      <c r="C134" t="s">
        <v>17</v>
      </c>
      <c r="D134" s="6" t="s">
        <v>22</v>
      </c>
      <c r="E134" t="s">
        <v>21</v>
      </c>
      <c r="G134" s="6" t="s">
        <v>968</v>
      </c>
      <c r="H134" s="59" t="s">
        <v>1020</v>
      </c>
      <c r="I134" s="58" t="s">
        <v>911</v>
      </c>
      <c r="J134" t="s">
        <v>839</v>
      </c>
      <c r="K134" t="s">
        <v>830</v>
      </c>
      <c r="L134" t="s">
        <v>1038</v>
      </c>
      <c r="M134" t="s">
        <v>1163</v>
      </c>
      <c r="N134" s="57">
        <v>1200</v>
      </c>
      <c r="O134" t="s">
        <v>100</v>
      </c>
      <c r="P134" t="s">
        <v>93</v>
      </c>
      <c r="Q134" s="3">
        <v>46072</v>
      </c>
      <c r="R134" s="10">
        <f t="shared" ca="1" si="4"/>
        <v>46229</v>
      </c>
      <c r="S134" s="7">
        <f t="shared" ca="1" si="5"/>
        <v>0.43013698630136987</v>
      </c>
    </row>
    <row r="135" spans="1:19" x14ac:dyDescent="0.25">
      <c r="A135">
        <v>4121078</v>
      </c>
      <c r="B135" t="s">
        <v>1075</v>
      </c>
      <c r="C135" t="s">
        <v>17</v>
      </c>
      <c r="D135" s="6" t="s">
        <v>22</v>
      </c>
      <c r="E135" t="s">
        <v>21</v>
      </c>
      <c r="G135" s="6" t="s">
        <v>968</v>
      </c>
      <c r="H135" s="59" t="s">
        <v>1020</v>
      </c>
      <c r="I135" s="58" t="s">
        <v>911</v>
      </c>
      <c r="J135" t="s">
        <v>839</v>
      </c>
      <c r="K135" t="s">
        <v>830</v>
      </c>
      <c r="L135" t="s">
        <v>1038</v>
      </c>
      <c r="M135" t="s">
        <v>1163</v>
      </c>
      <c r="N135" s="57">
        <v>1200</v>
      </c>
      <c r="O135" t="s">
        <v>100</v>
      </c>
      <c r="P135" t="s">
        <v>93</v>
      </c>
      <c r="Q135" s="3">
        <v>46072</v>
      </c>
      <c r="R135" s="10">
        <f t="shared" ca="1" si="4"/>
        <v>46229</v>
      </c>
      <c r="S135" s="7">
        <f t="shared" ca="1" si="5"/>
        <v>0.43013698630136987</v>
      </c>
    </row>
    <row r="136" spans="1:19" x14ac:dyDescent="0.25">
      <c r="A136">
        <v>4121128</v>
      </c>
      <c r="B136" t="s">
        <v>1086</v>
      </c>
      <c r="C136" t="s">
        <v>17</v>
      </c>
      <c r="D136" s="6" t="s">
        <v>22</v>
      </c>
      <c r="E136" t="s">
        <v>21</v>
      </c>
      <c r="G136" s="6" t="s">
        <v>968</v>
      </c>
      <c r="H136" s="59" t="s">
        <v>1020</v>
      </c>
      <c r="I136" s="58" t="s">
        <v>911</v>
      </c>
      <c r="J136" t="s">
        <v>839</v>
      </c>
      <c r="K136" t="s">
        <v>830</v>
      </c>
      <c r="L136" t="s">
        <v>1038</v>
      </c>
      <c r="M136" t="s">
        <v>1163</v>
      </c>
      <c r="N136" s="57">
        <v>1200</v>
      </c>
      <c r="O136" t="s">
        <v>100</v>
      </c>
      <c r="P136" t="s">
        <v>93</v>
      </c>
      <c r="Q136" s="3">
        <v>46072</v>
      </c>
      <c r="R136" s="10">
        <f t="shared" ca="1" si="4"/>
        <v>46229</v>
      </c>
      <c r="S136" s="7">
        <f t="shared" ca="1" si="5"/>
        <v>0.43013698630136987</v>
      </c>
    </row>
    <row r="137" spans="1:19" x14ac:dyDescent="0.25">
      <c r="A137">
        <v>4121142</v>
      </c>
      <c r="B137" t="s">
        <v>1093</v>
      </c>
      <c r="C137" t="s">
        <v>17</v>
      </c>
      <c r="D137" s="6" t="s">
        <v>22</v>
      </c>
      <c r="E137" t="s">
        <v>21</v>
      </c>
      <c r="G137" s="6" t="s">
        <v>968</v>
      </c>
      <c r="H137" s="59" t="s">
        <v>1020</v>
      </c>
      <c r="I137" s="58" t="s">
        <v>911</v>
      </c>
      <c r="J137" t="s">
        <v>839</v>
      </c>
      <c r="K137" t="s">
        <v>830</v>
      </c>
      <c r="L137" t="s">
        <v>1038</v>
      </c>
      <c r="M137" t="s">
        <v>1163</v>
      </c>
      <c r="N137" s="57">
        <v>1200</v>
      </c>
      <c r="O137" t="s">
        <v>100</v>
      </c>
      <c r="P137" t="s">
        <v>93</v>
      </c>
      <c r="Q137" s="3">
        <v>46072</v>
      </c>
      <c r="R137" s="10">
        <f t="shared" ca="1" si="4"/>
        <v>46229</v>
      </c>
      <c r="S137" s="7">
        <f t="shared" ca="1" si="5"/>
        <v>0.43013698630136987</v>
      </c>
    </row>
    <row r="138" spans="1:19" x14ac:dyDescent="0.25">
      <c r="A138">
        <v>4122537</v>
      </c>
      <c r="B138" t="s">
        <v>1249</v>
      </c>
      <c r="C138" t="s">
        <v>1044</v>
      </c>
      <c r="D138" s="6" t="s">
        <v>22</v>
      </c>
      <c r="E138" t="s">
        <v>21</v>
      </c>
      <c r="G138" s="6" t="s">
        <v>968</v>
      </c>
      <c r="H138" s="59" t="s">
        <v>1020</v>
      </c>
      <c r="I138" s="58" t="s">
        <v>911</v>
      </c>
      <c r="J138" t="s">
        <v>839</v>
      </c>
      <c r="K138" t="s">
        <v>830</v>
      </c>
      <c r="L138" t="s">
        <v>1038</v>
      </c>
      <c r="M138" t="s">
        <v>1163</v>
      </c>
      <c r="N138" s="57">
        <v>1200</v>
      </c>
      <c r="O138" t="s">
        <v>100</v>
      </c>
      <c r="P138" t="s">
        <v>93</v>
      </c>
      <c r="Q138" s="3">
        <v>46118</v>
      </c>
      <c r="R138" s="10">
        <f t="shared" ca="1" si="4"/>
        <v>46229</v>
      </c>
      <c r="S138" s="7">
        <f t="shared" ca="1" si="5"/>
        <v>0.30410958904109592</v>
      </c>
    </row>
    <row r="139" spans="1:19" x14ac:dyDescent="0.25">
      <c r="A139">
        <v>4122538</v>
      </c>
      <c r="B139" t="s">
        <v>1250</v>
      </c>
      <c r="C139" t="s">
        <v>1044</v>
      </c>
      <c r="D139" s="6" t="s">
        <v>22</v>
      </c>
      <c r="E139" t="s">
        <v>21</v>
      </c>
      <c r="G139" s="6" t="s">
        <v>968</v>
      </c>
      <c r="H139" s="59" t="s">
        <v>1020</v>
      </c>
      <c r="I139" s="58" t="s">
        <v>911</v>
      </c>
      <c r="J139" t="s">
        <v>839</v>
      </c>
      <c r="K139" t="s">
        <v>830</v>
      </c>
      <c r="L139" t="s">
        <v>1038</v>
      </c>
      <c r="M139" t="s">
        <v>1163</v>
      </c>
      <c r="N139" s="57">
        <v>1200</v>
      </c>
      <c r="O139" t="s">
        <v>100</v>
      </c>
      <c r="P139" t="s">
        <v>93</v>
      </c>
      <c r="Q139" s="3">
        <v>46118</v>
      </c>
      <c r="R139" s="10">
        <f t="shared" ca="1" si="4"/>
        <v>46229</v>
      </c>
      <c r="S139" s="7">
        <f t="shared" ca="1" si="5"/>
        <v>0.30410958904109592</v>
      </c>
    </row>
    <row r="140" spans="1:19" x14ac:dyDescent="0.25">
      <c r="A140">
        <v>4122540</v>
      </c>
      <c r="B140" t="s">
        <v>1252</v>
      </c>
      <c r="C140" t="s">
        <v>1044</v>
      </c>
      <c r="D140" s="6" t="s">
        <v>22</v>
      </c>
      <c r="E140" t="s">
        <v>21</v>
      </c>
      <c r="G140" s="6" t="s">
        <v>968</v>
      </c>
      <c r="H140" s="59" t="s">
        <v>1020</v>
      </c>
      <c r="I140" s="58" t="s">
        <v>911</v>
      </c>
      <c r="J140" t="s">
        <v>839</v>
      </c>
      <c r="K140" t="s">
        <v>830</v>
      </c>
      <c r="L140" t="s">
        <v>1038</v>
      </c>
      <c r="M140" t="s">
        <v>1163</v>
      </c>
      <c r="N140" s="57">
        <v>1200</v>
      </c>
      <c r="O140" t="s">
        <v>100</v>
      </c>
      <c r="P140" t="s">
        <v>93</v>
      </c>
      <c r="Q140" s="3">
        <v>46118</v>
      </c>
      <c r="R140" s="10">
        <f t="shared" ca="1" si="4"/>
        <v>46229</v>
      </c>
      <c r="S140" s="7">
        <f t="shared" ca="1" si="5"/>
        <v>0.30410958904109592</v>
      </c>
    </row>
    <row r="141" spans="1:19" x14ac:dyDescent="0.25">
      <c r="A141">
        <v>4122559</v>
      </c>
      <c r="B141" t="s">
        <v>1267</v>
      </c>
      <c r="C141" t="s">
        <v>1044</v>
      </c>
      <c r="D141" s="6" t="s">
        <v>22</v>
      </c>
      <c r="E141" t="s">
        <v>21</v>
      </c>
      <c r="G141" s="6" t="s">
        <v>968</v>
      </c>
      <c r="H141" s="59" t="s">
        <v>1020</v>
      </c>
      <c r="I141" s="58" t="s">
        <v>911</v>
      </c>
      <c r="J141" t="s">
        <v>839</v>
      </c>
      <c r="K141" t="s">
        <v>830</v>
      </c>
      <c r="L141" t="s">
        <v>1038</v>
      </c>
      <c r="M141" t="s">
        <v>1163</v>
      </c>
      <c r="N141" s="57">
        <v>1200</v>
      </c>
      <c r="O141" t="s">
        <v>100</v>
      </c>
      <c r="P141" t="s">
        <v>93</v>
      </c>
      <c r="Q141" s="3">
        <v>46118</v>
      </c>
      <c r="R141" s="10">
        <f t="shared" ca="1" si="4"/>
        <v>46229</v>
      </c>
      <c r="S141" s="7">
        <f t="shared" ca="1" si="5"/>
        <v>0.30410958904109592</v>
      </c>
    </row>
    <row r="142" spans="1:19" x14ac:dyDescent="0.25">
      <c r="A142">
        <v>4122738</v>
      </c>
      <c r="B142" t="s">
        <v>1283</v>
      </c>
      <c r="C142" t="s">
        <v>1044</v>
      </c>
      <c r="D142" s="6" t="s">
        <v>22</v>
      </c>
      <c r="E142" t="s">
        <v>21</v>
      </c>
      <c r="G142" s="6" t="s">
        <v>968</v>
      </c>
      <c r="H142" s="59" t="s">
        <v>1020</v>
      </c>
      <c r="I142" s="58" t="s">
        <v>911</v>
      </c>
      <c r="J142" t="s">
        <v>839</v>
      </c>
      <c r="K142" t="s">
        <v>830</v>
      </c>
      <c r="L142" t="s">
        <v>1038</v>
      </c>
      <c r="M142" t="s">
        <v>1163</v>
      </c>
      <c r="N142" s="57">
        <v>1200</v>
      </c>
      <c r="O142" t="s">
        <v>100</v>
      </c>
      <c r="P142" t="s">
        <v>93</v>
      </c>
      <c r="Q142" s="3">
        <v>46121</v>
      </c>
      <c r="R142" s="10">
        <f t="shared" ca="1" si="4"/>
        <v>46229</v>
      </c>
      <c r="S142" s="7">
        <f t="shared" ca="1" si="5"/>
        <v>0.29589041095890412</v>
      </c>
    </row>
    <row r="143" spans="1:19" x14ac:dyDescent="0.25">
      <c r="A143">
        <v>4122739</v>
      </c>
      <c r="B143" t="s">
        <v>1284</v>
      </c>
      <c r="C143" t="s">
        <v>1044</v>
      </c>
      <c r="D143" s="6" t="s">
        <v>22</v>
      </c>
      <c r="E143" t="s">
        <v>21</v>
      </c>
      <c r="G143" s="6" t="s">
        <v>968</v>
      </c>
      <c r="H143" s="59" t="s">
        <v>1020</v>
      </c>
      <c r="I143" s="58" t="s">
        <v>911</v>
      </c>
      <c r="J143" t="s">
        <v>839</v>
      </c>
      <c r="K143" t="s">
        <v>830</v>
      </c>
      <c r="L143" t="s">
        <v>1038</v>
      </c>
      <c r="M143" t="s">
        <v>1163</v>
      </c>
      <c r="N143" s="57">
        <v>1200</v>
      </c>
      <c r="O143" t="s">
        <v>100</v>
      </c>
      <c r="P143" t="s">
        <v>93</v>
      </c>
      <c r="Q143" s="3">
        <v>46121</v>
      </c>
      <c r="R143" s="10">
        <f t="shared" ca="1" si="4"/>
        <v>46229</v>
      </c>
      <c r="S143" s="7">
        <f t="shared" ca="1" si="5"/>
        <v>0.29589041095890412</v>
      </c>
    </row>
    <row r="144" spans="1:19" x14ac:dyDescent="0.25">
      <c r="A144">
        <v>4122741</v>
      </c>
      <c r="B144" t="s">
        <v>1286</v>
      </c>
      <c r="C144" t="s">
        <v>1044</v>
      </c>
      <c r="D144" s="6" t="s">
        <v>22</v>
      </c>
      <c r="E144" t="s">
        <v>21</v>
      </c>
      <c r="G144" s="6" t="s">
        <v>968</v>
      </c>
      <c r="H144" s="59" t="s">
        <v>1020</v>
      </c>
      <c r="I144" s="58" t="s">
        <v>911</v>
      </c>
      <c r="J144" t="s">
        <v>839</v>
      </c>
      <c r="K144" t="s">
        <v>830</v>
      </c>
      <c r="L144" t="s">
        <v>1038</v>
      </c>
      <c r="M144" t="s">
        <v>1163</v>
      </c>
      <c r="N144" s="57">
        <v>1200</v>
      </c>
      <c r="O144" t="s">
        <v>100</v>
      </c>
      <c r="P144" t="s">
        <v>93</v>
      </c>
      <c r="Q144" s="3">
        <v>46121</v>
      </c>
      <c r="R144" s="10">
        <f t="shared" ca="1" si="4"/>
        <v>46229</v>
      </c>
      <c r="S144" s="7">
        <f t="shared" ca="1" si="5"/>
        <v>0.29589041095890412</v>
      </c>
    </row>
    <row r="145" spans="1:19" x14ac:dyDescent="0.25">
      <c r="A145">
        <v>4122753</v>
      </c>
      <c r="B145" t="s">
        <v>1294</v>
      </c>
      <c r="C145" t="s">
        <v>1044</v>
      </c>
      <c r="D145" s="6" t="s">
        <v>22</v>
      </c>
      <c r="E145" t="s">
        <v>21</v>
      </c>
      <c r="G145" s="6" t="s">
        <v>968</v>
      </c>
      <c r="H145" s="59" t="s">
        <v>1020</v>
      </c>
      <c r="I145" s="58" t="s">
        <v>911</v>
      </c>
      <c r="J145" t="s">
        <v>839</v>
      </c>
      <c r="K145" t="s">
        <v>830</v>
      </c>
      <c r="L145" t="s">
        <v>1038</v>
      </c>
      <c r="M145" t="s">
        <v>1163</v>
      </c>
      <c r="N145" s="57">
        <v>1200</v>
      </c>
      <c r="O145" t="s">
        <v>100</v>
      </c>
      <c r="P145" t="s">
        <v>93</v>
      </c>
      <c r="Q145" s="3">
        <v>46121</v>
      </c>
      <c r="R145" s="10">
        <f t="shared" ca="1" si="4"/>
        <v>46229</v>
      </c>
      <c r="S145" s="7">
        <f t="shared" ca="1" si="5"/>
        <v>0.29589041095890412</v>
      </c>
    </row>
    <row r="146" spans="1:19" x14ac:dyDescent="0.25">
      <c r="A146">
        <v>4124104</v>
      </c>
      <c r="B146" t="s">
        <v>1553</v>
      </c>
      <c r="C146" t="s">
        <v>1044</v>
      </c>
      <c r="D146" s="6" t="s">
        <v>22</v>
      </c>
      <c r="E146" t="s">
        <v>21</v>
      </c>
      <c r="G146" s="6" t="s">
        <v>968</v>
      </c>
      <c r="H146" s="59" t="s">
        <v>1020</v>
      </c>
      <c r="I146" s="58" t="s">
        <v>911</v>
      </c>
      <c r="J146" t="s">
        <v>839</v>
      </c>
      <c r="K146" t="s">
        <v>830</v>
      </c>
      <c r="L146" t="s">
        <v>1038</v>
      </c>
      <c r="M146" t="s">
        <v>1163</v>
      </c>
      <c r="N146" s="57">
        <v>1200</v>
      </c>
      <c r="O146" t="s">
        <v>100</v>
      </c>
      <c r="P146" t="s">
        <v>93</v>
      </c>
      <c r="Q146" s="3">
        <v>46167</v>
      </c>
      <c r="R146" s="10">
        <f t="shared" ca="1" si="4"/>
        <v>46229</v>
      </c>
      <c r="S146" s="7">
        <f t="shared" ca="1" si="5"/>
        <v>0.16986301369863013</v>
      </c>
    </row>
    <row r="147" spans="1:19" x14ac:dyDescent="0.25">
      <c r="A147">
        <v>4124130</v>
      </c>
      <c r="B147" t="s">
        <v>1565</v>
      </c>
      <c r="C147" t="s">
        <v>1044</v>
      </c>
      <c r="D147" s="6" t="s">
        <v>22</v>
      </c>
      <c r="E147" t="s">
        <v>21</v>
      </c>
      <c r="G147" s="6" t="s">
        <v>968</v>
      </c>
      <c r="H147" s="59" t="s">
        <v>1020</v>
      </c>
      <c r="I147" s="58" t="s">
        <v>911</v>
      </c>
      <c r="J147" t="s">
        <v>839</v>
      </c>
      <c r="K147" t="s">
        <v>830</v>
      </c>
      <c r="L147" t="s">
        <v>1038</v>
      </c>
      <c r="M147" t="s">
        <v>1163</v>
      </c>
      <c r="N147" s="57">
        <v>1200</v>
      </c>
      <c r="O147" t="s">
        <v>100</v>
      </c>
      <c r="P147" t="s">
        <v>93</v>
      </c>
      <c r="Q147" s="3">
        <v>46167</v>
      </c>
      <c r="R147" s="10">
        <f t="shared" ca="1" si="4"/>
        <v>46229</v>
      </c>
      <c r="S147" s="7">
        <f t="shared" ca="1" si="5"/>
        <v>0.16986301369863013</v>
      </c>
    </row>
    <row r="148" spans="1:19" x14ac:dyDescent="0.25">
      <c r="A148">
        <v>4124250</v>
      </c>
      <c r="B148" t="s">
        <v>1705</v>
      </c>
      <c r="C148" t="s">
        <v>1044</v>
      </c>
      <c r="D148" s="6" t="s">
        <v>22</v>
      </c>
      <c r="E148" t="s">
        <v>21</v>
      </c>
      <c r="G148" s="6" t="s">
        <v>968</v>
      </c>
      <c r="H148" s="59" t="s">
        <v>1020</v>
      </c>
      <c r="I148" s="58" t="s">
        <v>911</v>
      </c>
      <c r="J148" t="s">
        <v>839</v>
      </c>
      <c r="K148" t="s">
        <v>830</v>
      </c>
      <c r="L148" t="s">
        <v>1038</v>
      </c>
      <c r="M148" t="s">
        <v>1163</v>
      </c>
      <c r="N148" s="57">
        <v>1200</v>
      </c>
      <c r="O148" t="s">
        <v>100</v>
      </c>
      <c r="P148" t="s">
        <v>93</v>
      </c>
      <c r="Q148" s="3">
        <v>46170</v>
      </c>
      <c r="R148" s="10">
        <f t="shared" ca="1" si="4"/>
        <v>46229</v>
      </c>
      <c r="S148" s="7">
        <f t="shared" ca="1" si="5"/>
        <v>0.16164383561643836</v>
      </c>
    </row>
    <row r="149" spans="1:19" x14ac:dyDescent="0.25">
      <c r="A149">
        <v>4124252</v>
      </c>
      <c r="B149" t="s">
        <v>1707</v>
      </c>
      <c r="C149" t="s">
        <v>1044</v>
      </c>
      <c r="D149" s="6" t="s">
        <v>22</v>
      </c>
      <c r="E149" t="s">
        <v>21</v>
      </c>
      <c r="G149" s="6" t="s">
        <v>968</v>
      </c>
      <c r="H149" s="59" t="s">
        <v>1020</v>
      </c>
      <c r="I149" s="58" t="s">
        <v>911</v>
      </c>
      <c r="J149" t="s">
        <v>839</v>
      </c>
      <c r="K149" t="s">
        <v>830</v>
      </c>
      <c r="L149" t="s">
        <v>1038</v>
      </c>
      <c r="M149" t="s">
        <v>1163</v>
      </c>
      <c r="N149" s="57">
        <v>1200</v>
      </c>
      <c r="O149" t="s">
        <v>100</v>
      </c>
      <c r="P149" t="s">
        <v>93</v>
      </c>
      <c r="Q149" s="3">
        <v>46170</v>
      </c>
      <c r="R149" s="10">
        <f t="shared" ca="1" si="4"/>
        <v>46229</v>
      </c>
      <c r="S149" s="7">
        <f t="shared" ca="1" si="5"/>
        <v>0.16164383561643836</v>
      </c>
    </row>
    <row r="150" spans="1:19" x14ac:dyDescent="0.25">
      <c r="A150">
        <v>4124363</v>
      </c>
      <c r="B150" t="s">
        <v>1723</v>
      </c>
      <c r="C150" t="s">
        <v>1044</v>
      </c>
      <c r="D150" s="6" t="s">
        <v>22</v>
      </c>
      <c r="E150" t="s">
        <v>21</v>
      </c>
      <c r="G150" s="6" t="s">
        <v>968</v>
      </c>
      <c r="H150" s="59" t="s">
        <v>1020</v>
      </c>
      <c r="I150" s="58" t="s">
        <v>911</v>
      </c>
      <c r="J150" t="s">
        <v>839</v>
      </c>
      <c r="K150" t="s">
        <v>830</v>
      </c>
      <c r="L150" t="s">
        <v>1038</v>
      </c>
      <c r="M150" t="s">
        <v>1163</v>
      </c>
      <c r="N150" s="57">
        <v>1200</v>
      </c>
      <c r="O150" t="s">
        <v>100</v>
      </c>
      <c r="P150" t="s">
        <v>93</v>
      </c>
      <c r="Q150" s="3">
        <v>46174</v>
      </c>
      <c r="R150" s="10">
        <f t="shared" ca="1" si="4"/>
        <v>46229</v>
      </c>
      <c r="S150" s="7">
        <f t="shared" ca="1" si="5"/>
        <v>0.15068493150684931</v>
      </c>
    </row>
    <row r="151" spans="1:19" x14ac:dyDescent="0.25">
      <c r="A151">
        <v>4124403</v>
      </c>
      <c r="B151" t="s">
        <v>1755</v>
      </c>
      <c r="C151" t="s">
        <v>1044</v>
      </c>
      <c r="D151" s="6" t="s">
        <v>22</v>
      </c>
      <c r="E151" t="s">
        <v>21</v>
      </c>
      <c r="G151" s="6" t="s">
        <v>968</v>
      </c>
      <c r="H151" s="59" t="s">
        <v>1020</v>
      </c>
      <c r="I151" s="58" t="s">
        <v>911</v>
      </c>
      <c r="J151" t="s">
        <v>839</v>
      </c>
      <c r="K151" t="s">
        <v>830</v>
      </c>
      <c r="L151" t="s">
        <v>1038</v>
      </c>
      <c r="M151" t="s">
        <v>1163</v>
      </c>
      <c r="N151" s="57">
        <v>1200</v>
      </c>
      <c r="O151" t="s">
        <v>100</v>
      </c>
      <c r="P151" t="s">
        <v>93</v>
      </c>
      <c r="Q151" s="3">
        <v>46174</v>
      </c>
      <c r="R151" s="10">
        <f t="shared" ca="1" si="4"/>
        <v>46229</v>
      </c>
      <c r="S151" s="7">
        <f t="shared" ca="1" si="5"/>
        <v>0.15068493150684931</v>
      </c>
    </row>
    <row r="152" spans="1:19" x14ac:dyDescent="0.25">
      <c r="A152">
        <v>4124404</v>
      </c>
      <c r="B152" t="s">
        <v>1756</v>
      </c>
      <c r="C152" t="s">
        <v>1044</v>
      </c>
      <c r="D152" s="6" t="s">
        <v>22</v>
      </c>
      <c r="E152" t="s">
        <v>21</v>
      </c>
      <c r="G152" s="6" t="s">
        <v>968</v>
      </c>
      <c r="H152" s="59" t="s">
        <v>1020</v>
      </c>
      <c r="I152" s="58" t="s">
        <v>911</v>
      </c>
      <c r="J152" t="s">
        <v>839</v>
      </c>
      <c r="K152" t="s">
        <v>830</v>
      </c>
      <c r="L152" t="s">
        <v>1038</v>
      </c>
      <c r="M152" t="s">
        <v>1163</v>
      </c>
      <c r="N152" s="57">
        <v>1200</v>
      </c>
      <c r="O152" t="s">
        <v>100</v>
      </c>
      <c r="P152" t="s">
        <v>93</v>
      </c>
      <c r="Q152" s="3">
        <v>46174</v>
      </c>
      <c r="R152" s="10">
        <f t="shared" ca="1" si="4"/>
        <v>46229</v>
      </c>
      <c r="S152" s="7">
        <f t="shared" ca="1" si="5"/>
        <v>0.15068493150684931</v>
      </c>
    </row>
    <row r="153" spans="1:19" x14ac:dyDescent="0.25">
      <c r="A153">
        <v>4124411</v>
      </c>
      <c r="B153" t="s">
        <v>1763</v>
      </c>
      <c r="C153" t="s">
        <v>1044</v>
      </c>
      <c r="D153" s="6" t="s">
        <v>22</v>
      </c>
      <c r="E153" t="s">
        <v>21</v>
      </c>
      <c r="G153" s="6" t="s">
        <v>968</v>
      </c>
      <c r="H153" s="59" t="s">
        <v>1020</v>
      </c>
      <c r="I153" s="58" t="s">
        <v>911</v>
      </c>
      <c r="J153" t="s">
        <v>839</v>
      </c>
      <c r="K153" t="s">
        <v>830</v>
      </c>
      <c r="L153" t="s">
        <v>1038</v>
      </c>
      <c r="M153" t="s">
        <v>1163</v>
      </c>
      <c r="N153" s="57">
        <v>1200</v>
      </c>
      <c r="O153" t="s">
        <v>100</v>
      </c>
      <c r="P153" t="s">
        <v>93</v>
      </c>
      <c r="Q153" s="3">
        <v>46174</v>
      </c>
      <c r="R153" s="10">
        <f t="shared" ca="1" si="4"/>
        <v>46229</v>
      </c>
      <c r="S153" s="7">
        <f t="shared" ca="1" si="5"/>
        <v>0.15068493150684931</v>
      </c>
    </row>
    <row r="154" spans="1:19" x14ac:dyDescent="0.25">
      <c r="A154">
        <v>4124412</v>
      </c>
      <c r="B154" t="s">
        <v>1764</v>
      </c>
      <c r="C154" t="s">
        <v>1044</v>
      </c>
      <c r="D154" s="6" t="s">
        <v>22</v>
      </c>
      <c r="E154" t="s">
        <v>21</v>
      </c>
      <c r="G154" s="6" t="s">
        <v>968</v>
      </c>
      <c r="H154" s="59" t="s">
        <v>1020</v>
      </c>
      <c r="I154" s="58" t="s">
        <v>911</v>
      </c>
      <c r="J154" t="s">
        <v>839</v>
      </c>
      <c r="K154" t="s">
        <v>830</v>
      </c>
      <c r="L154" t="s">
        <v>1038</v>
      </c>
      <c r="M154" t="s">
        <v>1163</v>
      </c>
      <c r="N154" s="57">
        <v>1200</v>
      </c>
      <c r="O154" t="s">
        <v>100</v>
      </c>
      <c r="P154" t="s">
        <v>93</v>
      </c>
      <c r="Q154" s="3">
        <v>46174</v>
      </c>
      <c r="R154" s="10">
        <f t="shared" ca="1" si="4"/>
        <v>46229</v>
      </c>
      <c r="S154" s="7">
        <f t="shared" ca="1" si="5"/>
        <v>0.15068493150684931</v>
      </c>
    </row>
    <row r="155" spans="1:19" x14ac:dyDescent="0.25">
      <c r="A155">
        <v>578481</v>
      </c>
      <c r="B155" t="s">
        <v>1409</v>
      </c>
      <c r="C155" t="s">
        <v>1044</v>
      </c>
      <c r="D155" s="6" t="s">
        <v>22</v>
      </c>
      <c r="E155" t="s">
        <v>21</v>
      </c>
      <c r="G155" s="6" t="s">
        <v>968</v>
      </c>
      <c r="H155" s="59" t="s">
        <v>1020</v>
      </c>
      <c r="I155" s="58" t="s">
        <v>911</v>
      </c>
      <c r="J155" t="s">
        <v>839</v>
      </c>
      <c r="K155" t="s">
        <v>830</v>
      </c>
      <c r="L155" t="s">
        <v>1038</v>
      </c>
      <c r="M155" t="s">
        <v>1163</v>
      </c>
      <c r="N155" s="57">
        <v>1200</v>
      </c>
      <c r="O155" t="s">
        <v>100</v>
      </c>
      <c r="P155" t="s">
        <v>93</v>
      </c>
      <c r="Q155" s="3">
        <v>46125</v>
      </c>
      <c r="R155" s="10">
        <f t="shared" ca="1" si="4"/>
        <v>46229</v>
      </c>
      <c r="S155" s="7">
        <f t="shared" ca="1" si="5"/>
        <v>0.28493150684931506</v>
      </c>
    </row>
    <row r="156" spans="1:19" x14ac:dyDescent="0.25">
      <c r="A156">
        <v>844587</v>
      </c>
      <c r="B156" t="s">
        <v>1335</v>
      </c>
      <c r="C156" t="s">
        <v>1044</v>
      </c>
      <c r="D156" s="6" t="s">
        <v>22</v>
      </c>
      <c r="E156" t="s">
        <v>21</v>
      </c>
      <c r="G156" s="6" t="s">
        <v>968</v>
      </c>
      <c r="H156" s="59" t="s">
        <v>1020</v>
      </c>
      <c r="I156" s="58" t="s">
        <v>911</v>
      </c>
      <c r="J156" t="s">
        <v>839</v>
      </c>
      <c r="K156" t="s">
        <v>830</v>
      </c>
      <c r="L156" t="s">
        <v>1038</v>
      </c>
      <c r="M156" t="s">
        <v>1163</v>
      </c>
      <c r="N156" s="57">
        <v>1200</v>
      </c>
      <c r="O156" t="s">
        <v>100</v>
      </c>
      <c r="P156" t="s">
        <v>93</v>
      </c>
      <c r="Q156" s="3">
        <v>46121</v>
      </c>
      <c r="R156" s="10">
        <f t="shared" ca="1" si="4"/>
        <v>46229</v>
      </c>
      <c r="S156" s="7">
        <f t="shared" ca="1" si="5"/>
        <v>0.29589041095890412</v>
      </c>
    </row>
    <row r="157" spans="1:19" x14ac:dyDescent="0.25">
      <c r="A157">
        <v>861091</v>
      </c>
      <c r="B157" t="s">
        <v>1105</v>
      </c>
      <c r="C157" t="s">
        <v>17</v>
      </c>
      <c r="D157" s="6" t="s">
        <v>22</v>
      </c>
      <c r="E157" t="s">
        <v>21</v>
      </c>
      <c r="G157" s="6" t="s">
        <v>968</v>
      </c>
      <c r="H157" s="59" t="s">
        <v>1020</v>
      </c>
      <c r="I157" s="58" t="s">
        <v>911</v>
      </c>
      <c r="J157" t="s">
        <v>839</v>
      </c>
      <c r="K157" t="s">
        <v>830</v>
      </c>
      <c r="L157" t="s">
        <v>1038</v>
      </c>
      <c r="M157" t="s">
        <v>1163</v>
      </c>
      <c r="N157" s="57">
        <v>1200</v>
      </c>
      <c r="O157" t="s">
        <v>100</v>
      </c>
      <c r="P157" t="s">
        <v>93</v>
      </c>
      <c r="Q157" s="3">
        <v>46072</v>
      </c>
      <c r="R157" s="10">
        <f t="shared" ca="1" si="4"/>
        <v>46229</v>
      </c>
      <c r="S157" s="7">
        <f t="shared" ca="1" si="5"/>
        <v>0.43013698630136987</v>
      </c>
    </row>
    <row r="158" spans="1:19" x14ac:dyDescent="0.25">
      <c r="A158">
        <v>967766</v>
      </c>
      <c r="B158" t="s">
        <v>1789</v>
      </c>
      <c r="C158" t="s">
        <v>1044</v>
      </c>
      <c r="D158" s="6" t="s">
        <v>22</v>
      </c>
      <c r="E158" t="s">
        <v>21</v>
      </c>
      <c r="G158" s="6" t="s">
        <v>968</v>
      </c>
      <c r="H158" s="59" t="s">
        <v>1020</v>
      </c>
      <c r="I158" s="58" t="s">
        <v>911</v>
      </c>
      <c r="J158" t="s">
        <v>839</v>
      </c>
      <c r="K158" t="s">
        <v>830</v>
      </c>
      <c r="L158" t="s">
        <v>1038</v>
      </c>
      <c r="M158" t="s">
        <v>1163</v>
      </c>
      <c r="N158" s="57">
        <v>1200</v>
      </c>
      <c r="O158" t="s">
        <v>100</v>
      </c>
      <c r="P158" t="s">
        <v>93</v>
      </c>
      <c r="Q158" s="3">
        <v>46170</v>
      </c>
      <c r="R158" s="10">
        <f t="shared" ca="1" si="4"/>
        <v>46229</v>
      </c>
      <c r="S158" s="7">
        <f t="shared" ca="1" si="5"/>
        <v>0.16164383561643836</v>
      </c>
    </row>
    <row r="159" spans="1:19" x14ac:dyDescent="0.25">
      <c r="A159">
        <v>988695</v>
      </c>
      <c r="B159" t="s">
        <v>806</v>
      </c>
      <c r="C159" t="s">
        <v>17</v>
      </c>
      <c r="D159" s="6" t="s">
        <v>22</v>
      </c>
      <c r="E159" t="s">
        <v>55</v>
      </c>
      <c r="G159" s="6" t="s">
        <v>968</v>
      </c>
      <c r="H159" s="59" t="s">
        <v>1020</v>
      </c>
      <c r="I159" s="58" t="s">
        <v>911</v>
      </c>
      <c r="J159" t="s">
        <v>839</v>
      </c>
      <c r="K159" t="s">
        <v>830</v>
      </c>
      <c r="L159" t="s">
        <v>1038</v>
      </c>
      <c r="M159" t="s">
        <v>1163</v>
      </c>
      <c r="N159" s="57">
        <v>1200</v>
      </c>
      <c r="O159" t="s">
        <v>100</v>
      </c>
      <c r="P159" t="s">
        <v>93</v>
      </c>
      <c r="Q159" s="3">
        <v>45155</v>
      </c>
      <c r="R159" s="10">
        <f t="shared" ca="1" si="4"/>
        <v>46229</v>
      </c>
      <c r="S159" s="7">
        <f t="shared" ca="1" si="5"/>
        <v>2.9424657534246577</v>
      </c>
    </row>
    <row r="160" spans="1:19" x14ac:dyDescent="0.25">
      <c r="A160">
        <v>28587</v>
      </c>
      <c r="B160" t="s">
        <v>345</v>
      </c>
      <c r="C160" t="s">
        <v>17</v>
      </c>
      <c r="D160" s="6" t="s">
        <v>22</v>
      </c>
      <c r="E160" t="s">
        <v>70</v>
      </c>
      <c r="G160" s="6" t="s">
        <v>968</v>
      </c>
      <c r="H160" s="59" t="s">
        <v>1019</v>
      </c>
      <c r="I160" s="58" t="s">
        <v>1193</v>
      </c>
      <c r="J160" t="s">
        <v>829</v>
      </c>
      <c r="K160" t="s">
        <v>830</v>
      </c>
      <c r="L160" t="s">
        <v>1038</v>
      </c>
      <c r="M160" t="s">
        <v>1163</v>
      </c>
      <c r="N160" s="57">
        <v>1200</v>
      </c>
      <c r="O160" t="s">
        <v>100</v>
      </c>
      <c r="P160" t="s">
        <v>93</v>
      </c>
      <c r="Q160" s="3">
        <v>39566</v>
      </c>
      <c r="R160" s="10">
        <f t="shared" ca="1" si="4"/>
        <v>46229</v>
      </c>
      <c r="S160" s="7">
        <f t="shared" ca="1" si="5"/>
        <v>18.254794520547946</v>
      </c>
    </row>
    <row r="161" spans="1:19" x14ac:dyDescent="0.25">
      <c r="A161">
        <v>4038148</v>
      </c>
      <c r="B161" t="s">
        <v>456</v>
      </c>
      <c r="C161" t="s">
        <v>17</v>
      </c>
      <c r="D161" s="6" t="s">
        <v>22</v>
      </c>
      <c r="E161" t="s">
        <v>21</v>
      </c>
      <c r="G161" s="6" t="s">
        <v>968</v>
      </c>
      <c r="H161" s="59" t="s">
        <v>1019</v>
      </c>
      <c r="I161" s="58" t="s">
        <v>1193</v>
      </c>
      <c r="J161" t="s">
        <v>829</v>
      </c>
      <c r="K161" t="s">
        <v>830</v>
      </c>
      <c r="L161" t="s">
        <v>1038</v>
      </c>
      <c r="M161" t="s">
        <v>1163</v>
      </c>
      <c r="N161" s="57">
        <v>1200</v>
      </c>
      <c r="O161" t="s">
        <v>100</v>
      </c>
      <c r="P161" t="s">
        <v>93</v>
      </c>
      <c r="Q161" s="3">
        <v>44343</v>
      </c>
      <c r="R161" s="10">
        <f t="shared" ca="1" si="4"/>
        <v>46229</v>
      </c>
      <c r="S161" s="7">
        <f t="shared" ca="1" si="5"/>
        <v>5.1671232876712327</v>
      </c>
    </row>
    <row r="162" spans="1:19" x14ac:dyDescent="0.25">
      <c r="A162">
        <v>4049725</v>
      </c>
      <c r="B162" t="s">
        <v>476</v>
      </c>
      <c r="C162" t="s">
        <v>17</v>
      </c>
      <c r="D162" s="6" t="s">
        <v>22</v>
      </c>
      <c r="E162" t="s">
        <v>21</v>
      </c>
      <c r="G162" s="6" t="s">
        <v>968</v>
      </c>
      <c r="H162" s="59" t="s">
        <v>1019</v>
      </c>
      <c r="I162" s="58" t="s">
        <v>1193</v>
      </c>
      <c r="J162" t="s">
        <v>829</v>
      </c>
      <c r="K162" t="s">
        <v>830</v>
      </c>
      <c r="L162" t="s">
        <v>1038</v>
      </c>
      <c r="M162" t="s">
        <v>1163</v>
      </c>
      <c r="N162" s="57">
        <v>1200</v>
      </c>
      <c r="O162" t="s">
        <v>100</v>
      </c>
      <c r="P162" t="s">
        <v>93</v>
      </c>
      <c r="Q162" s="3">
        <v>45505</v>
      </c>
      <c r="R162" s="10">
        <f t="shared" ca="1" si="4"/>
        <v>46229</v>
      </c>
      <c r="S162" s="7">
        <f t="shared" ca="1" si="5"/>
        <v>1.9835616438356165</v>
      </c>
    </row>
    <row r="163" spans="1:19" x14ac:dyDescent="0.25">
      <c r="A163">
        <v>4068798</v>
      </c>
      <c r="B163" t="s">
        <v>523</v>
      </c>
      <c r="C163" t="s">
        <v>17</v>
      </c>
      <c r="D163" s="6" t="s">
        <v>22</v>
      </c>
      <c r="E163" t="s">
        <v>87</v>
      </c>
      <c r="G163" s="6" t="s">
        <v>968</v>
      </c>
      <c r="H163" s="59" t="s">
        <v>1019</v>
      </c>
      <c r="I163" s="58" t="s">
        <v>1193</v>
      </c>
      <c r="J163" t="s">
        <v>829</v>
      </c>
      <c r="K163" t="s">
        <v>830</v>
      </c>
      <c r="L163" t="s">
        <v>1038</v>
      </c>
      <c r="M163" t="s">
        <v>1163</v>
      </c>
      <c r="N163" s="57">
        <v>1200</v>
      </c>
      <c r="O163" t="s">
        <v>100</v>
      </c>
      <c r="P163" t="s">
        <v>93</v>
      </c>
      <c r="Q163" s="3">
        <v>44833</v>
      </c>
      <c r="R163" s="10">
        <f t="shared" ca="1" si="4"/>
        <v>46229</v>
      </c>
      <c r="S163" s="7">
        <f t="shared" ca="1" si="5"/>
        <v>3.8246575342465752</v>
      </c>
    </row>
    <row r="164" spans="1:19" x14ac:dyDescent="0.25">
      <c r="A164">
        <v>4070917</v>
      </c>
      <c r="B164" t="s">
        <v>526</v>
      </c>
      <c r="C164" t="s">
        <v>17</v>
      </c>
      <c r="D164" s="6" t="s">
        <v>22</v>
      </c>
      <c r="E164" t="s">
        <v>21</v>
      </c>
      <c r="G164" s="6" t="s">
        <v>968</v>
      </c>
      <c r="H164" s="59" t="s">
        <v>1019</v>
      </c>
      <c r="I164" s="58" t="s">
        <v>1193</v>
      </c>
      <c r="J164" t="s">
        <v>829</v>
      </c>
      <c r="K164" t="s">
        <v>830</v>
      </c>
      <c r="L164" t="s">
        <v>1038</v>
      </c>
      <c r="M164" t="s">
        <v>1163</v>
      </c>
      <c r="N164" s="57">
        <v>1200</v>
      </c>
      <c r="O164" t="s">
        <v>100</v>
      </c>
      <c r="P164" t="s">
        <v>93</v>
      </c>
      <c r="Q164" s="3">
        <v>44854</v>
      </c>
      <c r="R164" s="10">
        <f t="shared" ca="1" si="4"/>
        <v>46229</v>
      </c>
      <c r="S164" s="7">
        <f t="shared" ca="1" si="5"/>
        <v>3.7671232876712328</v>
      </c>
    </row>
    <row r="165" spans="1:19" x14ac:dyDescent="0.25">
      <c r="A165">
        <v>4100682</v>
      </c>
      <c r="B165" t="s">
        <v>607</v>
      </c>
      <c r="C165" t="s">
        <v>17</v>
      </c>
      <c r="D165" s="6" t="s">
        <v>22</v>
      </c>
      <c r="E165" t="s">
        <v>87</v>
      </c>
      <c r="G165" s="6" t="s">
        <v>968</v>
      </c>
      <c r="H165" s="59" t="s">
        <v>1019</v>
      </c>
      <c r="I165" s="58" t="s">
        <v>1193</v>
      </c>
      <c r="J165" t="s">
        <v>829</v>
      </c>
      <c r="K165" t="s">
        <v>830</v>
      </c>
      <c r="L165" t="s">
        <v>1038</v>
      </c>
      <c r="M165" t="s">
        <v>1163</v>
      </c>
      <c r="N165" s="57">
        <v>1200</v>
      </c>
      <c r="O165" t="s">
        <v>100</v>
      </c>
      <c r="P165" t="s">
        <v>93</v>
      </c>
      <c r="Q165" s="3">
        <v>45439</v>
      </c>
      <c r="R165" s="10">
        <f t="shared" ca="1" si="4"/>
        <v>46229</v>
      </c>
      <c r="S165" s="7">
        <f t="shared" ca="1" si="5"/>
        <v>2.1643835616438358</v>
      </c>
    </row>
    <row r="166" spans="1:19" x14ac:dyDescent="0.25">
      <c r="A166">
        <v>4103251</v>
      </c>
      <c r="B166" t="s">
        <v>635</v>
      </c>
      <c r="C166" t="s">
        <v>17</v>
      </c>
      <c r="D166" s="6" t="s">
        <v>22</v>
      </c>
      <c r="E166" t="s">
        <v>21</v>
      </c>
      <c r="G166" s="6" t="s">
        <v>968</v>
      </c>
      <c r="H166" s="59" t="s">
        <v>1019</v>
      </c>
      <c r="I166" s="58" t="s">
        <v>1193</v>
      </c>
      <c r="J166" t="s">
        <v>829</v>
      </c>
      <c r="K166" t="s">
        <v>830</v>
      </c>
      <c r="L166" t="s">
        <v>1038</v>
      </c>
      <c r="M166" t="s">
        <v>1163</v>
      </c>
      <c r="N166" s="57">
        <v>1200</v>
      </c>
      <c r="O166" t="s">
        <v>100</v>
      </c>
      <c r="P166" t="s">
        <v>93</v>
      </c>
      <c r="Q166" s="3">
        <v>45502</v>
      </c>
      <c r="R166" s="10">
        <f t="shared" ca="1" si="4"/>
        <v>46229</v>
      </c>
      <c r="S166" s="7">
        <f t="shared" ca="1" si="5"/>
        <v>1.9917808219178081</v>
      </c>
    </row>
    <row r="167" spans="1:19" x14ac:dyDescent="0.25">
      <c r="A167">
        <v>4103333</v>
      </c>
      <c r="B167" t="s">
        <v>640</v>
      </c>
      <c r="C167" t="s">
        <v>17</v>
      </c>
      <c r="D167" s="6" t="s">
        <v>22</v>
      </c>
      <c r="E167" t="s">
        <v>21</v>
      </c>
      <c r="G167" s="6" t="s">
        <v>968</v>
      </c>
      <c r="H167" s="59" t="s">
        <v>1019</v>
      </c>
      <c r="I167" s="58" t="s">
        <v>1193</v>
      </c>
      <c r="J167" t="s">
        <v>829</v>
      </c>
      <c r="K167" t="s">
        <v>830</v>
      </c>
      <c r="L167" t="s">
        <v>1038</v>
      </c>
      <c r="M167" t="s">
        <v>1163</v>
      </c>
      <c r="N167" s="57">
        <v>1200</v>
      </c>
      <c r="O167" t="s">
        <v>100</v>
      </c>
      <c r="P167" t="s">
        <v>93</v>
      </c>
      <c r="Q167" s="3">
        <v>45505</v>
      </c>
      <c r="R167" s="10">
        <f t="shared" ca="1" si="4"/>
        <v>46229</v>
      </c>
      <c r="S167" s="7">
        <f t="shared" ca="1" si="5"/>
        <v>1.9835616438356165</v>
      </c>
    </row>
    <row r="168" spans="1:19" x14ac:dyDescent="0.25">
      <c r="A168">
        <v>4113269</v>
      </c>
      <c r="B168" t="s">
        <v>681</v>
      </c>
      <c r="C168" t="s">
        <v>17</v>
      </c>
      <c r="D168" s="6" t="s">
        <v>22</v>
      </c>
      <c r="E168" t="s">
        <v>21</v>
      </c>
      <c r="G168" s="6" t="s">
        <v>968</v>
      </c>
      <c r="H168" s="59" t="s">
        <v>1019</v>
      </c>
      <c r="I168" s="58" t="s">
        <v>1193</v>
      </c>
      <c r="J168" t="s">
        <v>829</v>
      </c>
      <c r="K168" t="s">
        <v>830</v>
      </c>
      <c r="L168" t="s">
        <v>1038</v>
      </c>
      <c r="M168" t="s">
        <v>1163</v>
      </c>
      <c r="N168" s="57">
        <v>1200</v>
      </c>
      <c r="O168" t="s">
        <v>100</v>
      </c>
      <c r="P168" t="s">
        <v>93</v>
      </c>
      <c r="Q168" s="3">
        <v>45729</v>
      </c>
      <c r="R168" s="10">
        <f t="shared" ca="1" si="4"/>
        <v>46229</v>
      </c>
      <c r="S168" s="7">
        <f t="shared" ca="1" si="5"/>
        <v>1.3698630136986301</v>
      </c>
    </row>
    <row r="169" spans="1:19" x14ac:dyDescent="0.25">
      <c r="A169">
        <v>4113274</v>
      </c>
      <c r="B169" t="s">
        <v>683</v>
      </c>
      <c r="C169" t="s">
        <v>17</v>
      </c>
      <c r="D169" s="6" t="s">
        <v>22</v>
      </c>
      <c r="E169" t="s">
        <v>21</v>
      </c>
      <c r="G169" s="6" t="s">
        <v>968</v>
      </c>
      <c r="H169" s="59" t="s">
        <v>1019</v>
      </c>
      <c r="I169" s="58" t="s">
        <v>1193</v>
      </c>
      <c r="J169" t="s">
        <v>829</v>
      </c>
      <c r="K169" t="s">
        <v>830</v>
      </c>
      <c r="L169" t="s">
        <v>1038</v>
      </c>
      <c r="M169" t="s">
        <v>1163</v>
      </c>
      <c r="N169" s="57">
        <v>1200</v>
      </c>
      <c r="O169" t="s">
        <v>100</v>
      </c>
      <c r="P169" t="s">
        <v>93</v>
      </c>
      <c r="Q169" s="3">
        <v>45729</v>
      </c>
      <c r="R169" s="10">
        <f t="shared" ca="1" si="4"/>
        <v>46229</v>
      </c>
      <c r="S169" s="7">
        <f t="shared" ca="1" si="5"/>
        <v>1.3698630136986301</v>
      </c>
    </row>
    <row r="170" spans="1:19" x14ac:dyDescent="0.25">
      <c r="A170">
        <v>4120853</v>
      </c>
      <c r="B170" t="s">
        <v>1065</v>
      </c>
      <c r="C170" t="s">
        <v>17</v>
      </c>
      <c r="D170" s="6" t="s">
        <v>22</v>
      </c>
      <c r="E170" t="s">
        <v>21</v>
      </c>
      <c r="G170" s="6" t="s">
        <v>968</v>
      </c>
      <c r="H170" s="59" t="s">
        <v>1019</v>
      </c>
      <c r="I170" s="58" t="s">
        <v>1193</v>
      </c>
      <c r="J170" t="s">
        <v>829</v>
      </c>
      <c r="K170" t="s">
        <v>830</v>
      </c>
      <c r="L170" t="s">
        <v>1038</v>
      </c>
      <c r="M170" t="s">
        <v>1163</v>
      </c>
      <c r="N170" s="57">
        <v>1200</v>
      </c>
      <c r="O170" t="s">
        <v>100</v>
      </c>
      <c r="P170" t="s">
        <v>93</v>
      </c>
      <c r="Q170" s="3">
        <v>46069</v>
      </c>
      <c r="R170" s="10">
        <f t="shared" ca="1" si="4"/>
        <v>46229</v>
      </c>
      <c r="S170" s="7">
        <f t="shared" ca="1" si="5"/>
        <v>0.43835616438356162</v>
      </c>
    </row>
    <row r="171" spans="1:19" x14ac:dyDescent="0.25">
      <c r="A171">
        <v>4120855</v>
      </c>
      <c r="B171" t="s">
        <v>1066</v>
      </c>
      <c r="C171" t="s">
        <v>17</v>
      </c>
      <c r="D171" s="6" t="s">
        <v>22</v>
      </c>
      <c r="E171" t="s">
        <v>21</v>
      </c>
      <c r="G171" s="6" t="s">
        <v>968</v>
      </c>
      <c r="H171" s="59" t="s">
        <v>1019</v>
      </c>
      <c r="I171" s="58" t="s">
        <v>1193</v>
      </c>
      <c r="J171" t="s">
        <v>829</v>
      </c>
      <c r="K171" t="s">
        <v>830</v>
      </c>
      <c r="L171" t="s">
        <v>1038</v>
      </c>
      <c r="M171" t="s">
        <v>1163</v>
      </c>
      <c r="N171" s="57">
        <v>1200</v>
      </c>
      <c r="O171" t="s">
        <v>100</v>
      </c>
      <c r="P171" t="s">
        <v>93</v>
      </c>
      <c r="Q171" s="3">
        <v>46069</v>
      </c>
      <c r="R171" s="10">
        <f t="shared" ca="1" si="4"/>
        <v>46229</v>
      </c>
      <c r="S171" s="7">
        <f t="shared" ca="1" si="5"/>
        <v>0.43835616438356162</v>
      </c>
    </row>
    <row r="172" spans="1:19" x14ac:dyDescent="0.25">
      <c r="A172">
        <v>4121080</v>
      </c>
      <c r="B172" t="s">
        <v>1077</v>
      </c>
      <c r="C172" t="s">
        <v>17</v>
      </c>
      <c r="D172" s="6" t="s">
        <v>22</v>
      </c>
      <c r="E172" t="s">
        <v>21</v>
      </c>
      <c r="G172" s="6" t="s">
        <v>968</v>
      </c>
      <c r="H172" s="59" t="s">
        <v>1019</v>
      </c>
      <c r="I172" s="58" t="s">
        <v>1193</v>
      </c>
      <c r="J172" t="s">
        <v>829</v>
      </c>
      <c r="K172" t="s">
        <v>830</v>
      </c>
      <c r="L172" t="s">
        <v>1038</v>
      </c>
      <c r="M172" t="s">
        <v>1163</v>
      </c>
      <c r="N172" s="57">
        <v>1200</v>
      </c>
      <c r="O172" t="s">
        <v>100</v>
      </c>
      <c r="P172" t="s">
        <v>93</v>
      </c>
      <c r="Q172" s="3">
        <v>46072</v>
      </c>
      <c r="R172" s="10">
        <f t="shared" ca="1" si="4"/>
        <v>46229</v>
      </c>
      <c r="S172" s="7">
        <f t="shared" ca="1" si="5"/>
        <v>0.43013698630136987</v>
      </c>
    </row>
    <row r="173" spans="1:19" x14ac:dyDescent="0.25">
      <c r="A173">
        <v>4121126</v>
      </c>
      <c r="B173" t="s">
        <v>1085</v>
      </c>
      <c r="C173" t="s">
        <v>17</v>
      </c>
      <c r="D173" s="6" t="s">
        <v>22</v>
      </c>
      <c r="E173" t="s">
        <v>21</v>
      </c>
      <c r="G173" s="6" t="s">
        <v>968</v>
      </c>
      <c r="H173" s="59" t="s">
        <v>1019</v>
      </c>
      <c r="I173" s="58" t="s">
        <v>1193</v>
      </c>
      <c r="J173" t="s">
        <v>829</v>
      </c>
      <c r="K173" t="s">
        <v>830</v>
      </c>
      <c r="L173" t="s">
        <v>1038</v>
      </c>
      <c r="M173" t="s">
        <v>1163</v>
      </c>
      <c r="N173" s="57">
        <v>1200</v>
      </c>
      <c r="O173" t="s">
        <v>100</v>
      </c>
      <c r="P173" t="s">
        <v>93</v>
      </c>
      <c r="Q173" s="3">
        <v>46072</v>
      </c>
      <c r="R173" s="10">
        <f t="shared" ca="1" si="4"/>
        <v>46229</v>
      </c>
      <c r="S173" s="7">
        <f t="shared" ca="1" si="5"/>
        <v>0.43013698630136987</v>
      </c>
    </row>
    <row r="174" spans="1:19" x14ac:dyDescent="0.25">
      <c r="A174">
        <v>4121136</v>
      </c>
      <c r="B174" t="s">
        <v>1089</v>
      </c>
      <c r="C174" t="s">
        <v>17</v>
      </c>
      <c r="D174" s="6" t="s">
        <v>22</v>
      </c>
      <c r="E174" t="s">
        <v>21</v>
      </c>
      <c r="G174" s="6" t="s">
        <v>968</v>
      </c>
      <c r="H174" s="59" t="s">
        <v>1019</v>
      </c>
      <c r="I174" s="58" t="s">
        <v>1193</v>
      </c>
      <c r="J174" t="s">
        <v>829</v>
      </c>
      <c r="K174" t="s">
        <v>830</v>
      </c>
      <c r="L174" t="s">
        <v>1038</v>
      </c>
      <c r="M174" t="s">
        <v>1163</v>
      </c>
      <c r="N174" s="57">
        <v>1200</v>
      </c>
      <c r="O174" t="s">
        <v>100</v>
      </c>
      <c r="P174" t="s">
        <v>93</v>
      </c>
      <c r="Q174" s="3">
        <v>46072</v>
      </c>
      <c r="R174" s="10">
        <f t="shared" ca="1" si="4"/>
        <v>46229</v>
      </c>
      <c r="S174" s="7">
        <f t="shared" ca="1" si="5"/>
        <v>0.43013698630136987</v>
      </c>
    </row>
    <row r="175" spans="1:19" x14ac:dyDescent="0.25">
      <c r="A175">
        <v>4121143</v>
      </c>
      <c r="B175" t="s">
        <v>1094</v>
      </c>
      <c r="C175" t="s">
        <v>17</v>
      </c>
      <c r="D175" s="6" t="s">
        <v>22</v>
      </c>
      <c r="E175" t="s">
        <v>21</v>
      </c>
      <c r="G175" s="6" t="s">
        <v>968</v>
      </c>
      <c r="H175" s="59" t="s">
        <v>1019</v>
      </c>
      <c r="I175" s="58" t="s">
        <v>1193</v>
      </c>
      <c r="J175" t="s">
        <v>829</v>
      </c>
      <c r="K175" t="s">
        <v>830</v>
      </c>
      <c r="L175" t="s">
        <v>1038</v>
      </c>
      <c r="M175" t="s">
        <v>1163</v>
      </c>
      <c r="N175" s="57">
        <v>1200</v>
      </c>
      <c r="O175" t="s">
        <v>100</v>
      </c>
      <c r="P175" t="s">
        <v>93</v>
      </c>
      <c r="Q175" s="3">
        <v>46072</v>
      </c>
      <c r="R175" s="10">
        <f t="shared" ca="1" si="4"/>
        <v>46229</v>
      </c>
      <c r="S175" s="7">
        <f t="shared" ca="1" si="5"/>
        <v>0.43013698630136987</v>
      </c>
    </row>
    <row r="176" spans="1:19" x14ac:dyDescent="0.25">
      <c r="A176">
        <v>4121145</v>
      </c>
      <c r="B176" t="s">
        <v>1095</v>
      </c>
      <c r="C176" t="s">
        <v>17</v>
      </c>
      <c r="D176" s="6" t="s">
        <v>22</v>
      </c>
      <c r="E176" t="s">
        <v>21</v>
      </c>
      <c r="G176" s="6" t="s">
        <v>968</v>
      </c>
      <c r="H176" s="59" t="s">
        <v>1019</v>
      </c>
      <c r="I176" s="58" t="s">
        <v>1193</v>
      </c>
      <c r="J176" t="s">
        <v>829</v>
      </c>
      <c r="K176" t="s">
        <v>830</v>
      </c>
      <c r="L176" t="s">
        <v>1038</v>
      </c>
      <c r="M176" t="s">
        <v>1163</v>
      </c>
      <c r="N176" s="57">
        <v>1200</v>
      </c>
      <c r="O176" t="s">
        <v>100</v>
      </c>
      <c r="P176" t="s">
        <v>93</v>
      </c>
      <c r="Q176" s="3">
        <v>46072</v>
      </c>
      <c r="R176" s="10">
        <f t="shared" ca="1" si="4"/>
        <v>46229</v>
      </c>
      <c r="S176" s="7">
        <f t="shared" ca="1" si="5"/>
        <v>0.43013698630136987</v>
      </c>
    </row>
    <row r="177" spans="1:19" x14ac:dyDescent="0.25">
      <c r="A177">
        <v>4121214</v>
      </c>
      <c r="B177" t="s">
        <v>1116</v>
      </c>
      <c r="C177" t="s">
        <v>17</v>
      </c>
      <c r="D177" s="6" t="s">
        <v>22</v>
      </c>
      <c r="E177" t="s">
        <v>21</v>
      </c>
      <c r="G177" s="6" t="s">
        <v>968</v>
      </c>
      <c r="H177" s="59" t="s">
        <v>1019</v>
      </c>
      <c r="I177" s="58" t="s">
        <v>1193</v>
      </c>
      <c r="J177" t="s">
        <v>829</v>
      </c>
      <c r="K177" t="s">
        <v>830</v>
      </c>
      <c r="L177" t="s">
        <v>1038</v>
      </c>
      <c r="M177" t="s">
        <v>1163</v>
      </c>
      <c r="N177" s="57">
        <v>1200</v>
      </c>
      <c r="O177" t="s">
        <v>100</v>
      </c>
      <c r="P177" t="s">
        <v>93</v>
      </c>
      <c r="Q177" s="3">
        <v>46076</v>
      </c>
      <c r="R177" s="10">
        <f t="shared" ca="1" si="4"/>
        <v>46229</v>
      </c>
      <c r="S177" s="7">
        <f t="shared" ca="1" si="5"/>
        <v>0.41917808219178082</v>
      </c>
    </row>
    <row r="178" spans="1:19" x14ac:dyDescent="0.25">
      <c r="A178">
        <v>4122503</v>
      </c>
      <c r="B178" t="s">
        <v>1211</v>
      </c>
      <c r="C178" t="s">
        <v>1044</v>
      </c>
      <c r="D178" s="6" t="s">
        <v>22</v>
      </c>
      <c r="E178" t="s">
        <v>21</v>
      </c>
      <c r="G178" s="6" t="s">
        <v>968</v>
      </c>
      <c r="H178" s="59" t="s">
        <v>1019</v>
      </c>
      <c r="I178" s="58" t="s">
        <v>1193</v>
      </c>
      <c r="J178" t="s">
        <v>829</v>
      </c>
      <c r="K178" t="s">
        <v>830</v>
      </c>
      <c r="L178" t="s">
        <v>1038</v>
      </c>
      <c r="M178" t="s">
        <v>1163</v>
      </c>
      <c r="N178" s="57">
        <v>1200</v>
      </c>
      <c r="O178" t="s">
        <v>100</v>
      </c>
      <c r="P178" t="s">
        <v>93</v>
      </c>
      <c r="Q178" s="3">
        <v>46111</v>
      </c>
      <c r="R178" s="10">
        <f t="shared" ca="1" si="4"/>
        <v>46229</v>
      </c>
      <c r="S178" s="7">
        <f t="shared" ca="1" si="5"/>
        <v>0.32328767123287672</v>
      </c>
    </row>
    <row r="179" spans="1:19" x14ac:dyDescent="0.25">
      <c r="A179">
        <v>4122735</v>
      </c>
      <c r="B179" t="s">
        <v>1281</v>
      </c>
      <c r="C179" t="s">
        <v>1044</v>
      </c>
      <c r="D179" s="6" t="s">
        <v>22</v>
      </c>
      <c r="E179" t="s">
        <v>21</v>
      </c>
      <c r="G179" s="6" t="s">
        <v>968</v>
      </c>
      <c r="H179" s="59" t="s">
        <v>1019</v>
      </c>
      <c r="I179" s="58" t="s">
        <v>1193</v>
      </c>
      <c r="J179" t="s">
        <v>829</v>
      </c>
      <c r="K179" t="s">
        <v>830</v>
      </c>
      <c r="L179" t="s">
        <v>1038</v>
      </c>
      <c r="M179" t="s">
        <v>1163</v>
      </c>
      <c r="N179" s="57">
        <v>1200</v>
      </c>
      <c r="O179" t="s">
        <v>100</v>
      </c>
      <c r="P179" t="s">
        <v>93</v>
      </c>
      <c r="Q179" s="3">
        <v>46121</v>
      </c>
      <c r="R179" s="10">
        <f t="shared" ca="1" si="4"/>
        <v>46229</v>
      </c>
      <c r="S179" s="7">
        <f t="shared" ca="1" si="5"/>
        <v>0.29589041095890412</v>
      </c>
    </row>
    <row r="180" spans="1:19" x14ac:dyDescent="0.25">
      <c r="A180">
        <v>4122736</v>
      </c>
      <c r="B180" t="s">
        <v>1282</v>
      </c>
      <c r="C180" t="s">
        <v>1044</v>
      </c>
      <c r="D180" s="6" t="s">
        <v>22</v>
      </c>
      <c r="E180" t="s">
        <v>21</v>
      </c>
      <c r="G180" s="6" t="s">
        <v>968</v>
      </c>
      <c r="H180" s="59" t="s">
        <v>1019</v>
      </c>
      <c r="I180" s="58" t="s">
        <v>1193</v>
      </c>
      <c r="J180" t="s">
        <v>829</v>
      </c>
      <c r="K180" t="s">
        <v>830</v>
      </c>
      <c r="L180" t="s">
        <v>1038</v>
      </c>
      <c r="M180" t="s">
        <v>1163</v>
      </c>
      <c r="N180" s="57">
        <v>1200</v>
      </c>
      <c r="O180" t="s">
        <v>100</v>
      </c>
      <c r="P180" t="s">
        <v>93</v>
      </c>
      <c r="Q180" s="3">
        <v>46121</v>
      </c>
      <c r="R180" s="10">
        <f t="shared" ca="1" si="4"/>
        <v>46229</v>
      </c>
      <c r="S180" s="7">
        <f t="shared" ca="1" si="5"/>
        <v>0.29589041095890412</v>
      </c>
    </row>
    <row r="181" spans="1:19" x14ac:dyDescent="0.25">
      <c r="A181">
        <v>4122742</v>
      </c>
      <c r="B181" t="s">
        <v>1287</v>
      </c>
      <c r="C181" t="s">
        <v>1044</v>
      </c>
      <c r="D181" s="6" t="s">
        <v>22</v>
      </c>
      <c r="E181" t="s">
        <v>21</v>
      </c>
      <c r="G181" s="6" t="s">
        <v>968</v>
      </c>
      <c r="H181" s="59" t="s">
        <v>1019</v>
      </c>
      <c r="I181" s="58" t="s">
        <v>1193</v>
      </c>
      <c r="J181" t="s">
        <v>829</v>
      </c>
      <c r="K181" t="s">
        <v>830</v>
      </c>
      <c r="L181" t="s">
        <v>1038</v>
      </c>
      <c r="M181" t="s">
        <v>1163</v>
      </c>
      <c r="N181" s="57">
        <v>1200</v>
      </c>
      <c r="O181" t="s">
        <v>100</v>
      </c>
      <c r="P181" t="s">
        <v>93</v>
      </c>
      <c r="Q181" s="3">
        <v>46121</v>
      </c>
      <c r="R181" s="10">
        <f t="shared" ca="1" si="4"/>
        <v>46229</v>
      </c>
      <c r="S181" s="7">
        <f t="shared" ca="1" si="5"/>
        <v>0.29589041095890412</v>
      </c>
    </row>
    <row r="182" spans="1:19" x14ac:dyDescent="0.25">
      <c r="A182">
        <v>4122745</v>
      </c>
      <c r="B182" t="s">
        <v>1289</v>
      </c>
      <c r="C182" t="s">
        <v>1044</v>
      </c>
      <c r="D182" s="6" t="s">
        <v>22</v>
      </c>
      <c r="E182" t="s">
        <v>21</v>
      </c>
      <c r="G182" s="6" t="s">
        <v>968</v>
      </c>
      <c r="H182" s="59" t="s">
        <v>1019</v>
      </c>
      <c r="I182" s="58" t="s">
        <v>1193</v>
      </c>
      <c r="J182" t="s">
        <v>829</v>
      </c>
      <c r="K182" t="s">
        <v>830</v>
      </c>
      <c r="L182" t="s">
        <v>1038</v>
      </c>
      <c r="M182" t="s">
        <v>1163</v>
      </c>
      <c r="N182" s="57">
        <v>1200</v>
      </c>
      <c r="O182" t="s">
        <v>100</v>
      </c>
      <c r="P182" t="s">
        <v>93</v>
      </c>
      <c r="Q182" s="3">
        <v>46121</v>
      </c>
      <c r="R182" s="10">
        <f t="shared" ca="1" si="4"/>
        <v>46229</v>
      </c>
      <c r="S182" s="7">
        <f t="shared" ca="1" si="5"/>
        <v>0.29589041095890412</v>
      </c>
    </row>
    <row r="183" spans="1:19" x14ac:dyDescent="0.25">
      <c r="A183">
        <v>4122749</v>
      </c>
      <c r="B183" t="s">
        <v>1291</v>
      </c>
      <c r="C183" t="s">
        <v>1044</v>
      </c>
      <c r="D183" s="6" t="s">
        <v>22</v>
      </c>
      <c r="E183" t="s">
        <v>21</v>
      </c>
      <c r="G183" s="6" t="s">
        <v>968</v>
      </c>
      <c r="H183" s="59" t="s">
        <v>1019</v>
      </c>
      <c r="I183" s="58" t="s">
        <v>1193</v>
      </c>
      <c r="J183" t="s">
        <v>829</v>
      </c>
      <c r="K183" t="s">
        <v>830</v>
      </c>
      <c r="L183" t="s">
        <v>1038</v>
      </c>
      <c r="M183" t="s">
        <v>1163</v>
      </c>
      <c r="N183" s="57">
        <v>1200</v>
      </c>
      <c r="O183" t="s">
        <v>100</v>
      </c>
      <c r="P183" t="s">
        <v>93</v>
      </c>
      <c r="Q183" s="3">
        <v>46121</v>
      </c>
      <c r="R183" s="10">
        <f t="shared" ca="1" si="4"/>
        <v>46229</v>
      </c>
      <c r="S183" s="7">
        <f t="shared" ca="1" si="5"/>
        <v>0.29589041095890412</v>
      </c>
    </row>
    <row r="184" spans="1:19" x14ac:dyDescent="0.25">
      <c r="A184">
        <v>4122750</v>
      </c>
      <c r="B184" t="s">
        <v>1292</v>
      </c>
      <c r="C184" t="s">
        <v>1044</v>
      </c>
      <c r="D184" s="6" t="s">
        <v>22</v>
      </c>
      <c r="E184" t="s">
        <v>21</v>
      </c>
      <c r="G184" s="6" t="s">
        <v>968</v>
      </c>
      <c r="H184" s="59" t="s">
        <v>1019</v>
      </c>
      <c r="I184" s="58" t="s">
        <v>1193</v>
      </c>
      <c r="J184" t="s">
        <v>829</v>
      </c>
      <c r="K184" t="s">
        <v>830</v>
      </c>
      <c r="L184" t="s">
        <v>1038</v>
      </c>
      <c r="M184" t="s">
        <v>1163</v>
      </c>
      <c r="N184" s="57">
        <v>1200</v>
      </c>
      <c r="O184" t="s">
        <v>100</v>
      </c>
      <c r="P184" t="s">
        <v>93</v>
      </c>
      <c r="Q184" s="3">
        <v>46121</v>
      </c>
      <c r="R184" s="10">
        <f t="shared" ca="1" si="4"/>
        <v>46229</v>
      </c>
      <c r="S184" s="7">
        <f t="shared" ca="1" si="5"/>
        <v>0.29589041095890412</v>
      </c>
    </row>
    <row r="185" spans="1:19" x14ac:dyDescent="0.25">
      <c r="A185">
        <v>4122754</v>
      </c>
      <c r="B185" t="s">
        <v>1295</v>
      </c>
      <c r="C185" t="s">
        <v>1044</v>
      </c>
      <c r="D185" s="6" t="s">
        <v>22</v>
      </c>
      <c r="E185" t="s">
        <v>21</v>
      </c>
      <c r="G185" s="6" t="s">
        <v>968</v>
      </c>
      <c r="H185" s="59" t="s">
        <v>1019</v>
      </c>
      <c r="I185" s="58" t="s">
        <v>1193</v>
      </c>
      <c r="J185" t="s">
        <v>829</v>
      </c>
      <c r="K185" t="s">
        <v>830</v>
      </c>
      <c r="L185" t="s">
        <v>1038</v>
      </c>
      <c r="M185" t="s">
        <v>1163</v>
      </c>
      <c r="N185" s="57">
        <v>1200</v>
      </c>
      <c r="O185" t="s">
        <v>100</v>
      </c>
      <c r="P185" t="s">
        <v>93</v>
      </c>
      <c r="Q185" s="3">
        <v>46121</v>
      </c>
      <c r="R185" s="10">
        <f t="shared" ca="1" si="4"/>
        <v>46229</v>
      </c>
      <c r="S185" s="7">
        <f t="shared" ca="1" si="5"/>
        <v>0.29589041095890412</v>
      </c>
    </row>
    <row r="186" spans="1:19" x14ac:dyDescent="0.25">
      <c r="A186">
        <v>4122785</v>
      </c>
      <c r="B186" t="s">
        <v>1315</v>
      </c>
      <c r="C186" t="s">
        <v>1044</v>
      </c>
      <c r="D186" s="6" t="s">
        <v>22</v>
      </c>
      <c r="E186" t="s">
        <v>21</v>
      </c>
      <c r="G186" s="6" t="s">
        <v>968</v>
      </c>
      <c r="H186" s="59" t="s">
        <v>1019</v>
      </c>
      <c r="I186" s="58" t="s">
        <v>1193</v>
      </c>
      <c r="J186" t="s">
        <v>829</v>
      </c>
      <c r="K186" t="s">
        <v>830</v>
      </c>
      <c r="L186" t="s">
        <v>1038</v>
      </c>
      <c r="M186" t="s">
        <v>1163</v>
      </c>
      <c r="N186" s="57">
        <v>1200</v>
      </c>
      <c r="O186" t="s">
        <v>100</v>
      </c>
      <c r="P186" t="s">
        <v>93</v>
      </c>
      <c r="Q186" s="3">
        <v>46121</v>
      </c>
      <c r="R186" s="10">
        <f t="shared" ca="1" si="4"/>
        <v>46229</v>
      </c>
      <c r="S186" s="7">
        <f t="shared" ca="1" si="5"/>
        <v>0.29589041095890412</v>
      </c>
    </row>
    <row r="187" spans="1:19" x14ac:dyDescent="0.25">
      <c r="A187">
        <v>4122792</v>
      </c>
      <c r="B187" t="s">
        <v>1319</v>
      </c>
      <c r="C187" t="s">
        <v>1044</v>
      </c>
      <c r="D187" s="6" t="s">
        <v>22</v>
      </c>
      <c r="E187" t="s">
        <v>21</v>
      </c>
      <c r="G187" s="6" t="s">
        <v>968</v>
      </c>
      <c r="H187" s="59" t="s">
        <v>1019</v>
      </c>
      <c r="I187" s="58" t="s">
        <v>1193</v>
      </c>
      <c r="J187" t="s">
        <v>829</v>
      </c>
      <c r="K187" t="s">
        <v>830</v>
      </c>
      <c r="L187" t="s">
        <v>1038</v>
      </c>
      <c r="M187" t="s">
        <v>1163</v>
      </c>
      <c r="N187" s="57">
        <v>1200</v>
      </c>
      <c r="O187" t="s">
        <v>100</v>
      </c>
      <c r="P187" t="s">
        <v>93</v>
      </c>
      <c r="Q187" s="3">
        <v>46121</v>
      </c>
      <c r="R187" s="10">
        <f t="shared" ca="1" si="4"/>
        <v>46229</v>
      </c>
      <c r="S187" s="7">
        <f t="shared" ca="1" si="5"/>
        <v>0.29589041095890412</v>
      </c>
    </row>
    <row r="188" spans="1:19" x14ac:dyDescent="0.25">
      <c r="A188">
        <v>4124538</v>
      </c>
      <c r="B188" t="s">
        <v>1778</v>
      </c>
      <c r="C188" t="s">
        <v>1044</v>
      </c>
      <c r="D188" s="6" t="s">
        <v>22</v>
      </c>
      <c r="E188" t="s">
        <v>21</v>
      </c>
      <c r="G188" s="6" t="s">
        <v>968</v>
      </c>
      <c r="H188" s="59" t="s">
        <v>1019</v>
      </c>
      <c r="I188" s="58" t="s">
        <v>1193</v>
      </c>
      <c r="J188" t="s">
        <v>829</v>
      </c>
      <c r="K188" t="s">
        <v>830</v>
      </c>
      <c r="L188" t="s">
        <v>1038</v>
      </c>
      <c r="M188" t="s">
        <v>1163</v>
      </c>
      <c r="N188" s="57">
        <v>1200</v>
      </c>
      <c r="O188" t="s">
        <v>100</v>
      </c>
      <c r="P188" t="s">
        <v>93</v>
      </c>
      <c r="Q188" s="3">
        <v>46177</v>
      </c>
      <c r="R188" s="10">
        <f t="shared" ca="1" si="4"/>
        <v>46229</v>
      </c>
      <c r="S188" s="7">
        <f t="shared" ca="1" si="5"/>
        <v>0.14246575342465753</v>
      </c>
    </row>
    <row r="189" spans="1:19" x14ac:dyDescent="0.25">
      <c r="A189">
        <v>921680</v>
      </c>
      <c r="B189" t="s">
        <v>763</v>
      </c>
      <c r="C189" t="s">
        <v>17</v>
      </c>
      <c r="D189" s="6" t="s">
        <v>22</v>
      </c>
      <c r="E189" t="s">
        <v>21</v>
      </c>
      <c r="G189" s="6" t="s">
        <v>968</v>
      </c>
      <c r="H189" s="59" t="s">
        <v>1019</v>
      </c>
      <c r="I189" s="58" t="s">
        <v>1193</v>
      </c>
      <c r="J189" t="s">
        <v>829</v>
      </c>
      <c r="K189" t="s">
        <v>830</v>
      </c>
      <c r="L189" t="s">
        <v>1038</v>
      </c>
      <c r="M189" t="s">
        <v>1163</v>
      </c>
      <c r="N189" s="57">
        <v>1200</v>
      </c>
      <c r="O189" t="s">
        <v>100</v>
      </c>
      <c r="P189" t="s">
        <v>93</v>
      </c>
      <c r="Q189" s="3">
        <v>45544</v>
      </c>
      <c r="R189" s="10">
        <f t="shared" ca="1" si="4"/>
        <v>46229</v>
      </c>
      <c r="S189" s="7">
        <f t="shared" ca="1" si="5"/>
        <v>1.8767123287671232</v>
      </c>
    </row>
    <row r="190" spans="1:19" x14ac:dyDescent="0.25">
      <c r="A190">
        <v>4124245</v>
      </c>
      <c r="B190" t="s">
        <v>1700</v>
      </c>
      <c r="C190" t="s">
        <v>1044</v>
      </c>
      <c r="D190" s="6" t="s">
        <v>22</v>
      </c>
      <c r="E190" t="s">
        <v>21</v>
      </c>
      <c r="G190" s="6" t="s">
        <v>968</v>
      </c>
      <c r="H190" s="59" t="s">
        <v>1019</v>
      </c>
      <c r="I190" s="58" t="s">
        <v>1193</v>
      </c>
      <c r="J190" t="s">
        <v>829</v>
      </c>
      <c r="K190" t="s">
        <v>830</v>
      </c>
      <c r="L190" t="s">
        <v>1038</v>
      </c>
      <c r="M190" t="s">
        <v>1163</v>
      </c>
      <c r="N190" s="57">
        <v>1200</v>
      </c>
      <c r="O190" t="s">
        <v>100</v>
      </c>
      <c r="P190" t="s">
        <v>93</v>
      </c>
      <c r="Q190" s="3">
        <v>46170</v>
      </c>
      <c r="R190" s="10">
        <f t="shared" ca="1" si="4"/>
        <v>46229</v>
      </c>
      <c r="S190" s="7">
        <f t="shared" ca="1" si="5"/>
        <v>0.16164383561643836</v>
      </c>
    </row>
    <row r="191" spans="1:19" x14ac:dyDescent="0.25">
      <c r="A191">
        <v>4055349</v>
      </c>
      <c r="B191" t="s">
        <v>1623</v>
      </c>
      <c r="C191" t="s">
        <v>1044</v>
      </c>
      <c r="D191" s="6" t="s">
        <v>22</v>
      </c>
      <c r="E191" t="s">
        <v>21</v>
      </c>
      <c r="G191" s="6" t="s">
        <v>968</v>
      </c>
      <c r="H191" s="59" t="s">
        <v>1019</v>
      </c>
      <c r="I191" s="58" t="s">
        <v>1193</v>
      </c>
      <c r="J191" t="s">
        <v>829</v>
      </c>
      <c r="K191" t="s">
        <v>830</v>
      </c>
      <c r="L191" t="s">
        <v>1038</v>
      </c>
      <c r="M191" t="s">
        <v>1163</v>
      </c>
      <c r="N191" s="57">
        <v>1200</v>
      </c>
      <c r="O191" t="s">
        <v>100</v>
      </c>
      <c r="P191" t="s">
        <v>93</v>
      </c>
      <c r="Q191" s="3">
        <v>46170</v>
      </c>
      <c r="R191" s="10">
        <f t="shared" ca="1" si="4"/>
        <v>46229</v>
      </c>
      <c r="S191" s="7">
        <f t="shared" ca="1" si="5"/>
        <v>0.16164383561643836</v>
      </c>
    </row>
    <row r="192" spans="1:19" x14ac:dyDescent="0.25">
      <c r="A192">
        <v>1007730</v>
      </c>
      <c r="B192" t="s">
        <v>116</v>
      </c>
      <c r="C192" t="s">
        <v>17</v>
      </c>
      <c r="D192" s="6" t="s">
        <v>22</v>
      </c>
      <c r="E192" t="s">
        <v>21</v>
      </c>
      <c r="G192" s="6" t="s">
        <v>968</v>
      </c>
      <c r="H192" s="59" t="s">
        <v>1027</v>
      </c>
      <c r="I192" s="58" t="s">
        <v>846</v>
      </c>
      <c r="J192" t="s">
        <v>847</v>
      </c>
      <c r="K192" t="s">
        <v>830</v>
      </c>
      <c r="L192" t="s">
        <v>91</v>
      </c>
      <c r="M192" t="s">
        <v>1163</v>
      </c>
      <c r="N192" s="57">
        <v>1200</v>
      </c>
      <c r="O192" t="s">
        <v>100</v>
      </c>
      <c r="P192" t="s">
        <v>93</v>
      </c>
      <c r="Q192" s="3">
        <v>45645</v>
      </c>
      <c r="R192" s="10">
        <f t="shared" ca="1" si="4"/>
        <v>46229</v>
      </c>
      <c r="S192" s="7">
        <f t="shared" ca="1" si="5"/>
        <v>1.6</v>
      </c>
    </row>
    <row r="193" spans="1:19" x14ac:dyDescent="0.25">
      <c r="A193">
        <v>1159301</v>
      </c>
      <c r="B193" t="s">
        <v>186</v>
      </c>
      <c r="C193" t="s">
        <v>17</v>
      </c>
      <c r="D193" s="6" t="s">
        <v>22</v>
      </c>
      <c r="E193" t="s">
        <v>77</v>
      </c>
      <c r="G193" s="6" t="s">
        <v>968</v>
      </c>
      <c r="H193" s="59" t="s">
        <v>1027</v>
      </c>
      <c r="I193" s="58" t="s">
        <v>846</v>
      </c>
      <c r="J193" t="s">
        <v>847</v>
      </c>
      <c r="K193" t="s">
        <v>830</v>
      </c>
      <c r="L193" t="s">
        <v>91</v>
      </c>
      <c r="M193" t="s">
        <v>1163</v>
      </c>
      <c r="N193" s="57">
        <v>1300</v>
      </c>
      <c r="O193" t="s">
        <v>100</v>
      </c>
      <c r="P193" t="s">
        <v>93</v>
      </c>
      <c r="Q193" s="3">
        <v>44767</v>
      </c>
      <c r="R193" s="10">
        <f t="shared" ca="1" si="4"/>
        <v>46229</v>
      </c>
      <c r="S193" s="7">
        <f t="shared" ca="1" si="5"/>
        <v>4.0054794520547947</v>
      </c>
    </row>
    <row r="194" spans="1:19" x14ac:dyDescent="0.25">
      <c r="A194">
        <v>31143</v>
      </c>
      <c r="B194" t="s">
        <v>372</v>
      </c>
      <c r="C194" t="s">
        <v>17</v>
      </c>
      <c r="D194" s="6" t="s">
        <v>22</v>
      </c>
      <c r="E194" t="s">
        <v>21</v>
      </c>
      <c r="G194" s="6" t="s">
        <v>968</v>
      </c>
      <c r="H194" s="59" t="s">
        <v>1027</v>
      </c>
      <c r="I194" s="58" t="s">
        <v>846</v>
      </c>
      <c r="J194" t="s">
        <v>847</v>
      </c>
      <c r="K194" t="s">
        <v>830</v>
      </c>
      <c r="L194" t="s">
        <v>91</v>
      </c>
      <c r="M194" t="s">
        <v>1163</v>
      </c>
      <c r="N194" s="57">
        <v>1200</v>
      </c>
      <c r="O194" t="s">
        <v>100</v>
      </c>
      <c r="P194" t="s">
        <v>93</v>
      </c>
      <c r="Q194" s="3">
        <v>45544</v>
      </c>
      <c r="R194" s="10">
        <f t="shared" ca="1" si="4"/>
        <v>46229</v>
      </c>
      <c r="S194" s="7">
        <f t="shared" ca="1" si="5"/>
        <v>1.8767123287671232</v>
      </c>
    </row>
    <row r="195" spans="1:19" x14ac:dyDescent="0.25">
      <c r="A195">
        <v>4038476</v>
      </c>
      <c r="B195" t="s">
        <v>459</v>
      </c>
      <c r="C195" t="s">
        <v>17</v>
      </c>
      <c r="D195" s="6" t="s">
        <v>22</v>
      </c>
      <c r="E195" t="s">
        <v>87</v>
      </c>
      <c r="G195" s="6" t="s">
        <v>968</v>
      </c>
      <c r="H195" s="59" t="s">
        <v>1027</v>
      </c>
      <c r="I195" s="58" t="s">
        <v>846</v>
      </c>
      <c r="J195" t="s">
        <v>847</v>
      </c>
      <c r="K195" t="s">
        <v>830</v>
      </c>
      <c r="L195" t="s">
        <v>91</v>
      </c>
      <c r="M195" t="s">
        <v>1163</v>
      </c>
      <c r="N195" s="57">
        <v>1200</v>
      </c>
      <c r="O195" t="s">
        <v>100</v>
      </c>
      <c r="P195" t="s">
        <v>93</v>
      </c>
      <c r="Q195" s="3">
        <v>45414</v>
      </c>
      <c r="R195" s="10">
        <f t="shared" ref="R195:R258" ca="1" si="6">TODAY()</f>
        <v>46229</v>
      </c>
      <c r="S195" s="7">
        <f t="shared" ref="S195:S258" ca="1" si="7">(R195-Q195)/365</f>
        <v>2.2328767123287672</v>
      </c>
    </row>
    <row r="196" spans="1:19" x14ac:dyDescent="0.25">
      <c r="A196">
        <v>4065207</v>
      </c>
      <c r="B196" t="s">
        <v>515</v>
      </c>
      <c r="C196" t="s">
        <v>17</v>
      </c>
      <c r="D196" s="6" t="s">
        <v>22</v>
      </c>
      <c r="E196" t="s">
        <v>21</v>
      </c>
      <c r="G196" s="6" t="s">
        <v>968</v>
      </c>
      <c r="H196" s="59" t="s">
        <v>1027</v>
      </c>
      <c r="I196" s="58" t="s">
        <v>846</v>
      </c>
      <c r="J196" t="s">
        <v>847</v>
      </c>
      <c r="K196" t="s">
        <v>830</v>
      </c>
      <c r="L196" t="s">
        <v>91</v>
      </c>
      <c r="M196" t="s">
        <v>1163</v>
      </c>
      <c r="N196" s="57">
        <v>1200</v>
      </c>
      <c r="O196" t="s">
        <v>100</v>
      </c>
      <c r="P196" t="s">
        <v>93</v>
      </c>
      <c r="Q196" s="3">
        <v>45734</v>
      </c>
      <c r="R196" s="10">
        <f t="shared" ca="1" si="6"/>
        <v>46229</v>
      </c>
      <c r="S196" s="7">
        <f t="shared" ca="1" si="7"/>
        <v>1.3561643835616439</v>
      </c>
    </row>
    <row r="197" spans="1:19" x14ac:dyDescent="0.25">
      <c r="A197">
        <v>4073504</v>
      </c>
      <c r="B197" t="s">
        <v>1632</v>
      </c>
      <c r="C197" t="s">
        <v>1044</v>
      </c>
      <c r="D197" s="6" t="s">
        <v>22</v>
      </c>
      <c r="E197" t="s">
        <v>21</v>
      </c>
      <c r="G197" s="6" t="s">
        <v>968</v>
      </c>
      <c r="H197" s="59" t="s">
        <v>1027</v>
      </c>
      <c r="I197" s="58" t="s">
        <v>846</v>
      </c>
      <c r="J197" t="s">
        <v>847</v>
      </c>
      <c r="K197" t="s">
        <v>830</v>
      </c>
      <c r="L197" t="s">
        <v>91</v>
      </c>
      <c r="M197" t="s">
        <v>1163</v>
      </c>
      <c r="N197" s="57">
        <v>1200</v>
      </c>
      <c r="O197" t="s">
        <v>100</v>
      </c>
      <c r="P197" t="s">
        <v>93</v>
      </c>
      <c r="Q197" s="3">
        <v>46170</v>
      </c>
      <c r="R197" s="10">
        <f t="shared" ca="1" si="6"/>
        <v>46229</v>
      </c>
      <c r="S197" s="7">
        <f t="shared" ca="1" si="7"/>
        <v>0.16164383561643836</v>
      </c>
    </row>
    <row r="198" spans="1:19" x14ac:dyDescent="0.25">
      <c r="A198">
        <v>4084136</v>
      </c>
      <c r="B198" t="s">
        <v>554</v>
      </c>
      <c r="C198" t="s">
        <v>17</v>
      </c>
      <c r="D198" s="6" t="s">
        <v>22</v>
      </c>
      <c r="E198" t="s">
        <v>21</v>
      </c>
      <c r="G198" s="6" t="s">
        <v>968</v>
      </c>
      <c r="H198" s="59" t="s">
        <v>1027</v>
      </c>
      <c r="I198" s="58" t="s">
        <v>846</v>
      </c>
      <c r="J198" t="s">
        <v>847</v>
      </c>
      <c r="K198" t="s">
        <v>830</v>
      </c>
      <c r="L198" t="s">
        <v>91</v>
      </c>
      <c r="M198" t="s">
        <v>1163</v>
      </c>
      <c r="N198" s="57">
        <v>1200</v>
      </c>
      <c r="O198" t="s">
        <v>100</v>
      </c>
      <c r="P198" t="s">
        <v>93</v>
      </c>
      <c r="Q198" s="3">
        <v>44998</v>
      </c>
      <c r="R198" s="10">
        <f t="shared" ca="1" si="6"/>
        <v>46229</v>
      </c>
      <c r="S198" s="7">
        <f t="shared" ca="1" si="7"/>
        <v>3.3726027397260272</v>
      </c>
    </row>
    <row r="199" spans="1:19" x14ac:dyDescent="0.25">
      <c r="A199">
        <v>4087417</v>
      </c>
      <c r="B199" t="s">
        <v>560</v>
      </c>
      <c r="C199" t="s">
        <v>17</v>
      </c>
      <c r="D199" s="6" t="s">
        <v>22</v>
      </c>
      <c r="E199" t="s">
        <v>21</v>
      </c>
      <c r="G199" s="6" t="s">
        <v>968</v>
      </c>
      <c r="H199" s="59" t="s">
        <v>1027</v>
      </c>
      <c r="I199" s="58" t="s">
        <v>846</v>
      </c>
      <c r="J199" t="s">
        <v>847</v>
      </c>
      <c r="K199" t="s">
        <v>830</v>
      </c>
      <c r="L199" t="s">
        <v>91</v>
      </c>
      <c r="M199" t="s">
        <v>1163</v>
      </c>
      <c r="N199" s="57">
        <v>1200</v>
      </c>
      <c r="O199" t="s">
        <v>100</v>
      </c>
      <c r="P199" t="s">
        <v>93</v>
      </c>
      <c r="Q199" s="3">
        <v>45036</v>
      </c>
      <c r="R199" s="10">
        <f t="shared" ca="1" si="6"/>
        <v>46229</v>
      </c>
      <c r="S199" s="7">
        <f t="shared" ca="1" si="7"/>
        <v>3.2684931506849315</v>
      </c>
    </row>
    <row r="200" spans="1:19" x14ac:dyDescent="0.25">
      <c r="A200">
        <v>4088433</v>
      </c>
      <c r="B200" t="s">
        <v>1114</v>
      </c>
      <c r="C200" t="s">
        <v>17</v>
      </c>
      <c r="D200" s="6" t="s">
        <v>22</v>
      </c>
      <c r="E200" t="s">
        <v>21</v>
      </c>
      <c r="G200" s="6" t="s">
        <v>968</v>
      </c>
      <c r="H200" s="59" t="s">
        <v>1027</v>
      </c>
      <c r="I200" s="58" t="s">
        <v>846</v>
      </c>
      <c r="J200" t="s">
        <v>847</v>
      </c>
      <c r="K200" t="s">
        <v>830</v>
      </c>
      <c r="L200" t="s">
        <v>91</v>
      </c>
      <c r="M200" t="s">
        <v>1163</v>
      </c>
      <c r="N200" s="57">
        <v>1200</v>
      </c>
      <c r="O200" t="s">
        <v>100</v>
      </c>
      <c r="P200" t="s">
        <v>93</v>
      </c>
      <c r="Q200" s="3">
        <v>46076</v>
      </c>
      <c r="R200" s="10">
        <f t="shared" ca="1" si="6"/>
        <v>46229</v>
      </c>
      <c r="S200" s="7">
        <f t="shared" ca="1" si="7"/>
        <v>0.41917808219178082</v>
      </c>
    </row>
    <row r="201" spans="1:19" x14ac:dyDescent="0.25">
      <c r="A201">
        <v>4102223</v>
      </c>
      <c r="B201" t="s">
        <v>623</v>
      </c>
      <c r="C201" t="s">
        <v>17</v>
      </c>
      <c r="D201" s="6" t="s">
        <v>22</v>
      </c>
      <c r="E201" t="s">
        <v>21</v>
      </c>
      <c r="G201" s="6" t="s">
        <v>968</v>
      </c>
      <c r="H201" s="59" t="s">
        <v>1027</v>
      </c>
      <c r="I201" s="58" t="s">
        <v>846</v>
      </c>
      <c r="J201" t="s">
        <v>847</v>
      </c>
      <c r="K201" t="s">
        <v>830</v>
      </c>
      <c r="L201" t="s">
        <v>91</v>
      </c>
      <c r="M201" t="s">
        <v>1163</v>
      </c>
      <c r="N201" s="57">
        <v>1200</v>
      </c>
      <c r="O201" t="s">
        <v>100</v>
      </c>
      <c r="P201" t="s">
        <v>93</v>
      </c>
      <c r="Q201" s="3">
        <v>45729</v>
      </c>
      <c r="R201" s="10">
        <f t="shared" ca="1" si="6"/>
        <v>46229</v>
      </c>
      <c r="S201" s="7">
        <f t="shared" ca="1" si="7"/>
        <v>1.3698630136986301</v>
      </c>
    </row>
    <row r="202" spans="1:19" x14ac:dyDescent="0.25">
      <c r="A202">
        <v>4113304</v>
      </c>
      <c r="B202" t="s">
        <v>687</v>
      </c>
      <c r="C202" t="s">
        <v>17</v>
      </c>
      <c r="D202" s="6" t="s">
        <v>22</v>
      </c>
      <c r="E202" t="s">
        <v>21</v>
      </c>
      <c r="G202" s="6" t="s">
        <v>968</v>
      </c>
      <c r="H202" s="59" t="s">
        <v>1027</v>
      </c>
      <c r="I202" s="58" t="s">
        <v>846</v>
      </c>
      <c r="J202" t="s">
        <v>847</v>
      </c>
      <c r="K202" t="s">
        <v>830</v>
      </c>
      <c r="L202" t="s">
        <v>91</v>
      </c>
      <c r="M202" t="s">
        <v>1163</v>
      </c>
      <c r="N202" s="57">
        <v>1200</v>
      </c>
      <c r="O202" t="s">
        <v>100</v>
      </c>
      <c r="P202" t="s">
        <v>93</v>
      </c>
      <c r="Q202" s="3">
        <v>45734</v>
      </c>
      <c r="R202" s="10">
        <f t="shared" ca="1" si="6"/>
        <v>46229</v>
      </c>
      <c r="S202" s="7">
        <f t="shared" ca="1" si="7"/>
        <v>1.3561643835616439</v>
      </c>
    </row>
    <row r="203" spans="1:19" x14ac:dyDescent="0.25">
      <c r="A203">
        <v>4121087</v>
      </c>
      <c r="B203" t="s">
        <v>1079</v>
      </c>
      <c r="C203" t="s">
        <v>17</v>
      </c>
      <c r="D203" s="6" t="s">
        <v>22</v>
      </c>
      <c r="E203" t="s">
        <v>21</v>
      </c>
      <c r="G203" s="6" t="s">
        <v>968</v>
      </c>
      <c r="H203" s="59" t="s">
        <v>1027</v>
      </c>
      <c r="I203" s="58" t="s">
        <v>846</v>
      </c>
      <c r="J203" t="s">
        <v>847</v>
      </c>
      <c r="K203" t="s">
        <v>830</v>
      </c>
      <c r="L203" t="s">
        <v>91</v>
      </c>
      <c r="M203" t="s">
        <v>1163</v>
      </c>
      <c r="N203" s="57">
        <v>1200</v>
      </c>
      <c r="O203" t="s">
        <v>100</v>
      </c>
      <c r="P203" t="s">
        <v>93</v>
      </c>
      <c r="Q203" s="3">
        <v>46072</v>
      </c>
      <c r="R203" s="10">
        <f t="shared" ca="1" si="6"/>
        <v>46229</v>
      </c>
      <c r="S203" s="7">
        <f t="shared" ca="1" si="7"/>
        <v>0.43013698630136987</v>
      </c>
    </row>
    <row r="204" spans="1:19" x14ac:dyDescent="0.25">
      <c r="A204">
        <v>4122546</v>
      </c>
      <c r="B204" t="s">
        <v>1255</v>
      </c>
      <c r="C204" t="s">
        <v>1044</v>
      </c>
      <c r="D204" s="6" t="s">
        <v>22</v>
      </c>
      <c r="E204" t="s">
        <v>21</v>
      </c>
      <c r="G204" s="6" t="s">
        <v>968</v>
      </c>
      <c r="H204" s="59" t="s">
        <v>1027</v>
      </c>
      <c r="I204" s="58" t="s">
        <v>846</v>
      </c>
      <c r="J204" t="s">
        <v>847</v>
      </c>
      <c r="K204" t="s">
        <v>830</v>
      </c>
      <c r="L204" t="s">
        <v>91</v>
      </c>
      <c r="M204" t="s">
        <v>1163</v>
      </c>
      <c r="N204" s="57">
        <v>1200</v>
      </c>
      <c r="O204" t="s">
        <v>100</v>
      </c>
      <c r="P204" t="s">
        <v>93</v>
      </c>
      <c r="Q204" s="3">
        <v>46118</v>
      </c>
      <c r="R204" s="10">
        <f t="shared" ca="1" si="6"/>
        <v>46229</v>
      </c>
      <c r="S204" s="7">
        <f t="shared" ca="1" si="7"/>
        <v>0.30410958904109592</v>
      </c>
    </row>
    <row r="205" spans="1:19" x14ac:dyDescent="0.25">
      <c r="A205">
        <v>4124211</v>
      </c>
      <c r="B205" t="s">
        <v>1676</v>
      </c>
      <c r="C205" t="s">
        <v>1044</v>
      </c>
      <c r="D205" s="6" t="s">
        <v>22</v>
      </c>
      <c r="E205" t="s">
        <v>21</v>
      </c>
      <c r="G205" s="6" t="s">
        <v>968</v>
      </c>
      <c r="H205" s="59" t="s">
        <v>1027</v>
      </c>
      <c r="I205" s="58" t="s">
        <v>846</v>
      </c>
      <c r="J205" t="s">
        <v>847</v>
      </c>
      <c r="K205" t="s">
        <v>830</v>
      </c>
      <c r="L205" t="s">
        <v>91</v>
      </c>
      <c r="M205" t="s">
        <v>1163</v>
      </c>
      <c r="N205" s="57">
        <v>1200</v>
      </c>
      <c r="O205" t="s">
        <v>100</v>
      </c>
      <c r="P205" t="s">
        <v>93</v>
      </c>
      <c r="Q205" s="3">
        <v>46170</v>
      </c>
      <c r="R205" s="10">
        <f t="shared" ca="1" si="6"/>
        <v>46229</v>
      </c>
      <c r="S205" s="7">
        <f t="shared" ca="1" si="7"/>
        <v>0.16164383561643836</v>
      </c>
    </row>
    <row r="206" spans="1:19" x14ac:dyDescent="0.25">
      <c r="A206">
        <v>955358</v>
      </c>
      <c r="B206" t="s">
        <v>1787</v>
      </c>
      <c r="C206" t="s">
        <v>1044</v>
      </c>
      <c r="D206" s="6" t="s">
        <v>22</v>
      </c>
      <c r="E206" t="s">
        <v>21</v>
      </c>
      <c r="G206" s="6" t="s">
        <v>968</v>
      </c>
      <c r="H206" s="59" t="s">
        <v>1027</v>
      </c>
      <c r="I206" s="58" t="s">
        <v>846</v>
      </c>
      <c r="J206" t="s">
        <v>847</v>
      </c>
      <c r="K206" t="s">
        <v>830</v>
      </c>
      <c r="L206" t="s">
        <v>91</v>
      </c>
      <c r="M206" t="s">
        <v>1163</v>
      </c>
      <c r="N206" s="57">
        <v>1200</v>
      </c>
      <c r="O206" t="s">
        <v>100</v>
      </c>
      <c r="P206" t="s">
        <v>93</v>
      </c>
      <c r="Q206" s="3">
        <v>46170</v>
      </c>
      <c r="R206" s="10">
        <f t="shared" ca="1" si="6"/>
        <v>46229</v>
      </c>
      <c r="S206" s="7">
        <f t="shared" ca="1" si="7"/>
        <v>0.16164383561643836</v>
      </c>
    </row>
    <row r="207" spans="1:19" x14ac:dyDescent="0.25">
      <c r="A207">
        <v>957605</v>
      </c>
      <c r="B207" t="s">
        <v>1825</v>
      </c>
      <c r="C207" t="s">
        <v>1044</v>
      </c>
      <c r="D207" s="6" t="s">
        <v>22</v>
      </c>
      <c r="E207" t="s">
        <v>21</v>
      </c>
      <c r="G207" s="6" t="s">
        <v>968</v>
      </c>
      <c r="H207" s="59" t="s">
        <v>1027</v>
      </c>
      <c r="I207" s="58" t="s">
        <v>846</v>
      </c>
      <c r="J207" t="s">
        <v>847</v>
      </c>
      <c r="K207" t="s">
        <v>830</v>
      </c>
      <c r="L207" t="s">
        <v>91</v>
      </c>
      <c r="M207" t="s">
        <v>1163</v>
      </c>
      <c r="N207" s="57">
        <v>1200</v>
      </c>
      <c r="O207" t="s">
        <v>100</v>
      </c>
      <c r="P207" t="s">
        <v>93</v>
      </c>
      <c r="Q207" s="3">
        <v>46170</v>
      </c>
      <c r="R207" s="10">
        <f t="shared" ca="1" si="6"/>
        <v>46229</v>
      </c>
      <c r="S207" s="7">
        <f t="shared" ca="1" si="7"/>
        <v>0.16164383561643836</v>
      </c>
    </row>
    <row r="208" spans="1:19" x14ac:dyDescent="0.25">
      <c r="A208">
        <v>986015</v>
      </c>
      <c r="B208" t="s">
        <v>1793</v>
      </c>
      <c r="C208" t="s">
        <v>1044</v>
      </c>
      <c r="D208" s="6" t="s">
        <v>22</v>
      </c>
      <c r="E208" t="s">
        <v>21</v>
      </c>
      <c r="G208" s="6" t="s">
        <v>968</v>
      </c>
      <c r="H208" s="59" t="s">
        <v>1027</v>
      </c>
      <c r="I208" s="58" t="s">
        <v>846</v>
      </c>
      <c r="J208" t="s">
        <v>847</v>
      </c>
      <c r="K208" t="s">
        <v>830</v>
      </c>
      <c r="L208" t="s">
        <v>91</v>
      </c>
      <c r="M208" t="s">
        <v>1163</v>
      </c>
      <c r="N208" s="57">
        <v>1200</v>
      </c>
      <c r="O208" t="s">
        <v>100</v>
      </c>
      <c r="P208" t="s">
        <v>93</v>
      </c>
      <c r="Q208" s="3">
        <v>46170</v>
      </c>
      <c r="R208" s="10">
        <f t="shared" ca="1" si="6"/>
        <v>46229</v>
      </c>
      <c r="S208" s="7">
        <f t="shared" ca="1" si="7"/>
        <v>0.16164383561643836</v>
      </c>
    </row>
    <row r="209" spans="1:19" x14ac:dyDescent="0.25">
      <c r="A209">
        <v>4099936</v>
      </c>
      <c r="B209" t="s">
        <v>592</v>
      </c>
      <c r="C209" t="s">
        <v>17</v>
      </c>
      <c r="D209" s="6" t="s">
        <v>22</v>
      </c>
      <c r="E209" t="s">
        <v>50</v>
      </c>
      <c r="G209" s="6" t="s">
        <v>970</v>
      </c>
      <c r="H209" s="59" t="s">
        <v>1030</v>
      </c>
      <c r="I209" s="58" t="s">
        <v>937</v>
      </c>
      <c r="J209" t="s">
        <v>854</v>
      </c>
      <c r="K209" t="s">
        <v>855</v>
      </c>
      <c r="L209" t="s">
        <v>1038</v>
      </c>
      <c r="M209" t="s">
        <v>1163</v>
      </c>
      <c r="N209" s="57">
        <v>1200</v>
      </c>
      <c r="O209" t="s">
        <v>100</v>
      </c>
      <c r="P209" t="s">
        <v>93</v>
      </c>
      <c r="Q209" s="3">
        <v>45411</v>
      </c>
      <c r="R209" s="10">
        <f t="shared" ca="1" si="6"/>
        <v>46229</v>
      </c>
      <c r="S209" s="7">
        <f t="shared" ca="1" si="7"/>
        <v>2.2410958904109588</v>
      </c>
    </row>
    <row r="210" spans="1:19" x14ac:dyDescent="0.25">
      <c r="A210">
        <v>4120783</v>
      </c>
      <c r="B210" t="s">
        <v>1042</v>
      </c>
      <c r="C210" t="s">
        <v>17</v>
      </c>
      <c r="D210" s="6" t="s">
        <v>22</v>
      </c>
      <c r="E210" t="s">
        <v>50</v>
      </c>
      <c r="G210" s="6" t="s">
        <v>970</v>
      </c>
      <c r="H210" s="59" t="s">
        <v>1030</v>
      </c>
      <c r="I210" s="58" t="s">
        <v>937</v>
      </c>
      <c r="J210" t="s">
        <v>854</v>
      </c>
      <c r="K210" t="s">
        <v>855</v>
      </c>
      <c r="L210" t="s">
        <v>1038</v>
      </c>
      <c r="M210" t="s">
        <v>1163</v>
      </c>
      <c r="N210" s="57">
        <v>1400</v>
      </c>
      <c r="O210" t="s">
        <v>100</v>
      </c>
      <c r="P210" t="s">
        <v>93</v>
      </c>
      <c r="Q210" s="3">
        <v>46065</v>
      </c>
      <c r="R210" s="10">
        <f t="shared" ca="1" si="6"/>
        <v>46229</v>
      </c>
      <c r="S210" s="7">
        <f t="shared" ca="1" si="7"/>
        <v>0.44931506849315067</v>
      </c>
    </row>
    <row r="211" spans="1:19" x14ac:dyDescent="0.25">
      <c r="A211">
        <v>4120785</v>
      </c>
      <c r="B211" t="s">
        <v>1043</v>
      </c>
      <c r="C211" t="s">
        <v>17</v>
      </c>
      <c r="D211" s="6" t="s">
        <v>22</v>
      </c>
      <c r="E211" t="s">
        <v>50</v>
      </c>
      <c r="G211" s="6" t="s">
        <v>970</v>
      </c>
      <c r="H211" s="59" t="s">
        <v>1030</v>
      </c>
      <c r="I211" s="58" t="s">
        <v>937</v>
      </c>
      <c r="J211" t="s">
        <v>854</v>
      </c>
      <c r="K211" t="s">
        <v>855</v>
      </c>
      <c r="L211" t="s">
        <v>1038</v>
      </c>
      <c r="M211" t="s">
        <v>1163</v>
      </c>
      <c r="N211" s="57">
        <v>1400</v>
      </c>
      <c r="O211" t="s">
        <v>100</v>
      </c>
      <c r="P211" t="s">
        <v>93</v>
      </c>
      <c r="Q211" s="3">
        <v>46065</v>
      </c>
      <c r="R211" s="10">
        <f t="shared" ca="1" si="6"/>
        <v>46229</v>
      </c>
      <c r="S211" s="7">
        <f t="shared" ca="1" si="7"/>
        <v>0.44931506849315067</v>
      </c>
    </row>
    <row r="212" spans="1:19" x14ac:dyDescent="0.25">
      <c r="A212">
        <v>879649</v>
      </c>
      <c r="B212" t="s">
        <v>752</v>
      </c>
      <c r="C212" t="s">
        <v>17</v>
      </c>
      <c r="D212" s="6" t="s">
        <v>22</v>
      </c>
      <c r="E212" t="s">
        <v>50</v>
      </c>
      <c r="G212" s="6" t="s">
        <v>970</v>
      </c>
      <c r="H212" s="59" t="s">
        <v>1030</v>
      </c>
      <c r="I212" s="58" t="s">
        <v>937</v>
      </c>
      <c r="J212" t="s">
        <v>854</v>
      </c>
      <c r="K212" t="s">
        <v>855</v>
      </c>
      <c r="L212" t="s">
        <v>1038</v>
      </c>
      <c r="M212" t="s">
        <v>1163</v>
      </c>
      <c r="N212" s="57">
        <v>1400</v>
      </c>
      <c r="O212" t="s">
        <v>100</v>
      </c>
      <c r="P212" t="s">
        <v>93</v>
      </c>
      <c r="Q212" s="3">
        <v>45302</v>
      </c>
      <c r="R212" s="10">
        <f t="shared" ca="1" si="6"/>
        <v>46229</v>
      </c>
      <c r="S212" s="7">
        <f t="shared" ca="1" si="7"/>
        <v>2.5397260273972604</v>
      </c>
    </row>
    <row r="213" spans="1:19" x14ac:dyDescent="0.25">
      <c r="A213">
        <v>1207573</v>
      </c>
      <c r="B213" t="s">
        <v>285</v>
      </c>
      <c r="C213" t="s">
        <v>17</v>
      </c>
      <c r="D213" s="6" t="s">
        <v>22</v>
      </c>
      <c r="E213" t="s">
        <v>72</v>
      </c>
      <c r="G213" s="6" t="s">
        <v>1840</v>
      </c>
      <c r="H213" s="59" t="s">
        <v>1017</v>
      </c>
      <c r="I213" s="58" t="s">
        <v>1451</v>
      </c>
      <c r="J213" t="s">
        <v>30</v>
      </c>
      <c r="K213" t="s">
        <v>31</v>
      </c>
      <c r="L213" t="s">
        <v>966</v>
      </c>
      <c r="M213" t="s">
        <v>1163</v>
      </c>
      <c r="N213" s="57">
        <v>1300</v>
      </c>
      <c r="O213" t="s">
        <v>100</v>
      </c>
      <c r="P213" t="s">
        <v>93</v>
      </c>
      <c r="Q213" s="3">
        <v>45789</v>
      </c>
      <c r="R213" s="10">
        <f t="shared" ca="1" si="6"/>
        <v>46229</v>
      </c>
      <c r="S213" s="7">
        <f t="shared" ca="1" si="7"/>
        <v>1.2054794520547945</v>
      </c>
    </row>
    <row r="214" spans="1:19" x14ac:dyDescent="0.25">
      <c r="A214">
        <v>1221038</v>
      </c>
      <c r="B214" t="s">
        <v>293</v>
      </c>
      <c r="C214" t="s">
        <v>17</v>
      </c>
      <c r="D214" s="6" t="s">
        <v>22</v>
      </c>
      <c r="E214" t="s">
        <v>72</v>
      </c>
      <c r="G214" s="6" t="s">
        <v>1840</v>
      </c>
      <c r="H214" s="59" t="s">
        <v>1017</v>
      </c>
      <c r="I214" s="58" t="s">
        <v>1451</v>
      </c>
      <c r="J214" t="s">
        <v>30</v>
      </c>
      <c r="K214" t="s">
        <v>31</v>
      </c>
      <c r="L214" t="s">
        <v>1038</v>
      </c>
      <c r="M214" t="s">
        <v>1163</v>
      </c>
      <c r="N214" s="57">
        <v>1300</v>
      </c>
      <c r="O214" t="s">
        <v>100</v>
      </c>
      <c r="P214" t="s">
        <v>93</v>
      </c>
      <c r="Q214" s="3">
        <v>45971</v>
      </c>
      <c r="R214" s="10">
        <f t="shared" ca="1" si="6"/>
        <v>46229</v>
      </c>
      <c r="S214" s="7">
        <f t="shared" ca="1" si="7"/>
        <v>0.70684931506849313</v>
      </c>
    </row>
    <row r="215" spans="1:19" x14ac:dyDescent="0.25">
      <c r="A215">
        <v>1170436</v>
      </c>
      <c r="B215" t="s">
        <v>199</v>
      </c>
      <c r="C215" t="s">
        <v>17</v>
      </c>
      <c r="D215" s="6" t="s">
        <v>22</v>
      </c>
      <c r="E215" t="s">
        <v>102</v>
      </c>
      <c r="G215" s="6" t="s">
        <v>971</v>
      </c>
      <c r="H215" s="59" t="s">
        <v>1010</v>
      </c>
      <c r="I215" s="58" t="s">
        <v>904</v>
      </c>
      <c r="J215" t="s">
        <v>894</v>
      </c>
      <c r="K215" t="s">
        <v>845</v>
      </c>
      <c r="L215" t="s">
        <v>25</v>
      </c>
      <c r="M215" t="s">
        <v>1163</v>
      </c>
      <c r="N215" s="57">
        <v>1300</v>
      </c>
      <c r="O215" t="s">
        <v>100</v>
      </c>
      <c r="P215" t="s">
        <v>93</v>
      </c>
      <c r="Q215" s="3">
        <v>44900</v>
      </c>
      <c r="R215" s="10">
        <f t="shared" ca="1" si="6"/>
        <v>46229</v>
      </c>
      <c r="S215" s="7">
        <f t="shared" ca="1" si="7"/>
        <v>3.6410958904109587</v>
      </c>
    </row>
    <row r="216" spans="1:19" x14ac:dyDescent="0.25">
      <c r="A216">
        <v>19147</v>
      </c>
      <c r="B216" t="s">
        <v>295</v>
      </c>
      <c r="C216" t="s">
        <v>17</v>
      </c>
      <c r="D216" s="6" t="s">
        <v>22</v>
      </c>
      <c r="E216" t="s">
        <v>102</v>
      </c>
      <c r="G216" s="6" t="s">
        <v>971</v>
      </c>
      <c r="H216" s="59" t="s">
        <v>1010</v>
      </c>
      <c r="I216" s="58" t="s">
        <v>904</v>
      </c>
      <c r="J216" t="s">
        <v>894</v>
      </c>
      <c r="K216" t="s">
        <v>845</v>
      </c>
      <c r="L216" t="s">
        <v>25</v>
      </c>
      <c r="M216" t="s">
        <v>1163</v>
      </c>
      <c r="N216" s="57">
        <v>1300</v>
      </c>
      <c r="O216" t="s">
        <v>100</v>
      </c>
      <c r="P216" t="s">
        <v>38</v>
      </c>
      <c r="Q216" s="3">
        <v>45169</v>
      </c>
      <c r="R216" s="10">
        <f t="shared" ca="1" si="6"/>
        <v>46229</v>
      </c>
      <c r="S216" s="7">
        <f t="shared" ca="1" si="7"/>
        <v>2.904109589041096</v>
      </c>
    </row>
    <row r="217" spans="1:19" x14ac:dyDescent="0.25">
      <c r="A217">
        <v>21296</v>
      </c>
      <c r="B217" t="s">
        <v>302</v>
      </c>
      <c r="C217" t="s">
        <v>17</v>
      </c>
      <c r="D217" s="6" t="s">
        <v>22</v>
      </c>
      <c r="E217" t="s">
        <v>102</v>
      </c>
      <c r="G217" s="6" t="s">
        <v>971</v>
      </c>
      <c r="H217" s="59" t="s">
        <v>1010</v>
      </c>
      <c r="I217" s="58" t="s">
        <v>904</v>
      </c>
      <c r="J217" t="s">
        <v>894</v>
      </c>
      <c r="K217" t="s">
        <v>845</v>
      </c>
      <c r="L217" t="s">
        <v>25</v>
      </c>
      <c r="M217" t="s">
        <v>1163</v>
      </c>
      <c r="N217" s="57">
        <v>1200</v>
      </c>
      <c r="O217" t="s">
        <v>100</v>
      </c>
      <c r="P217" t="s">
        <v>93</v>
      </c>
      <c r="Q217" s="3">
        <v>45635</v>
      </c>
      <c r="R217" s="10">
        <f t="shared" ca="1" si="6"/>
        <v>46229</v>
      </c>
      <c r="S217" s="7">
        <f t="shared" ca="1" si="7"/>
        <v>1.6273972602739726</v>
      </c>
    </row>
    <row r="218" spans="1:19" x14ac:dyDescent="0.25">
      <c r="A218">
        <v>27435</v>
      </c>
      <c r="B218" t="s">
        <v>335</v>
      </c>
      <c r="C218" t="s">
        <v>17</v>
      </c>
      <c r="D218" s="6" t="s">
        <v>22</v>
      </c>
      <c r="E218" t="s">
        <v>102</v>
      </c>
      <c r="G218" s="6" t="s">
        <v>971</v>
      </c>
      <c r="H218" s="59" t="s">
        <v>1010</v>
      </c>
      <c r="I218" s="58" t="s">
        <v>904</v>
      </c>
      <c r="J218" t="s">
        <v>894</v>
      </c>
      <c r="K218" t="s">
        <v>845</v>
      </c>
      <c r="L218" t="s">
        <v>25</v>
      </c>
      <c r="M218" t="s">
        <v>1163</v>
      </c>
      <c r="N218" s="57">
        <v>1300</v>
      </c>
      <c r="O218" t="s">
        <v>100</v>
      </c>
      <c r="P218" t="s">
        <v>93</v>
      </c>
      <c r="Q218" s="3">
        <v>39356</v>
      </c>
      <c r="R218" s="10">
        <f t="shared" ca="1" si="6"/>
        <v>46229</v>
      </c>
      <c r="S218" s="7">
        <f t="shared" ca="1" si="7"/>
        <v>18.830136986301369</v>
      </c>
    </row>
    <row r="219" spans="1:19" x14ac:dyDescent="0.25">
      <c r="A219">
        <v>28486</v>
      </c>
      <c r="B219" t="s">
        <v>342</v>
      </c>
      <c r="C219" t="s">
        <v>17</v>
      </c>
      <c r="D219" s="6" t="s">
        <v>22</v>
      </c>
      <c r="E219" t="s">
        <v>102</v>
      </c>
      <c r="G219" s="6" t="s">
        <v>971</v>
      </c>
      <c r="H219" s="59" t="s">
        <v>1010</v>
      </c>
      <c r="I219" s="58" t="s">
        <v>904</v>
      </c>
      <c r="J219" t="s">
        <v>894</v>
      </c>
      <c r="K219" t="s">
        <v>845</v>
      </c>
      <c r="L219" t="s">
        <v>25</v>
      </c>
      <c r="M219" t="s">
        <v>1163</v>
      </c>
      <c r="N219" s="57">
        <v>1300</v>
      </c>
      <c r="O219" t="s">
        <v>100</v>
      </c>
      <c r="P219" t="s">
        <v>38</v>
      </c>
      <c r="Q219" s="3">
        <v>43314</v>
      </c>
      <c r="R219" s="10">
        <f t="shared" ca="1" si="6"/>
        <v>46229</v>
      </c>
      <c r="S219" s="7">
        <f t="shared" ca="1" si="7"/>
        <v>7.9863013698630141</v>
      </c>
    </row>
    <row r="220" spans="1:19" x14ac:dyDescent="0.25">
      <c r="A220">
        <v>28880</v>
      </c>
      <c r="B220" t="s">
        <v>348</v>
      </c>
      <c r="C220" t="s">
        <v>17</v>
      </c>
      <c r="D220" s="6" t="s">
        <v>22</v>
      </c>
      <c r="E220" t="s">
        <v>102</v>
      </c>
      <c r="G220" s="6" t="s">
        <v>971</v>
      </c>
      <c r="H220" s="59" t="s">
        <v>1010</v>
      </c>
      <c r="I220" s="58" t="s">
        <v>904</v>
      </c>
      <c r="J220" t="s">
        <v>894</v>
      </c>
      <c r="K220" t="s">
        <v>845</v>
      </c>
      <c r="L220" t="s">
        <v>25</v>
      </c>
      <c r="M220" t="s">
        <v>1163</v>
      </c>
      <c r="N220" s="57">
        <v>1200</v>
      </c>
      <c r="O220" t="s">
        <v>100</v>
      </c>
      <c r="P220" t="s">
        <v>93</v>
      </c>
      <c r="Q220" s="3">
        <v>45782</v>
      </c>
      <c r="R220" s="10">
        <f t="shared" ca="1" si="6"/>
        <v>46229</v>
      </c>
      <c r="S220" s="7">
        <f t="shared" ca="1" si="7"/>
        <v>1.2246575342465753</v>
      </c>
    </row>
    <row r="221" spans="1:19" x14ac:dyDescent="0.25">
      <c r="A221">
        <v>3006901</v>
      </c>
      <c r="B221" t="s">
        <v>1423</v>
      </c>
      <c r="C221" t="s">
        <v>17</v>
      </c>
      <c r="D221" s="6" t="s">
        <v>22</v>
      </c>
      <c r="E221" t="s">
        <v>102</v>
      </c>
      <c r="G221" s="6" t="s">
        <v>971</v>
      </c>
      <c r="H221" s="59" t="s">
        <v>1010</v>
      </c>
      <c r="I221" s="58" t="s">
        <v>904</v>
      </c>
      <c r="J221" t="s">
        <v>894</v>
      </c>
      <c r="K221" t="s">
        <v>845</v>
      </c>
      <c r="L221" t="s">
        <v>25</v>
      </c>
      <c r="M221" t="s">
        <v>1163</v>
      </c>
      <c r="N221" s="57">
        <v>1300</v>
      </c>
      <c r="O221" t="s">
        <v>100</v>
      </c>
      <c r="P221" t="s">
        <v>93</v>
      </c>
      <c r="Q221" s="3">
        <v>45831</v>
      </c>
      <c r="R221" s="10">
        <f t="shared" ca="1" si="6"/>
        <v>46229</v>
      </c>
      <c r="S221" s="7">
        <f t="shared" ca="1" si="7"/>
        <v>1.0904109589041096</v>
      </c>
    </row>
    <row r="222" spans="1:19" x14ac:dyDescent="0.25">
      <c r="A222">
        <v>37211</v>
      </c>
      <c r="B222" t="s">
        <v>413</v>
      </c>
      <c r="C222" t="s">
        <v>17</v>
      </c>
      <c r="D222" s="6" t="s">
        <v>22</v>
      </c>
      <c r="E222" t="s">
        <v>102</v>
      </c>
      <c r="G222" s="6" t="s">
        <v>971</v>
      </c>
      <c r="H222" s="59" t="s">
        <v>1010</v>
      </c>
      <c r="I222" s="58" t="s">
        <v>904</v>
      </c>
      <c r="J222" t="s">
        <v>894</v>
      </c>
      <c r="K222" t="s">
        <v>845</v>
      </c>
      <c r="L222" t="s">
        <v>25</v>
      </c>
      <c r="M222" t="s">
        <v>1163</v>
      </c>
      <c r="N222" s="57">
        <v>1300</v>
      </c>
      <c r="O222" t="s">
        <v>100</v>
      </c>
      <c r="P222" t="s">
        <v>93</v>
      </c>
      <c r="Q222" s="3">
        <v>42520</v>
      </c>
      <c r="R222" s="10">
        <f t="shared" ca="1" si="6"/>
        <v>46229</v>
      </c>
      <c r="S222" s="7">
        <f t="shared" ca="1" si="7"/>
        <v>10.161643835616438</v>
      </c>
    </row>
    <row r="223" spans="1:19" x14ac:dyDescent="0.25">
      <c r="A223">
        <v>4038622</v>
      </c>
      <c r="B223" t="s">
        <v>1362</v>
      </c>
      <c r="C223" t="s">
        <v>17</v>
      </c>
      <c r="D223" s="6" t="s">
        <v>22</v>
      </c>
      <c r="E223" t="s">
        <v>102</v>
      </c>
      <c r="G223" s="6" t="s">
        <v>971</v>
      </c>
      <c r="H223" s="59" t="s">
        <v>1010</v>
      </c>
      <c r="I223" s="58" t="s">
        <v>904</v>
      </c>
      <c r="J223" t="s">
        <v>894</v>
      </c>
      <c r="K223" t="s">
        <v>845</v>
      </c>
      <c r="L223" t="s">
        <v>25</v>
      </c>
      <c r="M223" t="s">
        <v>1163</v>
      </c>
      <c r="N223" s="57">
        <v>1200</v>
      </c>
      <c r="O223" t="s">
        <v>100</v>
      </c>
      <c r="P223" t="s">
        <v>93</v>
      </c>
      <c r="Q223" s="3">
        <v>46132</v>
      </c>
      <c r="R223" s="10">
        <f t="shared" ca="1" si="6"/>
        <v>46229</v>
      </c>
      <c r="S223" s="7">
        <f t="shared" ca="1" si="7"/>
        <v>0.26575342465753427</v>
      </c>
    </row>
    <row r="224" spans="1:19" x14ac:dyDescent="0.25">
      <c r="A224">
        <v>4041485</v>
      </c>
      <c r="B224" t="s">
        <v>466</v>
      </c>
      <c r="C224" t="s">
        <v>17</v>
      </c>
      <c r="D224" s="6" t="s">
        <v>22</v>
      </c>
      <c r="E224" t="s">
        <v>102</v>
      </c>
      <c r="G224" s="6" t="s">
        <v>971</v>
      </c>
      <c r="H224" s="59" t="s">
        <v>1010</v>
      </c>
      <c r="I224" s="58" t="s">
        <v>904</v>
      </c>
      <c r="J224" t="s">
        <v>894</v>
      </c>
      <c r="K224" t="s">
        <v>845</v>
      </c>
      <c r="L224" t="s">
        <v>25</v>
      </c>
      <c r="M224" t="s">
        <v>1163</v>
      </c>
      <c r="N224" s="57">
        <v>1200</v>
      </c>
      <c r="O224" t="s">
        <v>100</v>
      </c>
      <c r="P224" t="s">
        <v>38</v>
      </c>
      <c r="Q224" s="3">
        <v>44459</v>
      </c>
      <c r="R224" s="10">
        <f t="shared" ca="1" si="6"/>
        <v>46229</v>
      </c>
      <c r="S224" s="7">
        <f t="shared" ca="1" si="7"/>
        <v>4.8493150684931505</v>
      </c>
    </row>
    <row r="225" spans="1:19" x14ac:dyDescent="0.25">
      <c r="A225">
        <v>4063335</v>
      </c>
      <c r="B225" t="s">
        <v>505</v>
      </c>
      <c r="C225" t="s">
        <v>17</v>
      </c>
      <c r="D225" s="6" t="s">
        <v>22</v>
      </c>
      <c r="E225" t="s">
        <v>102</v>
      </c>
      <c r="G225" s="6" t="s">
        <v>971</v>
      </c>
      <c r="H225" s="59" t="s">
        <v>1010</v>
      </c>
      <c r="I225" s="58" t="s">
        <v>904</v>
      </c>
      <c r="J225" t="s">
        <v>894</v>
      </c>
      <c r="K225" t="s">
        <v>845</v>
      </c>
      <c r="L225" t="s">
        <v>25</v>
      </c>
      <c r="M225" t="s">
        <v>1163</v>
      </c>
      <c r="N225" s="57">
        <v>1300</v>
      </c>
      <c r="O225" t="s">
        <v>100</v>
      </c>
      <c r="P225" t="s">
        <v>93</v>
      </c>
      <c r="Q225" s="3">
        <v>44777</v>
      </c>
      <c r="R225" s="10">
        <f t="shared" ca="1" si="6"/>
        <v>46229</v>
      </c>
      <c r="S225" s="7">
        <f t="shared" ca="1" si="7"/>
        <v>3.978082191780822</v>
      </c>
    </row>
    <row r="226" spans="1:19" x14ac:dyDescent="0.25">
      <c r="A226">
        <v>4074785</v>
      </c>
      <c r="B226" t="s">
        <v>533</v>
      </c>
      <c r="C226" t="s">
        <v>17</v>
      </c>
      <c r="D226" s="6" t="s">
        <v>22</v>
      </c>
      <c r="E226" t="s">
        <v>102</v>
      </c>
      <c r="G226" s="6" t="s">
        <v>971</v>
      </c>
      <c r="H226" s="59" t="s">
        <v>1010</v>
      </c>
      <c r="I226" s="58" t="s">
        <v>904</v>
      </c>
      <c r="J226" t="s">
        <v>894</v>
      </c>
      <c r="K226" t="s">
        <v>845</v>
      </c>
      <c r="L226" t="s">
        <v>25</v>
      </c>
      <c r="M226" t="s">
        <v>1163</v>
      </c>
      <c r="N226" s="57">
        <v>1300</v>
      </c>
      <c r="O226" t="s">
        <v>100</v>
      </c>
      <c r="P226" t="s">
        <v>93</v>
      </c>
      <c r="Q226" s="3">
        <v>44903</v>
      </c>
      <c r="R226" s="10">
        <f t="shared" ca="1" si="6"/>
        <v>46229</v>
      </c>
      <c r="S226" s="7">
        <f t="shared" ca="1" si="7"/>
        <v>3.6328767123287671</v>
      </c>
    </row>
    <row r="227" spans="1:19" x14ac:dyDescent="0.25">
      <c r="A227">
        <v>4087429</v>
      </c>
      <c r="B227" t="s">
        <v>561</v>
      </c>
      <c r="C227" t="s">
        <v>17</v>
      </c>
      <c r="D227" s="6" t="s">
        <v>22</v>
      </c>
      <c r="E227" t="s">
        <v>102</v>
      </c>
      <c r="G227" s="6" t="s">
        <v>971</v>
      </c>
      <c r="H227" s="59" t="s">
        <v>1010</v>
      </c>
      <c r="I227" s="58" t="s">
        <v>904</v>
      </c>
      <c r="J227" t="s">
        <v>894</v>
      </c>
      <c r="K227" t="s">
        <v>845</v>
      </c>
      <c r="L227" t="s">
        <v>25</v>
      </c>
      <c r="M227" t="s">
        <v>1163</v>
      </c>
      <c r="N227" s="57">
        <v>1200</v>
      </c>
      <c r="O227" t="s">
        <v>100</v>
      </c>
      <c r="P227" t="s">
        <v>38</v>
      </c>
      <c r="Q227" s="3">
        <v>45036</v>
      </c>
      <c r="R227" s="10">
        <f t="shared" ca="1" si="6"/>
        <v>46229</v>
      </c>
      <c r="S227" s="7">
        <f t="shared" ca="1" si="7"/>
        <v>3.2684931506849315</v>
      </c>
    </row>
    <row r="228" spans="1:19" x14ac:dyDescent="0.25">
      <c r="A228">
        <v>4106887</v>
      </c>
      <c r="B228" t="s">
        <v>1369</v>
      </c>
      <c r="C228" t="s">
        <v>1044</v>
      </c>
      <c r="D228" s="6" t="s">
        <v>22</v>
      </c>
      <c r="E228" t="s">
        <v>21</v>
      </c>
      <c r="G228" s="6" t="s">
        <v>971</v>
      </c>
      <c r="H228" s="59" t="s">
        <v>1010</v>
      </c>
      <c r="I228" s="58" t="s">
        <v>904</v>
      </c>
      <c r="J228" t="s">
        <v>894</v>
      </c>
      <c r="K228" t="s">
        <v>845</v>
      </c>
      <c r="L228" t="s">
        <v>25</v>
      </c>
      <c r="M228" t="s">
        <v>1163</v>
      </c>
      <c r="N228" s="57">
        <v>1200</v>
      </c>
      <c r="O228" t="s">
        <v>100</v>
      </c>
      <c r="P228" t="s">
        <v>93</v>
      </c>
      <c r="Q228" s="3">
        <v>46128</v>
      </c>
      <c r="R228" s="10">
        <f t="shared" ca="1" si="6"/>
        <v>46229</v>
      </c>
      <c r="S228" s="7">
        <f t="shared" ca="1" si="7"/>
        <v>0.27671232876712326</v>
      </c>
    </row>
    <row r="229" spans="1:19" x14ac:dyDescent="0.25">
      <c r="A229">
        <v>4124236</v>
      </c>
      <c r="B229" t="s">
        <v>1693</v>
      </c>
      <c r="C229" t="s">
        <v>1044</v>
      </c>
      <c r="D229" s="6" t="s">
        <v>22</v>
      </c>
      <c r="E229" t="s">
        <v>21</v>
      </c>
      <c r="G229" s="6" t="s">
        <v>971</v>
      </c>
      <c r="H229" s="59" t="s">
        <v>1010</v>
      </c>
      <c r="I229" s="58" t="s">
        <v>904</v>
      </c>
      <c r="J229" t="s">
        <v>894</v>
      </c>
      <c r="K229" t="s">
        <v>845</v>
      </c>
      <c r="L229" t="s">
        <v>25</v>
      </c>
      <c r="M229" t="s">
        <v>1163</v>
      </c>
      <c r="N229" s="57">
        <v>1200</v>
      </c>
      <c r="O229" t="s">
        <v>100</v>
      </c>
      <c r="P229" t="s">
        <v>93</v>
      </c>
      <c r="Q229" s="3">
        <v>46170</v>
      </c>
      <c r="R229" s="10">
        <f t="shared" ca="1" si="6"/>
        <v>46229</v>
      </c>
      <c r="S229" s="7">
        <f t="shared" ca="1" si="7"/>
        <v>0.16164383561643836</v>
      </c>
    </row>
    <row r="230" spans="1:19" x14ac:dyDescent="0.25">
      <c r="A230">
        <v>4124256</v>
      </c>
      <c r="B230" t="s">
        <v>1708</v>
      </c>
      <c r="C230" t="s">
        <v>1044</v>
      </c>
      <c r="D230" s="6" t="s">
        <v>22</v>
      </c>
      <c r="E230" t="s">
        <v>21</v>
      </c>
      <c r="G230" s="6" t="s">
        <v>971</v>
      </c>
      <c r="H230" s="59" t="s">
        <v>1010</v>
      </c>
      <c r="I230" s="58" t="s">
        <v>904</v>
      </c>
      <c r="J230" t="s">
        <v>894</v>
      </c>
      <c r="K230" t="s">
        <v>845</v>
      </c>
      <c r="L230" t="s">
        <v>25</v>
      </c>
      <c r="M230" t="s">
        <v>1163</v>
      </c>
      <c r="N230" s="57">
        <v>1200</v>
      </c>
      <c r="O230" t="s">
        <v>100</v>
      </c>
      <c r="P230" t="s">
        <v>93</v>
      </c>
      <c r="Q230" s="3">
        <v>46170</v>
      </c>
      <c r="R230" s="10">
        <f t="shared" ca="1" si="6"/>
        <v>46229</v>
      </c>
      <c r="S230" s="7">
        <f t="shared" ca="1" si="7"/>
        <v>0.16164383561643836</v>
      </c>
    </row>
    <row r="231" spans="1:19" x14ac:dyDescent="0.25">
      <c r="A231">
        <v>4124257</v>
      </c>
      <c r="B231" t="s">
        <v>1709</v>
      </c>
      <c r="C231" t="s">
        <v>1044</v>
      </c>
      <c r="D231" s="6" t="s">
        <v>22</v>
      </c>
      <c r="E231" t="s">
        <v>21</v>
      </c>
      <c r="G231" s="6" t="s">
        <v>971</v>
      </c>
      <c r="H231" s="59" t="s">
        <v>1010</v>
      </c>
      <c r="I231" s="58" t="s">
        <v>904</v>
      </c>
      <c r="J231" t="s">
        <v>894</v>
      </c>
      <c r="K231" t="s">
        <v>845</v>
      </c>
      <c r="L231" t="s">
        <v>25</v>
      </c>
      <c r="M231" t="s">
        <v>1163</v>
      </c>
      <c r="N231" s="57">
        <v>1200</v>
      </c>
      <c r="O231" t="s">
        <v>100</v>
      </c>
      <c r="P231" t="s">
        <v>93</v>
      </c>
      <c r="Q231" s="3">
        <v>46170</v>
      </c>
      <c r="R231" s="10">
        <f t="shared" ca="1" si="6"/>
        <v>46229</v>
      </c>
      <c r="S231" s="7">
        <f t="shared" ca="1" si="7"/>
        <v>0.16164383561643836</v>
      </c>
    </row>
    <row r="232" spans="1:19" x14ac:dyDescent="0.25">
      <c r="A232">
        <v>576212</v>
      </c>
      <c r="B232" t="s">
        <v>707</v>
      </c>
      <c r="C232" t="s">
        <v>17</v>
      </c>
      <c r="D232" s="6" t="s">
        <v>22</v>
      </c>
      <c r="E232" t="s">
        <v>102</v>
      </c>
      <c r="G232" s="6" t="s">
        <v>971</v>
      </c>
      <c r="H232" s="59" t="s">
        <v>1010</v>
      </c>
      <c r="I232" s="58" t="s">
        <v>904</v>
      </c>
      <c r="J232" t="s">
        <v>894</v>
      </c>
      <c r="K232" t="s">
        <v>845</v>
      </c>
      <c r="L232" t="s">
        <v>25</v>
      </c>
      <c r="M232" t="s">
        <v>1163</v>
      </c>
      <c r="N232" s="57">
        <v>1300</v>
      </c>
      <c r="O232" t="s">
        <v>100</v>
      </c>
      <c r="P232" t="s">
        <v>93</v>
      </c>
      <c r="Q232" s="3">
        <v>43633</v>
      </c>
      <c r="R232" s="10">
        <f t="shared" ca="1" si="6"/>
        <v>46229</v>
      </c>
      <c r="S232" s="7">
        <f t="shared" ca="1" si="7"/>
        <v>7.1123287671232873</v>
      </c>
    </row>
    <row r="233" spans="1:19" x14ac:dyDescent="0.25">
      <c r="A233">
        <v>578380</v>
      </c>
      <c r="B233" t="s">
        <v>709</v>
      </c>
      <c r="C233" t="s">
        <v>17</v>
      </c>
      <c r="D233" s="6" t="s">
        <v>22</v>
      </c>
      <c r="E233" t="s">
        <v>102</v>
      </c>
      <c r="G233" s="6" t="s">
        <v>971</v>
      </c>
      <c r="H233" s="59" t="s">
        <v>1010</v>
      </c>
      <c r="I233" s="58" t="s">
        <v>904</v>
      </c>
      <c r="J233" t="s">
        <v>894</v>
      </c>
      <c r="K233" t="s">
        <v>845</v>
      </c>
      <c r="L233" t="s">
        <v>25</v>
      </c>
      <c r="M233" t="s">
        <v>1163</v>
      </c>
      <c r="N233" s="57">
        <v>1200</v>
      </c>
      <c r="O233" t="s">
        <v>100</v>
      </c>
      <c r="P233" t="s">
        <v>93</v>
      </c>
      <c r="Q233" s="3">
        <v>45635</v>
      </c>
      <c r="R233" s="10">
        <f t="shared" ca="1" si="6"/>
        <v>46229</v>
      </c>
      <c r="S233" s="7">
        <f t="shared" ca="1" si="7"/>
        <v>1.6273972602739726</v>
      </c>
    </row>
    <row r="234" spans="1:19" x14ac:dyDescent="0.25">
      <c r="A234">
        <v>955253</v>
      </c>
      <c r="B234" t="s">
        <v>778</v>
      </c>
      <c r="C234" t="s">
        <v>17</v>
      </c>
      <c r="D234" s="6" t="s">
        <v>22</v>
      </c>
      <c r="E234" t="s">
        <v>102</v>
      </c>
      <c r="G234" s="6" t="s">
        <v>971</v>
      </c>
      <c r="H234" s="59" t="s">
        <v>1010</v>
      </c>
      <c r="I234" s="58" t="s">
        <v>904</v>
      </c>
      <c r="J234" t="s">
        <v>894</v>
      </c>
      <c r="K234" t="s">
        <v>845</v>
      </c>
      <c r="L234" t="s">
        <v>25</v>
      </c>
      <c r="M234" t="s">
        <v>1163</v>
      </c>
      <c r="N234" s="57">
        <v>1200</v>
      </c>
      <c r="O234" t="s">
        <v>100</v>
      </c>
      <c r="P234" t="s">
        <v>93</v>
      </c>
      <c r="Q234" s="3">
        <v>43356</v>
      </c>
      <c r="R234" s="10">
        <f t="shared" ca="1" si="6"/>
        <v>46229</v>
      </c>
      <c r="S234" s="7">
        <f t="shared" ca="1" si="7"/>
        <v>7.8712328767123285</v>
      </c>
    </row>
    <row r="235" spans="1:19" x14ac:dyDescent="0.25">
      <c r="A235">
        <v>4094491</v>
      </c>
      <c r="B235" t="s">
        <v>574</v>
      </c>
      <c r="C235" t="s">
        <v>17</v>
      </c>
      <c r="D235" s="6" t="s">
        <v>22</v>
      </c>
      <c r="E235" t="s">
        <v>53</v>
      </c>
      <c r="G235" s="6" t="s">
        <v>967</v>
      </c>
      <c r="H235" s="59" t="s">
        <v>1023</v>
      </c>
      <c r="I235" s="58" t="s">
        <v>930</v>
      </c>
      <c r="J235" t="s">
        <v>826</v>
      </c>
      <c r="K235" t="s">
        <v>827</v>
      </c>
      <c r="L235" t="s">
        <v>25</v>
      </c>
      <c r="M235" t="s">
        <v>1163</v>
      </c>
      <c r="N235" s="57">
        <v>1200</v>
      </c>
      <c r="O235" t="s">
        <v>100</v>
      </c>
      <c r="P235" t="s">
        <v>93</v>
      </c>
      <c r="Q235" s="3">
        <v>45442</v>
      </c>
      <c r="R235" s="10">
        <f t="shared" ca="1" si="6"/>
        <v>46229</v>
      </c>
      <c r="S235" s="7">
        <f t="shared" ca="1" si="7"/>
        <v>2.1561643835616437</v>
      </c>
    </row>
    <row r="236" spans="1:19" x14ac:dyDescent="0.25">
      <c r="A236">
        <v>4113302</v>
      </c>
      <c r="B236" t="s">
        <v>686</v>
      </c>
      <c r="C236" t="s">
        <v>17</v>
      </c>
      <c r="D236" s="6" t="s">
        <v>22</v>
      </c>
      <c r="E236" t="s">
        <v>53</v>
      </c>
      <c r="G236" s="6" t="s">
        <v>967</v>
      </c>
      <c r="H236" s="59" t="s">
        <v>1023</v>
      </c>
      <c r="I236" s="58" t="s">
        <v>930</v>
      </c>
      <c r="J236" t="s">
        <v>826</v>
      </c>
      <c r="K236" t="s">
        <v>827</v>
      </c>
      <c r="L236" t="s">
        <v>25</v>
      </c>
      <c r="M236" t="s">
        <v>1163</v>
      </c>
      <c r="N236" s="57">
        <v>1200</v>
      </c>
      <c r="O236" t="s">
        <v>100</v>
      </c>
      <c r="P236" t="s">
        <v>93</v>
      </c>
      <c r="Q236" s="3">
        <v>45734</v>
      </c>
      <c r="R236" s="10">
        <f t="shared" ca="1" si="6"/>
        <v>46229</v>
      </c>
      <c r="S236" s="7">
        <f t="shared" ca="1" si="7"/>
        <v>1.3561643835616439</v>
      </c>
    </row>
    <row r="237" spans="1:19" x14ac:dyDescent="0.25">
      <c r="A237">
        <v>4122881</v>
      </c>
      <c r="B237" t="s">
        <v>1380</v>
      </c>
      <c r="C237" t="s">
        <v>1044</v>
      </c>
      <c r="D237" s="6" t="s">
        <v>22</v>
      </c>
      <c r="E237" t="s">
        <v>53</v>
      </c>
      <c r="G237" s="6" t="s">
        <v>967</v>
      </c>
      <c r="H237" s="59" t="s">
        <v>1023</v>
      </c>
      <c r="I237" s="58" t="s">
        <v>930</v>
      </c>
      <c r="J237" t="s">
        <v>826</v>
      </c>
      <c r="K237" t="s">
        <v>827</v>
      </c>
      <c r="L237" t="s">
        <v>25</v>
      </c>
      <c r="M237" t="s">
        <v>1163</v>
      </c>
      <c r="N237" s="57">
        <v>1500</v>
      </c>
      <c r="O237" t="s">
        <v>100</v>
      </c>
      <c r="P237" t="s">
        <v>93</v>
      </c>
      <c r="Q237" s="3">
        <v>46125</v>
      </c>
      <c r="R237" s="10">
        <f t="shared" ca="1" si="6"/>
        <v>46229</v>
      </c>
      <c r="S237" s="7">
        <f t="shared" ca="1" si="7"/>
        <v>0.28493150684931506</v>
      </c>
    </row>
    <row r="238" spans="1:19" x14ac:dyDescent="0.25">
      <c r="A238">
        <v>4073851</v>
      </c>
      <c r="B238" t="s">
        <v>1834</v>
      </c>
      <c r="C238" t="s">
        <v>17</v>
      </c>
      <c r="D238" s="6" t="s">
        <v>22</v>
      </c>
      <c r="E238" t="s">
        <v>1835</v>
      </c>
      <c r="G238" s="6" t="s">
        <v>967</v>
      </c>
      <c r="H238" s="59" t="s">
        <v>1023</v>
      </c>
      <c r="I238" s="58" t="s">
        <v>930</v>
      </c>
      <c r="J238" t="s">
        <v>826</v>
      </c>
      <c r="K238" t="s">
        <v>827</v>
      </c>
      <c r="L238" t="s">
        <v>25</v>
      </c>
      <c r="M238" t="s">
        <v>1163</v>
      </c>
      <c r="N238" s="1">
        <v>1500</v>
      </c>
      <c r="O238" t="s">
        <v>100</v>
      </c>
      <c r="P238" t="s">
        <v>93</v>
      </c>
      <c r="Q238" s="3">
        <v>44889</v>
      </c>
      <c r="R238" s="10">
        <f t="shared" ca="1" si="6"/>
        <v>46229</v>
      </c>
      <c r="S238" s="7">
        <f t="shared" ca="1" si="7"/>
        <v>3.6712328767123288</v>
      </c>
    </row>
    <row r="239" spans="1:19" x14ac:dyDescent="0.25">
      <c r="A239">
        <v>29410</v>
      </c>
      <c r="B239" t="s">
        <v>1604</v>
      </c>
      <c r="C239" t="s">
        <v>17</v>
      </c>
      <c r="D239" s="6" t="s">
        <v>22</v>
      </c>
      <c r="E239" t="s">
        <v>66</v>
      </c>
      <c r="G239" s="6" t="s">
        <v>970</v>
      </c>
      <c r="H239" s="59" t="s">
        <v>1031</v>
      </c>
      <c r="I239" s="58" t="s">
        <v>895</v>
      </c>
      <c r="J239" t="s">
        <v>1532</v>
      </c>
      <c r="K239" t="s">
        <v>837</v>
      </c>
      <c r="L239" t="s">
        <v>1038</v>
      </c>
      <c r="M239" t="s">
        <v>1163</v>
      </c>
      <c r="N239" s="57">
        <v>1400</v>
      </c>
      <c r="O239" t="s">
        <v>100</v>
      </c>
      <c r="P239" t="s">
        <v>93</v>
      </c>
      <c r="Q239" s="3">
        <v>39643</v>
      </c>
      <c r="R239" s="10">
        <f t="shared" ca="1" si="6"/>
        <v>46229</v>
      </c>
      <c r="S239" s="7">
        <f t="shared" ca="1" si="7"/>
        <v>18.043835616438358</v>
      </c>
    </row>
    <row r="240" spans="1:19" x14ac:dyDescent="0.25">
      <c r="A240">
        <v>1088220</v>
      </c>
      <c r="B240" t="s">
        <v>144</v>
      </c>
      <c r="C240" t="s">
        <v>17</v>
      </c>
      <c r="D240" s="6" t="s">
        <v>39</v>
      </c>
      <c r="E240" t="s">
        <v>951</v>
      </c>
      <c r="G240" s="6" t="s">
        <v>16</v>
      </c>
      <c r="H240" s="59" t="s">
        <v>92</v>
      </c>
      <c r="I240" s="58" t="s">
        <v>823</v>
      </c>
      <c r="J240" t="s">
        <v>824</v>
      </c>
      <c r="K240" t="s">
        <v>94</v>
      </c>
      <c r="L240" t="s">
        <v>966</v>
      </c>
      <c r="M240" t="s">
        <v>1163</v>
      </c>
      <c r="N240" s="57">
        <v>6900</v>
      </c>
      <c r="O240" t="s">
        <v>100</v>
      </c>
      <c r="P240" t="s">
        <v>38</v>
      </c>
      <c r="Q240" s="3">
        <v>45138</v>
      </c>
      <c r="R240" s="10">
        <f t="shared" ca="1" si="6"/>
        <v>46229</v>
      </c>
      <c r="S240" s="7">
        <f t="shared" ca="1" si="7"/>
        <v>2.989041095890411</v>
      </c>
    </row>
    <row r="241" spans="1:19" x14ac:dyDescent="0.25">
      <c r="A241">
        <v>1153806</v>
      </c>
      <c r="B241" t="s">
        <v>177</v>
      </c>
      <c r="C241" t="s">
        <v>17</v>
      </c>
      <c r="D241" s="6" t="s">
        <v>39</v>
      </c>
      <c r="E241" t="s">
        <v>951</v>
      </c>
      <c r="G241" s="6" t="s">
        <v>16</v>
      </c>
      <c r="H241" s="59" t="s">
        <v>92</v>
      </c>
      <c r="I241" s="58" t="s">
        <v>823</v>
      </c>
      <c r="J241" t="s">
        <v>824</v>
      </c>
      <c r="K241" t="s">
        <v>94</v>
      </c>
      <c r="L241" t="s">
        <v>966</v>
      </c>
      <c r="M241" t="s">
        <v>1163</v>
      </c>
      <c r="N241" s="57">
        <v>6900</v>
      </c>
      <c r="O241" t="s">
        <v>100</v>
      </c>
      <c r="P241" t="s">
        <v>38</v>
      </c>
      <c r="Q241" s="3">
        <v>44690</v>
      </c>
      <c r="R241" s="10">
        <f t="shared" ca="1" si="6"/>
        <v>46229</v>
      </c>
      <c r="S241" s="7">
        <f t="shared" ca="1" si="7"/>
        <v>4.2164383561643834</v>
      </c>
    </row>
    <row r="242" spans="1:19" x14ac:dyDescent="0.25">
      <c r="A242">
        <v>1171980</v>
      </c>
      <c r="B242" t="s">
        <v>204</v>
      </c>
      <c r="C242" t="s">
        <v>17</v>
      </c>
      <c r="D242" s="6" t="s">
        <v>39</v>
      </c>
      <c r="E242" t="s">
        <v>64</v>
      </c>
      <c r="G242" s="6" t="s">
        <v>16</v>
      </c>
      <c r="H242" s="59" t="s">
        <v>92</v>
      </c>
      <c r="I242" s="58" t="s">
        <v>823</v>
      </c>
      <c r="J242" t="s">
        <v>824</v>
      </c>
      <c r="K242" t="s">
        <v>94</v>
      </c>
      <c r="L242" t="s">
        <v>966</v>
      </c>
      <c r="M242" t="s">
        <v>1163</v>
      </c>
      <c r="N242" s="57">
        <v>6900</v>
      </c>
      <c r="O242" t="s">
        <v>100</v>
      </c>
      <c r="P242" t="s">
        <v>38</v>
      </c>
      <c r="Q242" s="3">
        <v>44921</v>
      </c>
      <c r="R242" s="10">
        <f t="shared" ca="1" si="6"/>
        <v>46229</v>
      </c>
      <c r="S242" s="7">
        <f t="shared" ca="1" si="7"/>
        <v>3.5835616438356164</v>
      </c>
    </row>
    <row r="243" spans="1:19" x14ac:dyDescent="0.25">
      <c r="A243">
        <v>1182291</v>
      </c>
      <c r="B243" t="s">
        <v>246</v>
      </c>
      <c r="C243" t="s">
        <v>17</v>
      </c>
      <c r="D243" s="6" t="s">
        <v>39</v>
      </c>
      <c r="E243" t="s">
        <v>951</v>
      </c>
      <c r="G243" s="6" t="s">
        <v>16</v>
      </c>
      <c r="H243" s="59" t="s">
        <v>92</v>
      </c>
      <c r="I243" s="58" t="s">
        <v>823</v>
      </c>
      <c r="J243" t="s">
        <v>824</v>
      </c>
      <c r="K243" t="s">
        <v>94</v>
      </c>
      <c r="L243" t="s">
        <v>966</v>
      </c>
      <c r="M243" t="s">
        <v>1163</v>
      </c>
      <c r="N243" s="57">
        <v>6900</v>
      </c>
      <c r="O243" t="s">
        <v>100</v>
      </c>
      <c r="P243" t="s">
        <v>38</v>
      </c>
      <c r="Q243" s="3">
        <v>45173</v>
      </c>
      <c r="R243" s="10">
        <f t="shared" ca="1" si="6"/>
        <v>46229</v>
      </c>
      <c r="S243" s="7">
        <f t="shared" ca="1" si="7"/>
        <v>2.893150684931507</v>
      </c>
    </row>
    <row r="244" spans="1:19" x14ac:dyDescent="0.25">
      <c r="A244">
        <v>1183466</v>
      </c>
      <c r="B244" t="s">
        <v>253</v>
      </c>
      <c r="C244" t="s">
        <v>17</v>
      </c>
      <c r="D244" s="6" t="s">
        <v>39</v>
      </c>
      <c r="E244" t="s">
        <v>64</v>
      </c>
      <c r="G244" s="6" t="s">
        <v>16</v>
      </c>
      <c r="H244" s="59" t="s">
        <v>92</v>
      </c>
      <c r="I244" s="58" t="s">
        <v>823</v>
      </c>
      <c r="J244" t="s">
        <v>824</v>
      </c>
      <c r="K244" t="s">
        <v>94</v>
      </c>
      <c r="L244" t="s">
        <v>966</v>
      </c>
      <c r="M244" t="s">
        <v>1163</v>
      </c>
      <c r="N244" s="57">
        <v>6900</v>
      </c>
      <c r="O244" t="s">
        <v>100</v>
      </c>
      <c r="P244" t="s">
        <v>93</v>
      </c>
      <c r="Q244" s="3">
        <v>45201</v>
      </c>
      <c r="R244" s="10">
        <f t="shared" ca="1" si="6"/>
        <v>46229</v>
      </c>
      <c r="S244" s="7">
        <f t="shared" ca="1" si="7"/>
        <v>2.8164383561643835</v>
      </c>
    </row>
    <row r="245" spans="1:19" x14ac:dyDescent="0.25">
      <c r="A245">
        <v>1230871</v>
      </c>
      <c r="B245" t="s">
        <v>1421</v>
      </c>
      <c r="C245" t="s">
        <v>17</v>
      </c>
      <c r="D245" s="6" t="s">
        <v>39</v>
      </c>
      <c r="E245" t="s">
        <v>64</v>
      </c>
      <c r="G245" s="6" t="s">
        <v>16</v>
      </c>
      <c r="H245" s="59" t="s">
        <v>92</v>
      </c>
      <c r="I245" s="58" t="s">
        <v>823</v>
      </c>
      <c r="J245" t="s">
        <v>824</v>
      </c>
      <c r="K245" t="s">
        <v>94</v>
      </c>
      <c r="L245" t="s">
        <v>966</v>
      </c>
      <c r="M245" t="s">
        <v>1163</v>
      </c>
      <c r="N245" s="57">
        <v>6900</v>
      </c>
      <c r="O245" t="s">
        <v>100</v>
      </c>
      <c r="P245" t="s">
        <v>93</v>
      </c>
      <c r="Q245" s="3">
        <v>46139</v>
      </c>
      <c r="R245" s="10">
        <f t="shared" ca="1" si="6"/>
        <v>46229</v>
      </c>
      <c r="S245" s="7">
        <f t="shared" ca="1" si="7"/>
        <v>0.24657534246575341</v>
      </c>
    </row>
    <row r="246" spans="1:19" x14ac:dyDescent="0.25">
      <c r="A246">
        <v>22810</v>
      </c>
      <c r="B246" t="s">
        <v>309</v>
      </c>
      <c r="C246" t="s">
        <v>17</v>
      </c>
      <c r="D246" s="6" t="s">
        <v>39</v>
      </c>
      <c r="E246" t="s">
        <v>64</v>
      </c>
      <c r="G246" s="6" t="s">
        <v>16</v>
      </c>
      <c r="H246" s="59" t="s">
        <v>92</v>
      </c>
      <c r="I246" s="58" t="s">
        <v>823</v>
      </c>
      <c r="J246" t="s">
        <v>824</v>
      </c>
      <c r="K246" t="s">
        <v>94</v>
      </c>
      <c r="L246" t="s">
        <v>966</v>
      </c>
      <c r="M246" t="s">
        <v>1163</v>
      </c>
      <c r="N246" s="57">
        <v>6900</v>
      </c>
      <c r="O246" t="s">
        <v>100</v>
      </c>
      <c r="P246" t="s">
        <v>38</v>
      </c>
      <c r="Q246" s="3">
        <v>41078</v>
      </c>
      <c r="R246" s="10">
        <f t="shared" ca="1" si="6"/>
        <v>46229</v>
      </c>
      <c r="S246" s="7">
        <f t="shared" ca="1" si="7"/>
        <v>14.112328767123287</v>
      </c>
    </row>
    <row r="247" spans="1:19" x14ac:dyDescent="0.25">
      <c r="A247">
        <v>1157915</v>
      </c>
      <c r="B247" t="s">
        <v>1438</v>
      </c>
      <c r="C247" t="s">
        <v>17</v>
      </c>
      <c r="D247" s="6" t="s">
        <v>39</v>
      </c>
      <c r="E247" t="s">
        <v>62</v>
      </c>
      <c r="G247" s="6" t="s">
        <v>1841</v>
      </c>
      <c r="H247" s="59" t="s">
        <v>92</v>
      </c>
      <c r="I247" s="58" t="s">
        <v>844</v>
      </c>
      <c r="J247" t="s">
        <v>31</v>
      </c>
      <c r="K247" t="s">
        <v>94</v>
      </c>
      <c r="L247" t="s">
        <v>966</v>
      </c>
      <c r="M247" t="s">
        <v>1163</v>
      </c>
      <c r="N247" s="57">
        <v>6900</v>
      </c>
      <c r="O247" t="s">
        <v>100</v>
      </c>
      <c r="P247" t="s">
        <v>38</v>
      </c>
      <c r="Q247" s="3">
        <v>44746</v>
      </c>
      <c r="R247" s="10">
        <f t="shared" ca="1" si="6"/>
        <v>46229</v>
      </c>
      <c r="S247" s="7">
        <f t="shared" ca="1" si="7"/>
        <v>4.0630136986301366</v>
      </c>
    </row>
    <row r="248" spans="1:19" x14ac:dyDescent="0.25">
      <c r="A248">
        <v>1192835</v>
      </c>
      <c r="B248" t="s">
        <v>259</v>
      </c>
      <c r="C248" t="s">
        <v>17</v>
      </c>
      <c r="D248" s="6" t="s">
        <v>39</v>
      </c>
      <c r="E248" t="s">
        <v>62</v>
      </c>
      <c r="G248" s="6" t="s">
        <v>1841</v>
      </c>
      <c r="H248" s="59" t="s">
        <v>92</v>
      </c>
      <c r="I248" s="58" t="s">
        <v>844</v>
      </c>
      <c r="J248" t="s">
        <v>31</v>
      </c>
      <c r="K248" t="s">
        <v>94</v>
      </c>
      <c r="L248" t="s">
        <v>966</v>
      </c>
      <c r="M248" t="s">
        <v>1163</v>
      </c>
      <c r="N248" s="57">
        <v>6900</v>
      </c>
      <c r="O248" t="s">
        <v>100</v>
      </c>
      <c r="P248" t="s">
        <v>38</v>
      </c>
      <c r="Q248" s="3">
        <v>45495</v>
      </c>
      <c r="R248" s="10">
        <f t="shared" ca="1" si="6"/>
        <v>46229</v>
      </c>
      <c r="S248" s="7">
        <f t="shared" ca="1" si="7"/>
        <v>2.010958904109589</v>
      </c>
    </row>
    <row r="249" spans="1:19" x14ac:dyDescent="0.25">
      <c r="A249">
        <v>1202083</v>
      </c>
      <c r="B249" t="s">
        <v>278</v>
      </c>
      <c r="C249" t="s">
        <v>17</v>
      </c>
      <c r="D249" s="6" t="s">
        <v>39</v>
      </c>
      <c r="E249" t="s">
        <v>62</v>
      </c>
      <c r="G249" s="6" t="s">
        <v>1841</v>
      </c>
      <c r="H249" s="59" t="s">
        <v>92</v>
      </c>
      <c r="I249" s="58" t="s">
        <v>844</v>
      </c>
      <c r="J249" t="s">
        <v>31</v>
      </c>
      <c r="K249" t="s">
        <v>94</v>
      </c>
      <c r="L249" t="s">
        <v>966</v>
      </c>
      <c r="M249" t="s">
        <v>1163</v>
      </c>
      <c r="N249" s="57">
        <v>6900</v>
      </c>
      <c r="O249" t="s">
        <v>100</v>
      </c>
      <c r="P249" t="s">
        <v>38</v>
      </c>
      <c r="Q249" s="3">
        <v>45705</v>
      </c>
      <c r="R249" s="10">
        <f t="shared" ca="1" si="6"/>
        <v>46229</v>
      </c>
      <c r="S249" s="7">
        <f t="shared" ca="1" si="7"/>
        <v>1.4356164383561645</v>
      </c>
    </row>
    <row r="250" spans="1:19" x14ac:dyDescent="0.25">
      <c r="A250">
        <v>974994</v>
      </c>
      <c r="B250" t="s">
        <v>796</v>
      </c>
      <c r="C250" t="s">
        <v>17</v>
      </c>
      <c r="D250" s="6" t="s">
        <v>39</v>
      </c>
      <c r="E250" t="s">
        <v>62</v>
      </c>
      <c r="G250" s="6" t="s">
        <v>1841</v>
      </c>
      <c r="H250" s="59" t="s">
        <v>92</v>
      </c>
      <c r="I250" s="58" t="s">
        <v>844</v>
      </c>
      <c r="J250" t="s">
        <v>31</v>
      </c>
      <c r="K250" t="s">
        <v>94</v>
      </c>
      <c r="L250" t="s">
        <v>966</v>
      </c>
      <c r="M250" t="s">
        <v>1163</v>
      </c>
      <c r="N250" s="57">
        <v>6900</v>
      </c>
      <c r="O250" t="s">
        <v>100</v>
      </c>
      <c r="P250" t="s">
        <v>38</v>
      </c>
      <c r="Q250" s="3">
        <v>45852</v>
      </c>
      <c r="R250" s="10">
        <f t="shared" ca="1" si="6"/>
        <v>46229</v>
      </c>
      <c r="S250" s="7">
        <f t="shared" ca="1" si="7"/>
        <v>1.0328767123287672</v>
      </c>
    </row>
    <row r="251" spans="1:19" x14ac:dyDescent="0.25">
      <c r="A251">
        <v>22966</v>
      </c>
      <c r="B251" t="s">
        <v>1599</v>
      </c>
      <c r="C251" t="s">
        <v>17</v>
      </c>
      <c r="D251" s="6" t="s">
        <v>22</v>
      </c>
      <c r="E251" t="s">
        <v>70</v>
      </c>
      <c r="G251" s="6" t="s">
        <v>968</v>
      </c>
      <c r="H251" s="59" t="s">
        <v>1020</v>
      </c>
      <c r="I251" s="58" t="s">
        <v>1501</v>
      </c>
      <c r="J251" t="s">
        <v>839</v>
      </c>
      <c r="K251" t="s">
        <v>830</v>
      </c>
      <c r="L251" t="s">
        <v>25</v>
      </c>
      <c r="M251" t="s">
        <v>1163</v>
      </c>
      <c r="N251" s="57">
        <v>1200</v>
      </c>
      <c r="O251" t="s">
        <v>100</v>
      </c>
      <c r="P251" t="s">
        <v>93</v>
      </c>
      <c r="Q251" s="3">
        <v>37284</v>
      </c>
      <c r="R251" s="10">
        <f t="shared" ca="1" si="6"/>
        <v>46229</v>
      </c>
      <c r="S251" s="7">
        <f t="shared" ca="1" si="7"/>
        <v>24.506849315068493</v>
      </c>
    </row>
    <row r="252" spans="1:19" x14ac:dyDescent="0.25">
      <c r="A252">
        <v>4060613</v>
      </c>
      <c r="B252" t="s">
        <v>1204</v>
      </c>
      <c r="C252" t="s">
        <v>1044</v>
      </c>
      <c r="D252" s="6" t="s">
        <v>22</v>
      </c>
      <c r="E252" t="s">
        <v>21</v>
      </c>
      <c r="G252" s="6" t="s">
        <v>968</v>
      </c>
      <c r="H252" s="59" t="s">
        <v>1020</v>
      </c>
      <c r="I252" s="58" t="s">
        <v>1501</v>
      </c>
      <c r="J252" t="s">
        <v>839</v>
      </c>
      <c r="K252" t="s">
        <v>830</v>
      </c>
      <c r="L252" t="s">
        <v>1038</v>
      </c>
      <c r="M252" t="s">
        <v>1163</v>
      </c>
      <c r="N252" s="57">
        <v>1200</v>
      </c>
      <c r="O252" t="s">
        <v>100</v>
      </c>
      <c r="P252" t="s">
        <v>93</v>
      </c>
      <c r="Q252" s="3">
        <v>46111</v>
      </c>
      <c r="R252" s="10">
        <f t="shared" ca="1" si="6"/>
        <v>46229</v>
      </c>
      <c r="S252" s="7">
        <f t="shared" ca="1" si="7"/>
        <v>0.32328767123287672</v>
      </c>
    </row>
    <row r="253" spans="1:19" x14ac:dyDescent="0.25">
      <c r="A253">
        <v>4113067</v>
      </c>
      <c r="B253" t="s">
        <v>1208</v>
      </c>
      <c r="C253" t="s">
        <v>1044</v>
      </c>
      <c r="D253" s="6" t="s">
        <v>22</v>
      </c>
      <c r="E253" t="s">
        <v>21</v>
      </c>
      <c r="G253" s="6" t="s">
        <v>968</v>
      </c>
      <c r="H253" s="59" t="s">
        <v>1020</v>
      </c>
      <c r="I253" s="58" t="s">
        <v>1501</v>
      </c>
      <c r="J253" t="s">
        <v>839</v>
      </c>
      <c r="K253" t="s">
        <v>830</v>
      </c>
      <c r="L253" t="s">
        <v>25</v>
      </c>
      <c r="M253" t="s">
        <v>1163</v>
      </c>
      <c r="N253" s="57">
        <v>1200</v>
      </c>
      <c r="O253" t="s">
        <v>100</v>
      </c>
      <c r="P253" t="s">
        <v>93</v>
      </c>
      <c r="Q253" s="3">
        <v>46111</v>
      </c>
      <c r="R253" s="10">
        <f t="shared" ca="1" si="6"/>
        <v>46229</v>
      </c>
      <c r="S253" s="7">
        <f t="shared" ca="1" si="7"/>
        <v>0.32328767123287672</v>
      </c>
    </row>
    <row r="254" spans="1:19" x14ac:dyDescent="0.25">
      <c r="A254">
        <v>1070953</v>
      </c>
      <c r="B254" t="s">
        <v>138</v>
      </c>
      <c r="C254" t="s">
        <v>17</v>
      </c>
      <c r="D254" s="6" t="s">
        <v>39</v>
      </c>
      <c r="E254" t="s">
        <v>46</v>
      </c>
      <c r="G254" s="6" t="s">
        <v>1842</v>
      </c>
      <c r="H254" s="59" t="s">
        <v>92</v>
      </c>
      <c r="I254" s="58" t="s">
        <v>41</v>
      </c>
      <c r="J254" t="s">
        <v>32</v>
      </c>
      <c r="K254" t="s">
        <v>33</v>
      </c>
      <c r="L254" t="s">
        <v>966</v>
      </c>
      <c r="M254" t="s">
        <v>1163</v>
      </c>
      <c r="N254" s="57">
        <v>7300</v>
      </c>
      <c r="O254" t="s">
        <v>100</v>
      </c>
      <c r="P254" t="s">
        <v>93</v>
      </c>
      <c r="Q254" s="3">
        <v>43290</v>
      </c>
      <c r="R254" s="10">
        <f t="shared" ca="1" si="6"/>
        <v>46229</v>
      </c>
      <c r="S254" s="7">
        <f t="shared" ca="1" si="7"/>
        <v>8.0520547945205472</v>
      </c>
    </row>
    <row r="255" spans="1:19" x14ac:dyDescent="0.25">
      <c r="A255">
        <v>1157750</v>
      </c>
      <c r="B255" t="s">
        <v>181</v>
      </c>
      <c r="C255" t="s">
        <v>17</v>
      </c>
      <c r="D255" s="6" t="s">
        <v>39</v>
      </c>
      <c r="E255" t="s">
        <v>46</v>
      </c>
      <c r="G255" s="6" t="s">
        <v>1842</v>
      </c>
      <c r="H255" s="59" t="s">
        <v>92</v>
      </c>
      <c r="I255" s="58" t="s">
        <v>41</v>
      </c>
      <c r="J255" t="s">
        <v>32</v>
      </c>
      <c r="K255" t="s">
        <v>33</v>
      </c>
      <c r="L255" t="s">
        <v>966</v>
      </c>
      <c r="M255" t="s">
        <v>1163</v>
      </c>
      <c r="N255" s="57">
        <v>7300</v>
      </c>
      <c r="O255" t="s">
        <v>100</v>
      </c>
      <c r="P255" t="s">
        <v>38</v>
      </c>
      <c r="Q255" s="3">
        <v>44746</v>
      </c>
      <c r="R255" s="10">
        <f t="shared" ca="1" si="6"/>
        <v>46229</v>
      </c>
      <c r="S255" s="7">
        <f t="shared" ca="1" si="7"/>
        <v>4.0630136986301366</v>
      </c>
    </row>
    <row r="256" spans="1:19" x14ac:dyDescent="0.25">
      <c r="A256">
        <v>1168875</v>
      </c>
      <c r="B256" t="s">
        <v>1035</v>
      </c>
      <c r="C256" t="s">
        <v>17</v>
      </c>
      <c r="D256" s="6" t="s">
        <v>39</v>
      </c>
      <c r="E256" t="s">
        <v>46</v>
      </c>
      <c r="G256" s="6" t="s">
        <v>1842</v>
      </c>
      <c r="H256" s="59" t="s">
        <v>92</v>
      </c>
      <c r="I256" s="58" t="s">
        <v>41</v>
      </c>
      <c r="J256" t="s">
        <v>32</v>
      </c>
      <c r="K256" t="s">
        <v>33</v>
      </c>
      <c r="L256" t="s">
        <v>966</v>
      </c>
      <c r="M256" t="s">
        <v>1163</v>
      </c>
      <c r="N256" s="57">
        <v>7300</v>
      </c>
      <c r="O256" t="s">
        <v>100</v>
      </c>
      <c r="P256" t="s">
        <v>38</v>
      </c>
      <c r="Q256" s="3">
        <v>44879</v>
      </c>
      <c r="R256" s="10">
        <f t="shared" ca="1" si="6"/>
        <v>46229</v>
      </c>
      <c r="S256" s="7">
        <f t="shared" ca="1" si="7"/>
        <v>3.6986301369863015</v>
      </c>
    </row>
    <row r="257" spans="1:19" x14ac:dyDescent="0.25">
      <c r="A257">
        <v>1171637</v>
      </c>
      <c r="B257" t="s">
        <v>203</v>
      </c>
      <c r="C257" t="s">
        <v>17</v>
      </c>
      <c r="D257" s="6" t="s">
        <v>39</v>
      </c>
      <c r="E257" t="s">
        <v>46</v>
      </c>
      <c r="G257" s="6" t="s">
        <v>1842</v>
      </c>
      <c r="H257" s="59" t="s">
        <v>92</v>
      </c>
      <c r="I257" s="58" t="s">
        <v>41</v>
      </c>
      <c r="J257" t="s">
        <v>32</v>
      </c>
      <c r="K257" t="s">
        <v>33</v>
      </c>
      <c r="L257" t="s">
        <v>966</v>
      </c>
      <c r="M257" t="s">
        <v>1163</v>
      </c>
      <c r="N257" s="57">
        <v>7300</v>
      </c>
      <c r="O257" t="s">
        <v>100</v>
      </c>
      <c r="P257" t="s">
        <v>38</v>
      </c>
      <c r="Q257" s="3">
        <v>44914</v>
      </c>
      <c r="R257" s="10">
        <f t="shared" ca="1" si="6"/>
        <v>46229</v>
      </c>
      <c r="S257" s="7">
        <f t="shared" ca="1" si="7"/>
        <v>3.6027397260273974</v>
      </c>
    </row>
    <row r="258" spans="1:19" x14ac:dyDescent="0.25">
      <c r="A258">
        <v>27942</v>
      </c>
      <c r="B258" t="s">
        <v>338</v>
      </c>
      <c r="C258" t="s">
        <v>17</v>
      </c>
      <c r="D258" s="6" t="s">
        <v>39</v>
      </c>
      <c r="E258" t="s">
        <v>46</v>
      </c>
      <c r="G258" s="6" t="s">
        <v>1842</v>
      </c>
      <c r="H258" s="59" t="s">
        <v>92</v>
      </c>
      <c r="I258" s="58" t="s">
        <v>41</v>
      </c>
      <c r="J258" t="s">
        <v>32</v>
      </c>
      <c r="K258" t="s">
        <v>33</v>
      </c>
      <c r="L258" t="s">
        <v>91</v>
      </c>
      <c r="M258" t="s">
        <v>1163</v>
      </c>
      <c r="N258" s="57">
        <v>7300</v>
      </c>
      <c r="O258" t="s">
        <v>100</v>
      </c>
      <c r="P258" t="s">
        <v>38</v>
      </c>
      <c r="Q258" s="3">
        <v>39468</v>
      </c>
      <c r="R258" s="10">
        <f t="shared" ca="1" si="6"/>
        <v>46229</v>
      </c>
      <c r="S258" s="7">
        <f t="shared" ca="1" si="7"/>
        <v>18.523287671232875</v>
      </c>
    </row>
    <row r="259" spans="1:19" x14ac:dyDescent="0.25">
      <c r="A259">
        <v>1007515</v>
      </c>
      <c r="B259" t="s">
        <v>983</v>
      </c>
      <c r="C259" t="s">
        <v>17</v>
      </c>
      <c r="D259" s="6" t="s">
        <v>22</v>
      </c>
      <c r="E259" t="s">
        <v>43</v>
      </c>
      <c r="G259" s="6" t="s">
        <v>971</v>
      </c>
      <c r="H259" s="59" t="s">
        <v>1010</v>
      </c>
      <c r="I259" s="58" t="s">
        <v>894</v>
      </c>
      <c r="J259" t="s">
        <v>845</v>
      </c>
      <c r="K259" t="s">
        <v>31</v>
      </c>
      <c r="L259" t="s">
        <v>1038</v>
      </c>
      <c r="M259" t="s">
        <v>1163</v>
      </c>
      <c r="N259" s="57">
        <v>1200</v>
      </c>
      <c r="O259" t="s">
        <v>100</v>
      </c>
      <c r="P259" t="s">
        <v>38</v>
      </c>
      <c r="Q259" s="3">
        <v>43360</v>
      </c>
      <c r="R259" s="10">
        <f t="shared" ref="R259:R322" ca="1" si="8">TODAY()</f>
        <v>46229</v>
      </c>
      <c r="S259" s="7">
        <f t="shared" ref="S259:S322" ca="1" si="9">(R259-Q259)/365</f>
        <v>7.86027397260274</v>
      </c>
    </row>
    <row r="260" spans="1:19" x14ac:dyDescent="0.25">
      <c r="A260">
        <v>1018160</v>
      </c>
      <c r="B260" t="s">
        <v>1353</v>
      </c>
      <c r="C260" t="s">
        <v>1044</v>
      </c>
      <c r="D260" s="6" t="s">
        <v>22</v>
      </c>
      <c r="E260" t="s">
        <v>21</v>
      </c>
      <c r="G260" s="6" t="s">
        <v>971</v>
      </c>
      <c r="H260" s="59" t="s">
        <v>1010</v>
      </c>
      <c r="I260" s="58" t="s">
        <v>894</v>
      </c>
      <c r="J260" t="s">
        <v>845</v>
      </c>
      <c r="K260" t="s">
        <v>31</v>
      </c>
      <c r="L260" t="s">
        <v>91</v>
      </c>
      <c r="M260" t="s">
        <v>1163</v>
      </c>
      <c r="N260" s="57">
        <v>1200</v>
      </c>
      <c r="O260" t="s">
        <v>100</v>
      </c>
      <c r="P260" t="s">
        <v>93</v>
      </c>
      <c r="Q260" s="3">
        <v>46128</v>
      </c>
      <c r="R260" s="10">
        <f t="shared" ca="1" si="8"/>
        <v>46229</v>
      </c>
      <c r="S260" s="7">
        <f t="shared" ca="1" si="9"/>
        <v>0.27671232876712326</v>
      </c>
    </row>
    <row r="261" spans="1:19" x14ac:dyDescent="0.25">
      <c r="A261">
        <v>1081858</v>
      </c>
      <c r="B261" t="s">
        <v>984</v>
      </c>
      <c r="C261" t="s">
        <v>17</v>
      </c>
      <c r="D261" s="6" t="s">
        <v>22</v>
      </c>
      <c r="E261" t="s">
        <v>43</v>
      </c>
      <c r="G261" s="6" t="s">
        <v>971</v>
      </c>
      <c r="H261" s="59" t="s">
        <v>1010</v>
      </c>
      <c r="I261" s="58" t="s">
        <v>894</v>
      </c>
      <c r="J261" t="s">
        <v>845</v>
      </c>
      <c r="K261" t="s">
        <v>31</v>
      </c>
      <c r="L261" t="s">
        <v>1038</v>
      </c>
      <c r="M261" t="s">
        <v>1163</v>
      </c>
      <c r="N261" s="57">
        <v>1200</v>
      </c>
      <c r="O261" t="s">
        <v>100</v>
      </c>
      <c r="P261" t="s">
        <v>93</v>
      </c>
      <c r="Q261" s="3">
        <v>43367</v>
      </c>
      <c r="R261" s="10">
        <f t="shared" ca="1" si="8"/>
        <v>46229</v>
      </c>
      <c r="S261" s="7">
        <f t="shared" ca="1" si="9"/>
        <v>7.8410958904109593</v>
      </c>
    </row>
    <row r="262" spans="1:19" x14ac:dyDescent="0.25">
      <c r="A262">
        <v>1193041</v>
      </c>
      <c r="B262" t="s">
        <v>992</v>
      </c>
      <c r="C262" t="s">
        <v>17</v>
      </c>
      <c r="D262" s="6" t="s">
        <v>22</v>
      </c>
      <c r="E262" t="s">
        <v>43</v>
      </c>
      <c r="G262" s="6" t="s">
        <v>971</v>
      </c>
      <c r="H262" s="59" t="s">
        <v>1010</v>
      </c>
      <c r="I262" s="58" t="s">
        <v>894</v>
      </c>
      <c r="J262" t="s">
        <v>845</v>
      </c>
      <c r="K262" t="s">
        <v>31</v>
      </c>
      <c r="L262" t="s">
        <v>1038</v>
      </c>
      <c r="M262" t="s">
        <v>1163</v>
      </c>
      <c r="N262" s="57">
        <v>1200</v>
      </c>
      <c r="O262" t="s">
        <v>100</v>
      </c>
      <c r="P262" t="s">
        <v>38</v>
      </c>
      <c r="Q262" s="3">
        <v>45502</v>
      </c>
      <c r="R262" s="10">
        <f t="shared" ca="1" si="8"/>
        <v>46229</v>
      </c>
      <c r="S262" s="7">
        <f t="shared" ca="1" si="9"/>
        <v>1.9917808219178081</v>
      </c>
    </row>
    <row r="263" spans="1:19" x14ac:dyDescent="0.25">
      <c r="A263">
        <v>1193487</v>
      </c>
      <c r="B263" t="s">
        <v>993</v>
      </c>
      <c r="C263" t="s">
        <v>17</v>
      </c>
      <c r="D263" s="6" t="s">
        <v>22</v>
      </c>
      <c r="E263" t="s">
        <v>43</v>
      </c>
      <c r="G263" s="6" t="s">
        <v>971</v>
      </c>
      <c r="H263" s="59" t="s">
        <v>1010</v>
      </c>
      <c r="I263" s="58" t="s">
        <v>894</v>
      </c>
      <c r="J263" t="s">
        <v>845</v>
      </c>
      <c r="K263" t="s">
        <v>31</v>
      </c>
      <c r="L263" t="s">
        <v>91</v>
      </c>
      <c r="M263" t="s">
        <v>1163</v>
      </c>
      <c r="N263" s="57">
        <v>1200</v>
      </c>
      <c r="O263" t="s">
        <v>100</v>
      </c>
      <c r="P263" t="s">
        <v>93</v>
      </c>
      <c r="Q263" s="3">
        <v>45509</v>
      </c>
      <c r="R263" s="10">
        <f t="shared" ca="1" si="8"/>
        <v>46229</v>
      </c>
      <c r="S263" s="7">
        <f t="shared" ca="1" si="9"/>
        <v>1.9726027397260273</v>
      </c>
    </row>
    <row r="264" spans="1:19" x14ac:dyDescent="0.25">
      <c r="A264">
        <v>1196936</v>
      </c>
      <c r="B264" t="s">
        <v>268</v>
      </c>
      <c r="C264" t="s">
        <v>17</v>
      </c>
      <c r="D264" s="6" t="s">
        <v>22</v>
      </c>
      <c r="E264" t="s">
        <v>43</v>
      </c>
      <c r="G264" s="6" t="s">
        <v>971</v>
      </c>
      <c r="H264" s="59" t="s">
        <v>1010</v>
      </c>
      <c r="I264" s="58" t="s">
        <v>894</v>
      </c>
      <c r="J264" t="s">
        <v>845</v>
      </c>
      <c r="K264" t="s">
        <v>31</v>
      </c>
      <c r="L264" t="s">
        <v>25</v>
      </c>
      <c r="M264" t="s">
        <v>1163</v>
      </c>
      <c r="N264" s="57">
        <v>1200</v>
      </c>
      <c r="O264" t="s">
        <v>100</v>
      </c>
      <c r="P264" t="s">
        <v>1037</v>
      </c>
      <c r="Q264" s="3">
        <v>45579</v>
      </c>
      <c r="R264" s="10">
        <f t="shared" ca="1" si="8"/>
        <v>46229</v>
      </c>
      <c r="S264" s="7">
        <f t="shared" ca="1" si="9"/>
        <v>1.7808219178082192</v>
      </c>
    </row>
    <row r="265" spans="1:19" x14ac:dyDescent="0.25">
      <c r="A265">
        <v>4021505</v>
      </c>
      <c r="B265" t="s">
        <v>437</v>
      </c>
      <c r="C265" t="s">
        <v>17</v>
      </c>
      <c r="D265" s="6" t="s">
        <v>22</v>
      </c>
      <c r="E265" t="s">
        <v>43</v>
      </c>
      <c r="G265" s="6" t="s">
        <v>971</v>
      </c>
      <c r="H265" s="59" t="s">
        <v>1010</v>
      </c>
      <c r="I265" s="58" t="s">
        <v>894</v>
      </c>
      <c r="J265" t="s">
        <v>845</v>
      </c>
      <c r="K265" t="s">
        <v>31</v>
      </c>
      <c r="L265" t="s">
        <v>1038</v>
      </c>
      <c r="M265" t="s">
        <v>1163</v>
      </c>
      <c r="N265" s="57">
        <v>1200</v>
      </c>
      <c r="O265" t="s">
        <v>100</v>
      </c>
      <c r="P265" t="s">
        <v>38</v>
      </c>
      <c r="Q265" s="3">
        <v>44048</v>
      </c>
      <c r="R265" s="10">
        <f t="shared" ca="1" si="8"/>
        <v>46229</v>
      </c>
      <c r="S265" s="7">
        <f t="shared" ca="1" si="9"/>
        <v>5.9753424657534246</v>
      </c>
    </row>
    <row r="266" spans="1:19" x14ac:dyDescent="0.25">
      <c r="A266">
        <v>612718</v>
      </c>
      <c r="B266" t="s">
        <v>725</v>
      </c>
      <c r="C266" t="s">
        <v>17</v>
      </c>
      <c r="D266" s="6" t="s">
        <v>22</v>
      </c>
      <c r="E266" t="s">
        <v>43</v>
      </c>
      <c r="G266" s="6" t="s">
        <v>971</v>
      </c>
      <c r="H266" s="59" t="s">
        <v>1010</v>
      </c>
      <c r="I266" s="58" t="s">
        <v>894</v>
      </c>
      <c r="J266" t="s">
        <v>845</v>
      </c>
      <c r="K266" t="s">
        <v>31</v>
      </c>
      <c r="L266" t="s">
        <v>1038</v>
      </c>
      <c r="M266" t="s">
        <v>1163</v>
      </c>
      <c r="N266" s="57">
        <v>1200</v>
      </c>
      <c r="O266" t="s">
        <v>100</v>
      </c>
      <c r="P266" t="s">
        <v>93</v>
      </c>
      <c r="Q266" s="3">
        <v>45621</v>
      </c>
      <c r="R266" s="10">
        <f t="shared" ca="1" si="8"/>
        <v>46229</v>
      </c>
      <c r="S266" s="7">
        <f t="shared" ca="1" si="9"/>
        <v>1.6657534246575343</v>
      </c>
    </row>
    <row r="267" spans="1:19" x14ac:dyDescent="0.25">
      <c r="A267">
        <v>1125908</v>
      </c>
      <c r="B267" t="s">
        <v>156</v>
      </c>
      <c r="C267" t="s">
        <v>17</v>
      </c>
      <c r="D267" s="6" t="s">
        <v>39</v>
      </c>
      <c r="E267" t="s">
        <v>81</v>
      </c>
      <c r="G267" s="6" t="s">
        <v>1843</v>
      </c>
      <c r="H267" s="59" t="s">
        <v>92</v>
      </c>
      <c r="I267" s="58" t="s">
        <v>878</v>
      </c>
      <c r="J267" t="s">
        <v>28</v>
      </c>
      <c r="K267" t="s">
        <v>27</v>
      </c>
      <c r="L267" t="s">
        <v>966</v>
      </c>
      <c r="M267" t="s">
        <v>1163</v>
      </c>
      <c r="N267" s="57">
        <v>6420</v>
      </c>
      <c r="O267" t="s">
        <v>100</v>
      </c>
      <c r="P267" t="s">
        <v>38</v>
      </c>
      <c r="Q267" s="3">
        <v>44284</v>
      </c>
      <c r="R267" s="10">
        <f t="shared" ca="1" si="8"/>
        <v>46229</v>
      </c>
      <c r="S267" s="7">
        <f t="shared" ca="1" si="9"/>
        <v>5.3287671232876717</v>
      </c>
    </row>
    <row r="268" spans="1:19" x14ac:dyDescent="0.25">
      <c r="A268">
        <v>1127092</v>
      </c>
      <c r="B268" t="s">
        <v>160</v>
      </c>
      <c r="C268" t="s">
        <v>17</v>
      </c>
      <c r="D268" s="6" t="s">
        <v>39</v>
      </c>
      <c r="E268" t="s">
        <v>48</v>
      </c>
      <c r="G268" s="6" t="s">
        <v>1843</v>
      </c>
      <c r="H268" s="59" t="s">
        <v>92</v>
      </c>
      <c r="I268" s="58" t="s">
        <v>878</v>
      </c>
      <c r="J268" t="s">
        <v>28</v>
      </c>
      <c r="K268" t="s">
        <v>27</v>
      </c>
      <c r="L268" t="s">
        <v>966</v>
      </c>
      <c r="M268" t="s">
        <v>1163</v>
      </c>
      <c r="N268" s="57">
        <v>6420</v>
      </c>
      <c r="O268" t="s">
        <v>100</v>
      </c>
      <c r="P268" t="s">
        <v>38</v>
      </c>
      <c r="Q268" s="3">
        <v>44305</v>
      </c>
      <c r="R268" s="10">
        <f t="shared" ca="1" si="8"/>
        <v>46229</v>
      </c>
      <c r="S268" s="7">
        <f t="shared" ca="1" si="9"/>
        <v>5.2712328767123289</v>
      </c>
    </row>
    <row r="269" spans="1:19" x14ac:dyDescent="0.25">
      <c r="A269">
        <v>1131236</v>
      </c>
      <c r="B269" t="s">
        <v>1178</v>
      </c>
      <c r="C269" t="s">
        <v>17</v>
      </c>
      <c r="D269" s="6" t="s">
        <v>39</v>
      </c>
      <c r="E269" t="s">
        <v>61</v>
      </c>
      <c r="G269" s="6" t="s">
        <v>1843</v>
      </c>
      <c r="H269" s="59" t="s">
        <v>92</v>
      </c>
      <c r="I269" s="58" t="s">
        <v>878</v>
      </c>
      <c r="J269" t="s">
        <v>28</v>
      </c>
      <c r="K269" t="s">
        <v>27</v>
      </c>
      <c r="L269" t="s">
        <v>966</v>
      </c>
      <c r="M269" t="s">
        <v>1163</v>
      </c>
      <c r="N269" s="57">
        <v>6490</v>
      </c>
      <c r="O269" t="s">
        <v>100</v>
      </c>
      <c r="P269" t="s">
        <v>93</v>
      </c>
      <c r="Q269" s="3">
        <v>44361</v>
      </c>
      <c r="R269" s="10">
        <f t="shared" ca="1" si="8"/>
        <v>46229</v>
      </c>
      <c r="S269" s="7">
        <f t="shared" ca="1" si="9"/>
        <v>5.117808219178082</v>
      </c>
    </row>
    <row r="270" spans="1:19" x14ac:dyDescent="0.25">
      <c r="A270">
        <v>32255</v>
      </c>
      <c r="B270" t="s">
        <v>386</v>
      </c>
      <c r="C270" t="s">
        <v>17</v>
      </c>
      <c r="D270" s="6" t="s">
        <v>39</v>
      </c>
      <c r="E270" t="s">
        <v>48</v>
      </c>
      <c r="G270" s="6" t="s">
        <v>1843</v>
      </c>
      <c r="H270" s="59" t="s">
        <v>92</v>
      </c>
      <c r="I270" s="58" t="s">
        <v>878</v>
      </c>
      <c r="J270" t="s">
        <v>28</v>
      </c>
      <c r="K270" t="s">
        <v>27</v>
      </c>
      <c r="L270" t="s">
        <v>966</v>
      </c>
      <c r="M270" t="s">
        <v>1163</v>
      </c>
      <c r="N270" s="57">
        <v>6420</v>
      </c>
      <c r="O270" t="s">
        <v>100</v>
      </c>
      <c r="P270" t="s">
        <v>38</v>
      </c>
      <c r="Q270" s="3">
        <v>38964</v>
      </c>
      <c r="R270" s="10">
        <f t="shared" ca="1" si="8"/>
        <v>46229</v>
      </c>
      <c r="S270" s="7">
        <f t="shared" ca="1" si="9"/>
        <v>19.904109589041095</v>
      </c>
    </row>
    <row r="271" spans="1:19" x14ac:dyDescent="0.25">
      <c r="A271">
        <v>3002710</v>
      </c>
      <c r="B271" t="s">
        <v>1200</v>
      </c>
      <c r="C271" t="s">
        <v>17</v>
      </c>
      <c r="D271" s="6" t="s">
        <v>22</v>
      </c>
      <c r="E271" t="s">
        <v>65</v>
      </c>
      <c r="G271" s="6" t="s">
        <v>967</v>
      </c>
      <c r="H271" s="59" t="s">
        <v>1022</v>
      </c>
      <c r="I271" s="58" t="s">
        <v>1797</v>
      </c>
      <c r="J271" t="s">
        <v>906</v>
      </c>
      <c r="K271" t="s">
        <v>821</v>
      </c>
      <c r="L271" t="s">
        <v>1038</v>
      </c>
      <c r="M271" t="s">
        <v>1163</v>
      </c>
      <c r="N271" s="57">
        <v>1500</v>
      </c>
      <c r="O271" t="s">
        <v>100</v>
      </c>
      <c r="P271" t="s">
        <v>93</v>
      </c>
      <c r="Q271" s="3">
        <v>44217</v>
      </c>
      <c r="R271" s="10">
        <f t="shared" ca="1" si="8"/>
        <v>46229</v>
      </c>
      <c r="S271" s="7">
        <f t="shared" ca="1" si="9"/>
        <v>5.5123287671232877</v>
      </c>
    </row>
    <row r="272" spans="1:19" x14ac:dyDescent="0.25">
      <c r="A272">
        <v>4070341</v>
      </c>
      <c r="B272" t="s">
        <v>525</v>
      </c>
      <c r="C272" t="s">
        <v>17</v>
      </c>
      <c r="D272" s="6" t="s">
        <v>22</v>
      </c>
      <c r="E272" t="s">
        <v>54</v>
      </c>
      <c r="G272" s="6" t="s">
        <v>967</v>
      </c>
      <c r="H272" s="59" t="s">
        <v>1022</v>
      </c>
      <c r="I272" s="58" t="s">
        <v>1797</v>
      </c>
      <c r="J272" t="s">
        <v>906</v>
      </c>
      <c r="K272" t="s">
        <v>821</v>
      </c>
      <c r="L272" t="s">
        <v>966</v>
      </c>
      <c r="M272" t="s">
        <v>1163</v>
      </c>
      <c r="N272" s="57">
        <v>1200</v>
      </c>
      <c r="O272" t="s">
        <v>100</v>
      </c>
      <c r="P272" t="s">
        <v>93</v>
      </c>
      <c r="Q272" s="3">
        <v>44847</v>
      </c>
      <c r="R272" s="10">
        <f t="shared" ca="1" si="8"/>
        <v>46229</v>
      </c>
      <c r="S272" s="7">
        <f t="shared" ca="1" si="9"/>
        <v>3.7863013698630139</v>
      </c>
    </row>
    <row r="273" spans="1:19" x14ac:dyDescent="0.25">
      <c r="A273">
        <v>1127660</v>
      </c>
      <c r="B273" t="s">
        <v>161</v>
      </c>
      <c r="C273" t="s">
        <v>17</v>
      </c>
      <c r="D273" s="6" t="s">
        <v>22</v>
      </c>
      <c r="E273" t="s">
        <v>83</v>
      </c>
      <c r="G273" s="6" t="s">
        <v>968</v>
      </c>
      <c r="H273" s="59" t="s">
        <v>1020</v>
      </c>
      <c r="I273" s="58" t="s">
        <v>839</v>
      </c>
      <c r="J273" t="s">
        <v>830</v>
      </c>
      <c r="K273" t="s">
        <v>94</v>
      </c>
      <c r="L273" t="s">
        <v>966</v>
      </c>
      <c r="M273" t="s">
        <v>1163</v>
      </c>
      <c r="N273" s="57">
        <v>1200</v>
      </c>
      <c r="O273" t="s">
        <v>100</v>
      </c>
      <c r="P273" t="s">
        <v>93</v>
      </c>
      <c r="Q273" s="3">
        <v>44312</v>
      </c>
      <c r="R273" s="10">
        <f t="shared" ca="1" si="8"/>
        <v>46229</v>
      </c>
      <c r="S273" s="7">
        <f t="shared" ca="1" si="9"/>
        <v>5.2520547945205482</v>
      </c>
    </row>
    <row r="274" spans="1:19" x14ac:dyDescent="0.25">
      <c r="A274">
        <v>1158107</v>
      </c>
      <c r="B274" t="s">
        <v>182</v>
      </c>
      <c r="C274" t="s">
        <v>17</v>
      </c>
      <c r="D274" s="6" t="s">
        <v>22</v>
      </c>
      <c r="E274" t="s">
        <v>45</v>
      </c>
      <c r="G274" s="6" t="s">
        <v>968</v>
      </c>
      <c r="H274" s="59" t="s">
        <v>1020</v>
      </c>
      <c r="I274" s="58" t="s">
        <v>839</v>
      </c>
      <c r="J274" t="s">
        <v>830</v>
      </c>
      <c r="K274" t="s">
        <v>94</v>
      </c>
      <c r="L274" t="s">
        <v>1038</v>
      </c>
      <c r="M274" t="s">
        <v>1163</v>
      </c>
      <c r="N274" s="57">
        <v>1200</v>
      </c>
      <c r="O274" t="s">
        <v>100</v>
      </c>
      <c r="P274" t="s">
        <v>38</v>
      </c>
      <c r="Q274" s="3">
        <v>44753</v>
      </c>
      <c r="R274" s="10">
        <f t="shared" ca="1" si="8"/>
        <v>46229</v>
      </c>
      <c r="S274" s="7">
        <f t="shared" ca="1" si="9"/>
        <v>4.043835616438356</v>
      </c>
    </row>
    <row r="275" spans="1:19" x14ac:dyDescent="0.25">
      <c r="A275">
        <v>1167876</v>
      </c>
      <c r="B275" t="s">
        <v>192</v>
      </c>
      <c r="C275" t="s">
        <v>17</v>
      </c>
      <c r="D275" s="6" t="s">
        <v>22</v>
      </c>
      <c r="E275" t="s">
        <v>43</v>
      </c>
      <c r="G275" s="6" t="s">
        <v>968</v>
      </c>
      <c r="H275" s="59" t="s">
        <v>1020</v>
      </c>
      <c r="I275" s="58" t="s">
        <v>839</v>
      </c>
      <c r="J275" t="s">
        <v>830</v>
      </c>
      <c r="K275" t="s">
        <v>94</v>
      </c>
      <c r="L275" t="s">
        <v>91</v>
      </c>
      <c r="M275" t="s">
        <v>1163</v>
      </c>
      <c r="N275" s="57">
        <v>1200</v>
      </c>
      <c r="O275" t="s">
        <v>100</v>
      </c>
      <c r="P275" t="s">
        <v>93</v>
      </c>
      <c r="Q275" s="3">
        <v>44865</v>
      </c>
      <c r="R275" s="10">
        <f t="shared" ca="1" si="8"/>
        <v>46229</v>
      </c>
      <c r="S275" s="7">
        <f t="shared" ca="1" si="9"/>
        <v>3.7369863013698632</v>
      </c>
    </row>
    <row r="276" spans="1:19" x14ac:dyDescent="0.25">
      <c r="A276">
        <v>1176209</v>
      </c>
      <c r="B276" t="s">
        <v>222</v>
      </c>
      <c r="C276" t="s">
        <v>17</v>
      </c>
      <c r="D276" s="6" t="s">
        <v>22</v>
      </c>
      <c r="E276" t="s">
        <v>43</v>
      </c>
      <c r="G276" s="6" t="s">
        <v>968</v>
      </c>
      <c r="H276" s="59" t="s">
        <v>1020</v>
      </c>
      <c r="I276" s="58" t="s">
        <v>839</v>
      </c>
      <c r="J276" t="s">
        <v>830</v>
      </c>
      <c r="K276" t="s">
        <v>94</v>
      </c>
      <c r="L276" t="s">
        <v>1038</v>
      </c>
      <c r="M276" t="s">
        <v>1163</v>
      </c>
      <c r="N276" s="57">
        <v>1200</v>
      </c>
      <c r="O276" t="s">
        <v>100</v>
      </c>
      <c r="P276" t="s">
        <v>93</v>
      </c>
      <c r="Q276" s="3">
        <v>45006</v>
      </c>
      <c r="R276" s="10">
        <f t="shared" ca="1" si="8"/>
        <v>46229</v>
      </c>
      <c r="S276" s="7">
        <f t="shared" ca="1" si="9"/>
        <v>3.3506849315068492</v>
      </c>
    </row>
    <row r="277" spans="1:19" x14ac:dyDescent="0.25">
      <c r="A277">
        <v>22845</v>
      </c>
      <c r="B277" t="s">
        <v>310</v>
      </c>
      <c r="C277" t="s">
        <v>17</v>
      </c>
      <c r="D277" s="6" t="s">
        <v>22</v>
      </c>
      <c r="E277" t="s">
        <v>45</v>
      </c>
      <c r="G277" s="6" t="s">
        <v>968</v>
      </c>
      <c r="H277" s="59" t="s">
        <v>1020</v>
      </c>
      <c r="I277" s="58" t="s">
        <v>839</v>
      </c>
      <c r="J277" t="s">
        <v>830</v>
      </c>
      <c r="K277" t="s">
        <v>94</v>
      </c>
      <c r="L277" t="s">
        <v>1038</v>
      </c>
      <c r="M277" t="s">
        <v>1163</v>
      </c>
      <c r="N277" s="57">
        <v>1200</v>
      </c>
      <c r="O277" t="s">
        <v>100</v>
      </c>
      <c r="P277" t="s">
        <v>93</v>
      </c>
      <c r="Q277" s="3">
        <v>39986</v>
      </c>
      <c r="R277" s="10">
        <f t="shared" ca="1" si="8"/>
        <v>46229</v>
      </c>
      <c r="S277" s="7">
        <f t="shared" ca="1" si="9"/>
        <v>17.104109589041094</v>
      </c>
    </row>
    <row r="278" spans="1:19" x14ac:dyDescent="0.25">
      <c r="A278">
        <v>32670</v>
      </c>
      <c r="B278" t="s">
        <v>390</v>
      </c>
      <c r="C278" t="s">
        <v>17</v>
      </c>
      <c r="D278" s="6" t="s">
        <v>22</v>
      </c>
      <c r="E278" t="s">
        <v>45</v>
      </c>
      <c r="G278" s="6" t="s">
        <v>968</v>
      </c>
      <c r="H278" s="59" t="s">
        <v>1020</v>
      </c>
      <c r="I278" s="58" t="s">
        <v>839</v>
      </c>
      <c r="J278" t="s">
        <v>830</v>
      </c>
      <c r="K278" t="s">
        <v>94</v>
      </c>
      <c r="L278" t="s">
        <v>25</v>
      </c>
      <c r="M278" t="s">
        <v>1163</v>
      </c>
      <c r="N278" s="57">
        <v>1200</v>
      </c>
      <c r="O278" t="s">
        <v>100</v>
      </c>
      <c r="P278" t="s">
        <v>38</v>
      </c>
      <c r="Q278" s="3">
        <v>38929</v>
      </c>
      <c r="R278" s="10">
        <f t="shared" ca="1" si="8"/>
        <v>46229</v>
      </c>
      <c r="S278" s="7">
        <f t="shared" ca="1" si="9"/>
        <v>20</v>
      </c>
    </row>
    <row r="279" spans="1:19" x14ac:dyDescent="0.25">
      <c r="A279">
        <v>33731</v>
      </c>
      <c r="B279" t="s">
        <v>397</v>
      </c>
      <c r="C279" t="s">
        <v>17</v>
      </c>
      <c r="D279" s="6" t="s">
        <v>22</v>
      </c>
      <c r="E279" t="s">
        <v>1341</v>
      </c>
      <c r="G279" s="6" t="s">
        <v>968</v>
      </c>
      <c r="H279" s="59" t="s">
        <v>1020</v>
      </c>
      <c r="I279" s="58" t="s">
        <v>839</v>
      </c>
      <c r="J279" t="s">
        <v>830</v>
      </c>
      <c r="K279" t="s">
        <v>94</v>
      </c>
      <c r="L279" t="s">
        <v>25</v>
      </c>
      <c r="M279" t="s">
        <v>1163</v>
      </c>
      <c r="N279" s="57">
        <v>1200</v>
      </c>
      <c r="O279" t="s">
        <v>100</v>
      </c>
      <c r="P279" t="s">
        <v>93</v>
      </c>
      <c r="Q279" s="3">
        <v>42660</v>
      </c>
      <c r="R279" s="10">
        <f t="shared" ca="1" si="8"/>
        <v>46229</v>
      </c>
      <c r="S279" s="7">
        <f t="shared" ca="1" si="9"/>
        <v>9.7780821917808218</v>
      </c>
    </row>
    <row r="280" spans="1:19" x14ac:dyDescent="0.25">
      <c r="A280">
        <v>927513</v>
      </c>
      <c r="B280" t="s">
        <v>769</v>
      </c>
      <c r="C280" t="s">
        <v>17</v>
      </c>
      <c r="D280" s="6" t="s">
        <v>22</v>
      </c>
      <c r="E280" t="s">
        <v>43</v>
      </c>
      <c r="G280" s="6" t="s">
        <v>968</v>
      </c>
      <c r="H280" s="59" t="s">
        <v>1020</v>
      </c>
      <c r="I280" s="58" t="s">
        <v>839</v>
      </c>
      <c r="J280" t="s">
        <v>830</v>
      </c>
      <c r="K280" t="s">
        <v>94</v>
      </c>
      <c r="L280" t="s">
        <v>91</v>
      </c>
      <c r="M280" t="s">
        <v>1163</v>
      </c>
      <c r="N280" s="57">
        <v>1200</v>
      </c>
      <c r="O280" t="s">
        <v>100</v>
      </c>
      <c r="P280" t="s">
        <v>93</v>
      </c>
      <c r="Q280" s="3">
        <v>42163</v>
      </c>
      <c r="R280" s="10">
        <f t="shared" ca="1" si="8"/>
        <v>46229</v>
      </c>
      <c r="S280" s="7">
        <f t="shared" ca="1" si="9"/>
        <v>11.139726027397261</v>
      </c>
    </row>
    <row r="281" spans="1:19" x14ac:dyDescent="0.25">
      <c r="A281">
        <v>960934</v>
      </c>
      <c r="B281" t="s">
        <v>1428</v>
      </c>
      <c r="C281" t="s">
        <v>17</v>
      </c>
      <c r="D281" s="6" t="s">
        <v>22</v>
      </c>
      <c r="E281" t="s">
        <v>45</v>
      </c>
      <c r="G281" s="6" t="s">
        <v>968</v>
      </c>
      <c r="H281" s="59" t="s">
        <v>1020</v>
      </c>
      <c r="I281" s="58" t="s">
        <v>839</v>
      </c>
      <c r="J281" t="s">
        <v>830</v>
      </c>
      <c r="K281" t="s">
        <v>94</v>
      </c>
      <c r="L281" t="s">
        <v>91</v>
      </c>
      <c r="M281" t="s">
        <v>1163</v>
      </c>
      <c r="N281" s="57">
        <v>1200</v>
      </c>
      <c r="O281" t="s">
        <v>100</v>
      </c>
      <c r="P281" t="s">
        <v>38</v>
      </c>
      <c r="Q281" s="3">
        <v>44655</v>
      </c>
      <c r="R281" s="10">
        <f t="shared" ca="1" si="8"/>
        <v>46229</v>
      </c>
      <c r="S281" s="7">
        <f t="shared" ca="1" si="9"/>
        <v>4.3123287671232875</v>
      </c>
    </row>
    <row r="282" spans="1:19" x14ac:dyDescent="0.25">
      <c r="A282">
        <v>967653</v>
      </c>
      <c r="B282" t="s">
        <v>1465</v>
      </c>
      <c r="C282" t="s">
        <v>17</v>
      </c>
      <c r="D282" s="6" t="s">
        <v>22</v>
      </c>
      <c r="E282" t="s">
        <v>43</v>
      </c>
      <c r="G282" s="6" t="s">
        <v>968</v>
      </c>
      <c r="H282" s="59" t="s">
        <v>1020</v>
      </c>
      <c r="I282" s="58" t="s">
        <v>839</v>
      </c>
      <c r="J282" t="s">
        <v>830</v>
      </c>
      <c r="K282" t="s">
        <v>94</v>
      </c>
      <c r="L282" t="s">
        <v>1038</v>
      </c>
      <c r="M282" t="s">
        <v>1163</v>
      </c>
      <c r="N282" s="57">
        <v>1200</v>
      </c>
      <c r="O282" t="s">
        <v>100</v>
      </c>
      <c r="P282" t="s">
        <v>93</v>
      </c>
      <c r="Q282" s="3">
        <v>46153</v>
      </c>
      <c r="R282" s="10">
        <f t="shared" ca="1" si="8"/>
        <v>46229</v>
      </c>
      <c r="S282" s="7">
        <f t="shared" ca="1" si="9"/>
        <v>0.20821917808219179</v>
      </c>
    </row>
    <row r="283" spans="1:19" x14ac:dyDescent="0.25">
      <c r="A283">
        <v>1095478</v>
      </c>
      <c r="B283" t="s">
        <v>151</v>
      </c>
      <c r="C283" t="s">
        <v>17</v>
      </c>
      <c r="D283" s="6" t="s">
        <v>22</v>
      </c>
      <c r="E283" t="s">
        <v>77</v>
      </c>
      <c r="G283" s="6" t="s">
        <v>16</v>
      </c>
      <c r="H283" s="59" t="s">
        <v>1025</v>
      </c>
      <c r="I283" s="58" t="s">
        <v>871</v>
      </c>
      <c r="J283" t="s">
        <v>824</v>
      </c>
      <c r="K283" t="s">
        <v>94</v>
      </c>
      <c r="L283" t="s">
        <v>25</v>
      </c>
      <c r="M283" t="s">
        <v>1163</v>
      </c>
      <c r="N283" s="57">
        <v>1300</v>
      </c>
      <c r="O283" t="s">
        <v>100</v>
      </c>
      <c r="P283" t="s">
        <v>93</v>
      </c>
      <c r="Q283" s="3">
        <v>43605</v>
      </c>
      <c r="R283" s="10">
        <f t="shared" ca="1" si="8"/>
        <v>46229</v>
      </c>
      <c r="S283" s="7">
        <f t="shared" ca="1" si="9"/>
        <v>7.1890410958904107</v>
      </c>
    </row>
    <row r="284" spans="1:19" x14ac:dyDescent="0.25">
      <c r="A284">
        <v>1150658</v>
      </c>
      <c r="B284" t="s">
        <v>171</v>
      </c>
      <c r="C284" t="s">
        <v>17</v>
      </c>
      <c r="D284" s="6" t="s">
        <v>22</v>
      </c>
      <c r="E284" t="s">
        <v>77</v>
      </c>
      <c r="G284" s="6" t="s">
        <v>16</v>
      </c>
      <c r="H284" s="59" t="s">
        <v>1025</v>
      </c>
      <c r="I284" s="58" t="s">
        <v>871</v>
      </c>
      <c r="J284" t="s">
        <v>824</v>
      </c>
      <c r="K284" t="s">
        <v>94</v>
      </c>
      <c r="L284" t="s">
        <v>1038</v>
      </c>
      <c r="M284" t="s">
        <v>1163</v>
      </c>
      <c r="N284" s="57">
        <v>1300</v>
      </c>
      <c r="O284" t="s">
        <v>100</v>
      </c>
      <c r="P284" t="s">
        <v>93</v>
      </c>
      <c r="Q284" s="3">
        <v>44655</v>
      </c>
      <c r="R284" s="10">
        <f t="shared" ca="1" si="8"/>
        <v>46229</v>
      </c>
      <c r="S284" s="7">
        <f t="shared" ca="1" si="9"/>
        <v>4.3123287671232875</v>
      </c>
    </row>
    <row r="285" spans="1:19" x14ac:dyDescent="0.25">
      <c r="A285">
        <v>1154667</v>
      </c>
      <c r="B285" t="s">
        <v>987</v>
      </c>
      <c r="C285" t="s">
        <v>17</v>
      </c>
      <c r="D285" s="6" t="s">
        <v>22</v>
      </c>
      <c r="E285" t="s">
        <v>77</v>
      </c>
      <c r="G285" s="6" t="s">
        <v>16</v>
      </c>
      <c r="H285" s="59" t="s">
        <v>1025</v>
      </c>
      <c r="I285" s="58" t="s">
        <v>871</v>
      </c>
      <c r="J285" t="s">
        <v>824</v>
      </c>
      <c r="K285" t="s">
        <v>94</v>
      </c>
      <c r="L285" t="s">
        <v>1038</v>
      </c>
      <c r="M285" t="s">
        <v>1163</v>
      </c>
      <c r="N285" s="57">
        <v>1300</v>
      </c>
      <c r="O285" t="s">
        <v>100</v>
      </c>
      <c r="P285" t="s">
        <v>93</v>
      </c>
      <c r="Q285" s="3">
        <v>44704</v>
      </c>
      <c r="R285" s="10">
        <f t="shared" ca="1" si="8"/>
        <v>46229</v>
      </c>
      <c r="S285" s="7">
        <f t="shared" ca="1" si="9"/>
        <v>4.1780821917808222</v>
      </c>
    </row>
    <row r="286" spans="1:19" x14ac:dyDescent="0.25">
      <c r="A286">
        <v>1157724</v>
      </c>
      <c r="B286" t="s">
        <v>180</v>
      </c>
      <c r="C286" t="s">
        <v>17</v>
      </c>
      <c r="D286" s="6" t="s">
        <v>22</v>
      </c>
      <c r="E286" t="s">
        <v>77</v>
      </c>
      <c r="G286" s="6" t="s">
        <v>16</v>
      </c>
      <c r="H286" s="59" t="s">
        <v>1025</v>
      </c>
      <c r="I286" s="58" t="s">
        <v>871</v>
      </c>
      <c r="J286" t="s">
        <v>824</v>
      </c>
      <c r="K286" t="s">
        <v>94</v>
      </c>
      <c r="L286" t="s">
        <v>91</v>
      </c>
      <c r="M286" t="s">
        <v>1163</v>
      </c>
      <c r="N286" s="57">
        <v>1300</v>
      </c>
      <c r="O286" t="s">
        <v>100</v>
      </c>
      <c r="P286" t="s">
        <v>93</v>
      </c>
      <c r="Q286" s="3">
        <v>44746</v>
      </c>
      <c r="R286" s="10">
        <f t="shared" ca="1" si="8"/>
        <v>46229</v>
      </c>
      <c r="S286" s="7">
        <f t="shared" ca="1" si="9"/>
        <v>4.0630136986301366</v>
      </c>
    </row>
    <row r="287" spans="1:19" x14ac:dyDescent="0.25">
      <c r="A287">
        <v>1169388</v>
      </c>
      <c r="B287" t="s">
        <v>197</v>
      </c>
      <c r="C287" t="s">
        <v>17</v>
      </c>
      <c r="D287" s="6" t="s">
        <v>22</v>
      </c>
      <c r="E287" t="s">
        <v>77</v>
      </c>
      <c r="G287" s="6" t="s">
        <v>16</v>
      </c>
      <c r="H287" s="59" t="s">
        <v>1025</v>
      </c>
      <c r="I287" s="58" t="s">
        <v>871</v>
      </c>
      <c r="J287" t="s">
        <v>824</v>
      </c>
      <c r="K287" t="s">
        <v>94</v>
      </c>
      <c r="L287" t="s">
        <v>1038</v>
      </c>
      <c r="M287" t="s">
        <v>1163</v>
      </c>
      <c r="N287" s="57">
        <v>1300</v>
      </c>
      <c r="O287" t="s">
        <v>100</v>
      </c>
      <c r="P287" t="s">
        <v>93</v>
      </c>
      <c r="Q287" s="3">
        <v>44888</v>
      </c>
      <c r="R287" s="10">
        <f t="shared" ca="1" si="8"/>
        <v>46229</v>
      </c>
      <c r="S287" s="7">
        <f t="shared" ca="1" si="9"/>
        <v>3.6739726027397261</v>
      </c>
    </row>
    <row r="288" spans="1:19" x14ac:dyDescent="0.25">
      <c r="A288">
        <v>1174289</v>
      </c>
      <c r="B288" t="s">
        <v>210</v>
      </c>
      <c r="C288" t="s">
        <v>17</v>
      </c>
      <c r="D288" s="6" t="s">
        <v>22</v>
      </c>
      <c r="E288" t="s">
        <v>77</v>
      </c>
      <c r="G288" s="6" t="s">
        <v>16</v>
      </c>
      <c r="H288" s="59" t="s">
        <v>1025</v>
      </c>
      <c r="I288" s="58" t="s">
        <v>871</v>
      </c>
      <c r="J288" t="s">
        <v>824</v>
      </c>
      <c r="K288" t="s">
        <v>94</v>
      </c>
      <c r="L288" t="s">
        <v>91</v>
      </c>
      <c r="M288" t="s">
        <v>1163</v>
      </c>
      <c r="N288" s="57">
        <v>1300</v>
      </c>
      <c r="O288" t="s">
        <v>100</v>
      </c>
      <c r="P288" t="s">
        <v>93</v>
      </c>
      <c r="Q288" s="3">
        <v>44970</v>
      </c>
      <c r="R288" s="10">
        <f t="shared" ca="1" si="8"/>
        <v>46229</v>
      </c>
      <c r="S288" s="7">
        <f t="shared" ca="1" si="9"/>
        <v>3.4493150684931506</v>
      </c>
    </row>
    <row r="289" spans="1:19" x14ac:dyDescent="0.25">
      <c r="A289">
        <v>1174352</v>
      </c>
      <c r="B289" t="s">
        <v>212</v>
      </c>
      <c r="C289" t="s">
        <v>17</v>
      </c>
      <c r="D289" s="6" t="s">
        <v>22</v>
      </c>
      <c r="E289" t="s">
        <v>77</v>
      </c>
      <c r="G289" s="6" t="s">
        <v>16</v>
      </c>
      <c r="H289" s="59" t="s">
        <v>1025</v>
      </c>
      <c r="I289" s="58" t="s">
        <v>871</v>
      </c>
      <c r="J289" t="s">
        <v>824</v>
      </c>
      <c r="K289" t="s">
        <v>94</v>
      </c>
      <c r="L289" t="s">
        <v>25</v>
      </c>
      <c r="M289" t="s">
        <v>1163</v>
      </c>
      <c r="N289" s="57">
        <v>1300</v>
      </c>
      <c r="O289" t="s">
        <v>100</v>
      </c>
      <c r="P289" t="s">
        <v>93</v>
      </c>
      <c r="Q289" s="3">
        <v>44970</v>
      </c>
      <c r="R289" s="10">
        <f t="shared" ca="1" si="8"/>
        <v>46229</v>
      </c>
      <c r="S289" s="7">
        <f t="shared" ca="1" si="9"/>
        <v>3.4493150684931506</v>
      </c>
    </row>
    <row r="290" spans="1:19" x14ac:dyDescent="0.25">
      <c r="A290">
        <v>1182179</v>
      </c>
      <c r="B290" t="s">
        <v>245</v>
      </c>
      <c r="C290" t="s">
        <v>17</v>
      </c>
      <c r="D290" s="6" t="s">
        <v>22</v>
      </c>
      <c r="E290" t="s">
        <v>56</v>
      </c>
      <c r="G290" s="6" t="s">
        <v>16</v>
      </c>
      <c r="H290" s="59" t="s">
        <v>1025</v>
      </c>
      <c r="I290" s="58" t="s">
        <v>871</v>
      </c>
      <c r="J290" t="s">
        <v>824</v>
      </c>
      <c r="K290" t="s">
        <v>94</v>
      </c>
      <c r="L290" t="s">
        <v>91</v>
      </c>
      <c r="M290" t="s">
        <v>1163</v>
      </c>
      <c r="N290" s="57">
        <v>1300</v>
      </c>
      <c r="O290" t="s">
        <v>100</v>
      </c>
      <c r="P290" t="s">
        <v>93</v>
      </c>
      <c r="Q290" s="3">
        <v>45173</v>
      </c>
      <c r="R290" s="10">
        <f t="shared" ca="1" si="8"/>
        <v>46229</v>
      </c>
      <c r="S290" s="7">
        <f t="shared" ca="1" si="9"/>
        <v>2.893150684931507</v>
      </c>
    </row>
    <row r="291" spans="1:19" x14ac:dyDescent="0.25">
      <c r="A291">
        <v>1196935</v>
      </c>
      <c r="B291" t="s">
        <v>267</v>
      </c>
      <c r="C291" t="s">
        <v>17</v>
      </c>
      <c r="D291" s="6" t="s">
        <v>22</v>
      </c>
      <c r="E291" t="s">
        <v>77</v>
      </c>
      <c r="G291" s="6" t="s">
        <v>16</v>
      </c>
      <c r="H291" s="59" t="s">
        <v>1025</v>
      </c>
      <c r="I291" s="58" t="s">
        <v>871</v>
      </c>
      <c r="J291" t="s">
        <v>824</v>
      </c>
      <c r="K291" t="s">
        <v>94</v>
      </c>
      <c r="L291" t="s">
        <v>1038</v>
      </c>
      <c r="M291" t="s">
        <v>1163</v>
      </c>
      <c r="N291" s="57">
        <v>1300</v>
      </c>
      <c r="O291" t="s">
        <v>100</v>
      </c>
      <c r="P291" t="s">
        <v>93</v>
      </c>
      <c r="Q291" s="3">
        <v>45579</v>
      </c>
      <c r="R291" s="10">
        <f t="shared" ca="1" si="8"/>
        <v>46229</v>
      </c>
      <c r="S291" s="7">
        <f t="shared" ca="1" si="9"/>
        <v>1.7808219178082192</v>
      </c>
    </row>
    <row r="292" spans="1:19" x14ac:dyDescent="0.25">
      <c r="A292">
        <v>19156</v>
      </c>
      <c r="B292" t="s">
        <v>296</v>
      </c>
      <c r="C292" t="s">
        <v>17</v>
      </c>
      <c r="D292" s="6" t="s">
        <v>22</v>
      </c>
      <c r="E292" t="s">
        <v>77</v>
      </c>
      <c r="G292" s="6" t="s">
        <v>16</v>
      </c>
      <c r="H292" s="59" t="s">
        <v>1025</v>
      </c>
      <c r="I292" s="58" t="s">
        <v>871</v>
      </c>
      <c r="J292" t="s">
        <v>824</v>
      </c>
      <c r="K292" t="s">
        <v>94</v>
      </c>
      <c r="L292" t="s">
        <v>25</v>
      </c>
      <c r="M292" t="s">
        <v>1163</v>
      </c>
      <c r="N292" s="57">
        <v>1300</v>
      </c>
      <c r="O292" t="s">
        <v>100</v>
      </c>
      <c r="P292" t="s">
        <v>93</v>
      </c>
      <c r="Q292" s="3">
        <v>43808</v>
      </c>
      <c r="R292" s="10">
        <f t="shared" ca="1" si="8"/>
        <v>46229</v>
      </c>
      <c r="S292" s="7">
        <f t="shared" ca="1" si="9"/>
        <v>6.6328767123287671</v>
      </c>
    </row>
    <row r="293" spans="1:19" x14ac:dyDescent="0.25">
      <c r="A293">
        <v>34301</v>
      </c>
      <c r="B293" t="s">
        <v>400</v>
      </c>
      <c r="C293" t="s">
        <v>17</v>
      </c>
      <c r="D293" s="6" t="s">
        <v>22</v>
      </c>
      <c r="E293" t="s">
        <v>56</v>
      </c>
      <c r="G293" s="6" t="s">
        <v>16</v>
      </c>
      <c r="H293" s="59" t="s">
        <v>1025</v>
      </c>
      <c r="I293" s="58" t="s">
        <v>871</v>
      </c>
      <c r="J293" t="s">
        <v>824</v>
      </c>
      <c r="K293" t="s">
        <v>94</v>
      </c>
      <c r="L293" t="s">
        <v>1038</v>
      </c>
      <c r="M293" t="s">
        <v>1163</v>
      </c>
      <c r="N293" s="57">
        <v>1300</v>
      </c>
      <c r="O293" t="s">
        <v>100</v>
      </c>
      <c r="P293" t="s">
        <v>93</v>
      </c>
      <c r="Q293" s="3">
        <v>42184</v>
      </c>
      <c r="R293" s="10">
        <f t="shared" ca="1" si="8"/>
        <v>46229</v>
      </c>
      <c r="S293" s="7">
        <f t="shared" ca="1" si="9"/>
        <v>11.082191780821917</v>
      </c>
    </row>
    <row r="294" spans="1:19" x14ac:dyDescent="0.25">
      <c r="A294">
        <v>4014359</v>
      </c>
      <c r="B294" t="s">
        <v>433</v>
      </c>
      <c r="C294" t="s">
        <v>17</v>
      </c>
      <c r="D294" s="6" t="s">
        <v>22</v>
      </c>
      <c r="E294" t="s">
        <v>21</v>
      </c>
      <c r="G294" s="6" t="s">
        <v>16</v>
      </c>
      <c r="H294" s="59" t="s">
        <v>1025</v>
      </c>
      <c r="I294" s="58" t="s">
        <v>871</v>
      </c>
      <c r="J294" t="s">
        <v>824</v>
      </c>
      <c r="K294" t="s">
        <v>94</v>
      </c>
      <c r="L294" t="s">
        <v>1038</v>
      </c>
      <c r="M294" t="s">
        <v>1163</v>
      </c>
      <c r="N294" s="57">
        <v>1200</v>
      </c>
      <c r="O294" t="s">
        <v>100</v>
      </c>
      <c r="P294" t="s">
        <v>93</v>
      </c>
      <c r="Q294" s="3">
        <v>45467</v>
      </c>
      <c r="R294" s="10">
        <f t="shared" ca="1" si="8"/>
        <v>46229</v>
      </c>
      <c r="S294" s="7">
        <f t="shared" ca="1" si="9"/>
        <v>2.0876712328767124</v>
      </c>
    </row>
    <row r="295" spans="1:19" x14ac:dyDescent="0.25">
      <c r="A295">
        <v>4037623</v>
      </c>
      <c r="B295" t="s">
        <v>454</v>
      </c>
      <c r="C295" t="s">
        <v>17</v>
      </c>
      <c r="D295" s="6" t="s">
        <v>22</v>
      </c>
      <c r="E295" t="s">
        <v>77</v>
      </c>
      <c r="G295" s="6" t="s">
        <v>16</v>
      </c>
      <c r="H295" s="59" t="s">
        <v>1025</v>
      </c>
      <c r="I295" s="58" t="s">
        <v>871</v>
      </c>
      <c r="J295" t="s">
        <v>824</v>
      </c>
      <c r="K295" t="s">
        <v>94</v>
      </c>
      <c r="L295" t="s">
        <v>25</v>
      </c>
      <c r="M295" t="s">
        <v>1163</v>
      </c>
      <c r="N295" s="57">
        <v>1300</v>
      </c>
      <c r="O295" t="s">
        <v>100</v>
      </c>
      <c r="P295" t="s">
        <v>93</v>
      </c>
      <c r="Q295" s="3">
        <v>44329</v>
      </c>
      <c r="R295" s="10">
        <f t="shared" ca="1" si="8"/>
        <v>46229</v>
      </c>
      <c r="S295" s="7">
        <f t="shared" ca="1" si="9"/>
        <v>5.2054794520547949</v>
      </c>
    </row>
    <row r="296" spans="1:19" x14ac:dyDescent="0.25">
      <c r="A296">
        <v>4124224</v>
      </c>
      <c r="B296" t="s">
        <v>1682</v>
      </c>
      <c r="C296" t="s">
        <v>1044</v>
      </c>
      <c r="D296" s="6" t="s">
        <v>22</v>
      </c>
      <c r="E296" t="s">
        <v>21</v>
      </c>
      <c r="G296" s="6" t="s">
        <v>16</v>
      </c>
      <c r="H296" s="59" t="s">
        <v>1025</v>
      </c>
      <c r="I296" s="58" t="s">
        <v>871</v>
      </c>
      <c r="J296" t="s">
        <v>824</v>
      </c>
      <c r="K296" t="s">
        <v>94</v>
      </c>
      <c r="L296" t="s">
        <v>1038</v>
      </c>
      <c r="M296" t="s">
        <v>1163</v>
      </c>
      <c r="N296" s="57">
        <v>1200</v>
      </c>
      <c r="O296" t="s">
        <v>100</v>
      </c>
      <c r="P296" t="s">
        <v>93</v>
      </c>
      <c r="Q296" s="3">
        <v>46170</v>
      </c>
      <c r="R296" s="10">
        <f t="shared" ca="1" si="8"/>
        <v>46229</v>
      </c>
      <c r="S296" s="7">
        <f t="shared" ca="1" si="9"/>
        <v>0.16164383561643836</v>
      </c>
    </row>
    <row r="297" spans="1:19" x14ac:dyDescent="0.25">
      <c r="A297">
        <v>963378</v>
      </c>
      <c r="B297" t="s">
        <v>785</v>
      </c>
      <c r="C297" t="s">
        <v>17</v>
      </c>
      <c r="D297" s="6" t="s">
        <v>22</v>
      </c>
      <c r="E297" t="s">
        <v>77</v>
      </c>
      <c r="G297" s="6" t="s">
        <v>16</v>
      </c>
      <c r="H297" s="59" t="s">
        <v>1025</v>
      </c>
      <c r="I297" s="58" t="s">
        <v>871</v>
      </c>
      <c r="J297" t="s">
        <v>824</v>
      </c>
      <c r="K297" t="s">
        <v>94</v>
      </c>
      <c r="L297" t="s">
        <v>1038</v>
      </c>
      <c r="M297" t="s">
        <v>1163</v>
      </c>
      <c r="N297" s="57">
        <v>1300</v>
      </c>
      <c r="O297" t="s">
        <v>100</v>
      </c>
      <c r="P297" t="s">
        <v>38</v>
      </c>
      <c r="Q297" s="3">
        <v>45645</v>
      </c>
      <c r="R297" s="10">
        <f t="shared" ca="1" si="8"/>
        <v>46229</v>
      </c>
      <c r="S297" s="7">
        <f t="shared" ca="1" si="9"/>
        <v>1.6</v>
      </c>
    </row>
    <row r="298" spans="1:19" x14ac:dyDescent="0.25">
      <c r="A298">
        <v>584977</v>
      </c>
      <c r="B298" t="s">
        <v>1427</v>
      </c>
      <c r="C298" t="s">
        <v>17</v>
      </c>
      <c r="D298" s="6" t="s">
        <v>39</v>
      </c>
      <c r="E298" t="s">
        <v>47</v>
      </c>
      <c r="G298" s="6" t="s">
        <v>971</v>
      </c>
      <c r="H298" s="59" t="s">
        <v>1418</v>
      </c>
      <c r="I298" s="58" t="s">
        <v>1429</v>
      </c>
      <c r="J298" t="s">
        <v>877</v>
      </c>
      <c r="K298" t="s">
        <v>27</v>
      </c>
      <c r="L298" t="s">
        <v>966</v>
      </c>
      <c r="M298" t="s">
        <v>1163</v>
      </c>
      <c r="N298" s="57">
        <v>6900</v>
      </c>
      <c r="O298" t="s">
        <v>100</v>
      </c>
      <c r="P298" t="s">
        <v>38</v>
      </c>
      <c r="Q298" s="3">
        <v>44823</v>
      </c>
      <c r="R298" s="10">
        <f t="shared" ca="1" si="8"/>
        <v>46229</v>
      </c>
      <c r="S298" s="7">
        <f t="shared" ca="1" si="9"/>
        <v>3.8520547945205479</v>
      </c>
    </row>
    <row r="299" spans="1:19" x14ac:dyDescent="0.25">
      <c r="A299">
        <v>1020820</v>
      </c>
      <c r="B299" t="s">
        <v>134</v>
      </c>
      <c r="C299" t="s">
        <v>17</v>
      </c>
      <c r="D299" s="6" t="s">
        <v>22</v>
      </c>
      <c r="E299" t="s">
        <v>72</v>
      </c>
      <c r="G299" s="6" t="s">
        <v>1840</v>
      </c>
      <c r="H299" s="59" t="s">
        <v>1017</v>
      </c>
      <c r="I299" s="58" t="s">
        <v>898</v>
      </c>
      <c r="J299" t="s">
        <v>30</v>
      </c>
      <c r="K299" t="s">
        <v>31</v>
      </c>
      <c r="L299" t="s">
        <v>1038</v>
      </c>
      <c r="M299" t="s">
        <v>1163</v>
      </c>
      <c r="N299" s="57">
        <v>1300</v>
      </c>
      <c r="O299" t="s">
        <v>100</v>
      </c>
      <c r="P299" t="s">
        <v>93</v>
      </c>
      <c r="Q299" s="3">
        <v>42919</v>
      </c>
      <c r="R299" s="10">
        <f t="shared" ca="1" si="8"/>
        <v>46229</v>
      </c>
      <c r="S299" s="7">
        <f t="shared" ca="1" si="9"/>
        <v>9.0684931506849313</v>
      </c>
    </row>
    <row r="300" spans="1:19" x14ac:dyDescent="0.25">
      <c r="A300">
        <v>1174356</v>
      </c>
      <c r="B300" t="s">
        <v>1420</v>
      </c>
      <c r="C300" t="s">
        <v>17</v>
      </c>
      <c r="D300" s="6" t="s">
        <v>22</v>
      </c>
      <c r="E300" t="s">
        <v>72</v>
      </c>
      <c r="G300" s="6" t="s">
        <v>1840</v>
      </c>
      <c r="H300" s="59" t="s">
        <v>1017</v>
      </c>
      <c r="I300" s="58" t="s">
        <v>898</v>
      </c>
      <c r="J300" t="s">
        <v>30</v>
      </c>
      <c r="K300" t="s">
        <v>31</v>
      </c>
      <c r="L300" t="s">
        <v>25</v>
      </c>
      <c r="M300" t="s">
        <v>1163</v>
      </c>
      <c r="N300" s="57">
        <v>1300</v>
      </c>
      <c r="O300" t="s">
        <v>100</v>
      </c>
      <c r="P300" t="s">
        <v>93</v>
      </c>
      <c r="Q300" s="3">
        <v>44970</v>
      </c>
      <c r="R300" s="10">
        <f t="shared" ca="1" si="8"/>
        <v>46229</v>
      </c>
      <c r="S300" s="7">
        <f t="shared" ca="1" si="9"/>
        <v>3.4493150684931506</v>
      </c>
    </row>
    <row r="301" spans="1:19" x14ac:dyDescent="0.25">
      <c r="A301">
        <v>1175405</v>
      </c>
      <c r="B301" t="s">
        <v>217</v>
      </c>
      <c r="C301" t="s">
        <v>17</v>
      </c>
      <c r="D301" s="6" t="s">
        <v>22</v>
      </c>
      <c r="E301" t="s">
        <v>72</v>
      </c>
      <c r="G301" s="6" t="s">
        <v>1840</v>
      </c>
      <c r="H301" s="59" t="s">
        <v>1017</v>
      </c>
      <c r="I301" s="58" t="s">
        <v>898</v>
      </c>
      <c r="J301" t="s">
        <v>30</v>
      </c>
      <c r="K301" t="s">
        <v>31</v>
      </c>
      <c r="L301" t="s">
        <v>1038</v>
      </c>
      <c r="M301" t="s">
        <v>1163</v>
      </c>
      <c r="N301" s="57">
        <v>1300</v>
      </c>
      <c r="O301" t="s">
        <v>100</v>
      </c>
      <c r="P301" t="s">
        <v>93</v>
      </c>
      <c r="Q301" s="3">
        <v>44991</v>
      </c>
      <c r="R301" s="10">
        <f t="shared" ca="1" si="8"/>
        <v>46229</v>
      </c>
      <c r="S301" s="7">
        <f t="shared" ca="1" si="9"/>
        <v>3.3917808219178083</v>
      </c>
    </row>
    <row r="302" spans="1:19" x14ac:dyDescent="0.25">
      <c r="A302">
        <v>1209601</v>
      </c>
      <c r="B302" t="s">
        <v>287</v>
      </c>
      <c r="C302" t="s">
        <v>17</v>
      </c>
      <c r="D302" s="6" t="s">
        <v>22</v>
      </c>
      <c r="E302" t="s">
        <v>72</v>
      </c>
      <c r="G302" s="6" t="s">
        <v>1840</v>
      </c>
      <c r="H302" s="59" t="s">
        <v>1017</v>
      </c>
      <c r="I302" s="58" t="s">
        <v>898</v>
      </c>
      <c r="J302" t="s">
        <v>30</v>
      </c>
      <c r="K302" t="s">
        <v>31</v>
      </c>
      <c r="L302" t="s">
        <v>1038</v>
      </c>
      <c r="M302" t="s">
        <v>1163</v>
      </c>
      <c r="N302" s="57">
        <v>1300</v>
      </c>
      <c r="O302" t="s">
        <v>100</v>
      </c>
      <c r="P302" t="s">
        <v>93</v>
      </c>
      <c r="Q302" s="3">
        <v>45817</v>
      </c>
      <c r="R302" s="10">
        <f t="shared" ca="1" si="8"/>
        <v>46229</v>
      </c>
      <c r="S302" s="7">
        <f t="shared" ca="1" si="9"/>
        <v>1.1287671232876713</v>
      </c>
    </row>
    <row r="303" spans="1:19" x14ac:dyDescent="0.25">
      <c r="A303">
        <v>569394</v>
      </c>
      <c r="B303" t="s">
        <v>701</v>
      </c>
      <c r="C303" t="s">
        <v>17</v>
      </c>
      <c r="D303" s="6" t="s">
        <v>22</v>
      </c>
      <c r="E303" t="s">
        <v>79</v>
      </c>
      <c r="G303" s="6" t="s">
        <v>1840</v>
      </c>
      <c r="H303" s="59" t="s">
        <v>1017</v>
      </c>
      <c r="I303" s="58" t="s">
        <v>898</v>
      </c>
      <c r="J303" t="s">
        <v>30</v>
      </c>
      <c r="K303" t="s">
        <v>31</v>
      </c>
      <c r="L303" t="s">
        <v>1038</v>
      </c>
      <c r="M303" t="s">
        <v>1163</v>
      </c>
      <c r="N303" s="57">
        <v>1300</v>
      </c>
      <c r="O303" t="s">
        <v>100</v>
      </c>
      <c r="P303" t="s">
        <v>93</v>
      </c>
      <c r="Q303" s="3">
        <v>44116</v>
      </c>
      <c r="R303" s="10">
        <f t="shared" ca="1" si="8"/>
        <v>46229</v>
      </c>
      <c r="S303" s="7">
        <f t="shared" ca="1" si="9"/>
        <v>5.7890410958904113</v>
      </c>
    </row>
    <row r="304" spans="1:19" x14ac:dyDescent="0.25">
      <c r="A304">
        <v>29576</v>
      </c>
      <c r="B304" t="s">
        <v>354</v>
      </c>
      <c r="C304" t="s">
        <v>17</v>
      </c>
      <c r="D304" s="6" t="s">
        <v>39</v>
      </c>
      <c r="E304" t="s">
        <v>67</v>
      </c>
      <c r="G304" s="6" t="s">
        <v>1011</v>
      </c>
      <c r="H304" s="59" t="s">
        <v>92</v>
      </c>
      <c r="I304" s="58" t="s">
        <v>40</v>
      </c>
      <c r="J304" t="s">
        <v>37</v>
      </c>
      <c r="K304" t="s">
        <v>99</v>
      </c>
      <c r="L304" t="s">
        <v>91</v>
      </c>
      <c r="M304" t="s">
        <v>1163</v>
      </c>
      <c r="N304" s="57">
        <v>5700</v>
      </c>
      <c r="O304" t="s">
        <v>100</v>
      </c>
      <c r="P304" t="s">
        <v>38</v>
      </c>
      <c r="Q304" s="3">
        <v>42793</v>
      </c>
      <c r="R304" s="10">
        <f t="shared" ca="1" si="8"/>
        <v>46229</v>
      </c>
      <c r="S304" s="7">
        <f t="shared" ca="1" si="9"/>
        <v>9.4136986301369863</v>
      </c>
    </row>
    <row r="305" spans="1:19" x14ac:dyDescent="0.25">
      <c r="A305">
        <v>912884</v>
      </c>
      <c r="B305" t="s">
        <v>761</v>
      </c>
      <c r="C305" t="s">
        <v>17</v>
      </c>
      <c r="D305" s="6" t="s">
        <v>39</v>
      </c>
      <c r="E305" t="s">
        <v>67</v>
      </c>
      <c r="G305" s="6" t="s">
        <v>1011</v>
      </c>
      <c r="H305" s="59" t="s">
        <v>92</v>
      </c>
      <c r="I305" s="58" t="s">
        <v>40</v>
      </c>
      <c r="J305" t="s">
        <v>37</v>
      </c>
      <c r="K305" t="s">
        <v>99</v>
      </c>
      <c r="L305" t="s">
        <v>91</v>
      </c>
      <c r="M305" t="s">
        <v>1163</v>
      </c>
      <c r="N305" s="57">
        <v>5700</v>
      </c>
      <c r="O305" t="s">
        <v>100</v>
      </c>
      <c r="P305" t="s">
        <v>38</v>
      </c>
      <c r="Q305" s="3">
        <v>42506</v>
      </c>
      <c r="R305" s="10">
        <f t="shared" ca="1" si="8"/>
        <v>46229</v>
      </c>
      <c r="S305" s="7">
        <f t="shared" ca="1" si="9"/>
        <v>10.199999999999999</v>
      </c>
    </row>
    <row r="306" spans="1:19" x14ac:dyDescent="0.25">
      <c r="A306">
        <v>1008099</v>
      </c>
      <c r="B306" t="s">
        <v>118</v>
      </c>
      <c r="C306" t="s">
        <v>17</v>
      </c>
      <c r="D306" s="6" t="s">
        <v>22</v>
      </c>
      <c r="E306" t="s">
        <v>54</v>
      </c>
      <c r="G306" s="6" t="s">
        <v>967</v>
      </c>
      <c r="H306" s="59" t="s">
        <v>1022</v>
      </c>
      <c r="I306" s="58" t="s">
        <v>850</v>
      </c>
      <c r="J306" t="s">
        <v>820</v>
      </c>
      <c r="K306" t="s">
        <v>821</v>
      </c>
      <c r="L306" t="s">
        <v>91</v>
      </c>
      <c r="M306" t="s">
        <v>1163</v>
      </c>
      <c r="N306" s="57">
        <v>1500</v>
      </c>
      <c r="O306" t="s">
        <v>100</v>
      </c>
      <c r="P306" t="s">
        <v>93</v>
      </c>
      <c r="Q306" s="3">
        <v>44921</v>
      </c>
      <c r="R306" s="10">
        <f t="shared" ca="1" si="8"/>
        <v>46229</v>
      </c>
      <c r="S306" s="7">
        <f t="shared" ca="1" si="9"/>
        <v>3.5835616438356164</v>
      </c>
    </row>
    <row r="307" spans="1:19" x14ac:dyDescent="0.25">
      <c r="A307">
        <v>28155</v>
      </c>
      <c r="B307" t="s">
        <v>340</v>
      </c>
      <c r="C307" t="s">
        <v>17</v>
      </c>
      <c r="D307" s="6" t="s">
        <v>22</v>
      </c>
      <c r="E307" t="s">
        <v>54</v>
      </c>
      <c r="G307" s="6" t="s">
        <v>967</v>
      </c>
      <c r="H307" s="59" t="s">
        <v>1022</v>
      </c>
      <c r="I307" s="58" t="s">
        <v>850</v>
      </c>
      <c r="J307" t="s">
        <v>820</v>
      </c>
      <c r="K307" t="s">
        <v>821</v>
      </c>
      <c r="L307" t="s">
        <v>91</v>
      </c>
      <c r="M307" t="s">
        <v>1163</v>
      </c>
      <c r="N307" s="57">
        <v>1500</v>
      </c>
      <c r="O307" t="s">
        <v>100</v>
      </c>
      <c r="P307" t="s">
        <v>93</v>
      </c>
      <c r="Q307" s="3">
        <v>39489</v>
      </c>
      <c r="R307" s="10">
        <f t="shared" ca="1" si="8"/>
        <v>46229</v>
      </c>
      <c r="S307" s="7">
        <f t="shared" ca="1" si="9"/>
        <v>18.465753424657535</v>
      </c>
    </row>
    <row r="308" spans="1:19" x14ac:dyDescent="0.25">
      <c r="A308">
        <v>4124048</v>
      </c>
      <c r="B308" t="s">
        <v>1519</v>
      </c>
      <c r="C308" t="s">
        <v>1044</v>
      </c>
      <c r="D308" s="6" t="s">
        <v>22</v>
      </c>
      <c r="E308" t="s">
        <v>54</v>
      </c>
      <c r="G308" s="6" t="s">
        <v>967</v>
      </c>
      <c r="H308" s="59" t="s">
        <v>1022</v>
      </c>
      <c r="I308" s="58" t="s">
        <v>850</v>
      </c>
      <c r="J308" t="s">
        <v>820</v>
      </c>
      <c r="K308" t="s">
        <v>821</v>
      </c>
      <c r="L308" t="s">
        <v>91</v>
      </c>
      <c r="M308" t="s">
        <v>1163</v>
      </c>
      <c r="N308" s="57">
        <v>1500</v>
      </c>
      <c r="O308" t="s">
        <v>100</v>
      </c>
      <c r="P308" t="s">
        <v>93</v>
      </c>
      <c r="Q308" s="3">
        <v>46163</v>
      </c>
      <c r="R308" s="10">
        <f t="shared" ca="1" si="8"/>
        <v>46229</v>
      </c>
      <c r="S308" s="7">
        <f t="shared" ca="1" si="9"/>
        <v>0.18082191780821918</v>
      </c>
    </row>
    <row r="309" spans="1:19" x14ac:dyDescent="0.25">
      <c r="A309">
        <v>4032408</v>
      </c>
      <c r="B309" t="s">
        <v>1168</v>
      </c>
      <c r="C309" t="s">
        <v>17</v>
      </c>
      <c r="D309" s="6" t="s">
        <v>22</v>
      </c>
      <c r="E309" t="s">
        <v>50</v>
      </c>
      <c r="G309" s="6" t="s">
        <v>970</v>
      </c>
      <c r="H309" s="59" t="s">
        <v>1027</v>
      </c>
      <c r="I309" s="58" t="s">
        <v>934</v>
      </c>
      <c r="J309" t="s">
        <v>848</v>
      </c>
      <c r="K309" t="s">
        <v>1466</v>
      </c>
      <c r="L309" t="s">
        <v>25</v>
      </c>
      <c r="M309" t="s">
        <v>1163</v>
      </c>
      <c r="N309" s="57">
        <v>1400</v>
      </c>
      <c r="O309" t="s">
        <v>100</v>
      </c>
      <c r="P309" t="s">
        <v>93</v>
      </c>
      <c r="Q309" s="3">
        <v>44217</v>
      </c>
      <c r="R309" s="10">
        <f t="shared" ca="1" si="8"/>
        <v>46229</v>
      </c>
      <c r="S309" s="7">
        <f t="shared" ca="1" si="9"/>
        <v>5.5123287671232877</v>
      </c>
    </row>
    <row r="310" spans="1:19" x14ac:dyDescent="0.25">
      <c r="A310">
        <v>4090988</v>
      </c>
      <c r="B310" t="s">
        <v>573</v>
      </c>
      <c r="C310" t="s">
        <v>17</v>
      </c>
      <c r="D310" s="6" t="s">
        <v>22</v>
      </c>
      <c r="E310" t="s">
        <v>50</v>
      </c>
      <c r="G310" s="6" t="s">
        <v>970</v>
      </c>
      <c r="H310" s="59" t="s">
        <v>1027</v>
      </c>
      <c r="I310" s="58" t="s">
        <v>934</v>
      </c>
      <c r="J310" t="s">
        <v>848</v>
      </c>
      <c r="K310" t="s">
        <v>1466</v>
      </c>
      <c r="L310" t="s">
        <v>25</v>
      </c>
      <c r="M310" t="s">
        <v>1163</v>
      </c>
      <c r="N310" s="57">
        <v>1400</v>
      </c>
      <c r="O310" t="s">
        <v>100</v>
      </c>
      <c r="P310" t="s">
        <v>93</v>
      </c>
      <c r="Q310" s="3">
        <v>45099</v>
      </c>
      <c r="R310" s="10">
        <f t="shared" ca="1" si="8"/>
        <v>46229</v>
      </c>
      <c r="S310" s="7">
        <f t="shared" ca="1" si="9"/>
        <v>3.095890410958904</v>
      </c>
    </row>
    <row r="311" spans="1:19" x14ac:dyDescent="0.25">
      <c r="A311">
        <v>4102296</v>
      </c>
      <c r="B311" t="s">
        <v>625</v>
      </c>
      <c r="C311" t="s">
        <v>17</v>
      </c>
      <c r="D311" s="6" t="s">
        <v>22</v>
      </c>
      <c r="E311" t="s">
        <v>50</v>
      </c>
      <c r="G311" s="6" t="s">
        <v>970</v>
      </c>
      <c r="H311" s="59" t="s">
        <v>1027</v>
      </c>
      <c r="I311" s="58" t="s">
        <v>934</v>
      </c>
      <c r="J311" t="s">
        <v>848</v>
      </c>
      <c r="K311" t="s">
        <v>1466</v>
      </c>
      <c r="L311" t="s">
        <v>25</v>
      </c>
      <c r="M311" t="s">
        <v>1163</v>
      </c>
      <c r="N311" s="57">
        <v>1200</v>
      </c>
      <c r="O311" t="s">
        <v>100</v>
      </c>
      <c r="P311" t="s">
        <v>93</v>
      </c>
      <c r="Q311" s="3">
        <v>45474</v>
      </c>
      <c r="R311" s="10">
        <f t="shared" ca="1" si="8"/>
        <v>46229</v>
      </c>
      <c r="S311" s="7">
        <f t="shared" ca="1" si="9"/>
        <v>2.0684931506849313</v>
      </c>
    </row>
    <row r="312" spans="1:19" x14ac:dyDescent="0.25">
      <c r="A312">
        <v>1183072</v>
      </c>
      <c r="B312" t="s">
        <v>250</v>
      </c>
      <c r="C312" t="s">
        <v>17</v>
      </c>
      <c r="D312" s="6" t="s">
        <v>22</v>
      </c>
      <c r="E312" t="s">
        <v>79</v>
      </c>
      <c r="G312" s="6" t="s">
        <v>971</v>
      </c>
      <c r="H312" s="59" t="s">
        <v>1021</v>
      </c>
      <c r="I312" s="58" t="s">
        <v>1468</v>
      </c>
      <c r="J312" t="s">
        <v>860</v>
      </c>
      <c r="K312" t="s">
        <v>845</v>
      </c>
      <c r="L312" t="s">
        <v>25</v>
      </c>
      <c r="M312" t="s">
        <v>1163</v>
      </c>
      <c r="N312" s="57">
        <v>1300</v>
      </c>
      <c r="O312" t="s">
        <v>100</v>
      </c>
      <c r="P312" t="s">
        <v>93</v>
      </c>
      <c r="Q312" s="3">
        <v>45194</v>
      </c>
      <c r="R312" s="10">
        <f t="shared" ca="1" si="8"/>
        <v>46229</v>
      </c>
      <c r="S312" s="7">
        <f t="shared" ca="1" si="9"/>
        <v>2.8356164383561642</v>
      </c>
    </row>
    <row r="313" spans="1:19" x14ac:dyDescent="0.25">
      <c r="A313">
        <v>1192823</v>
      </c>
      <c r="B313" t="s">
        <v>258</v>
      </c>
      <c r="C313" t="s">
        <v>17</v>
      </c>
      <c r="D313" s="6" t="s">
        <v>22</v>
      </c>
      <c r="E313" t="s">
        <v>79</v>
      </c>
      <c r="G313" s="6" t="s">
        <v>971</v>
      </c>
      <c r="H313" s="59" t="s">
        <v>1021</v>
      </c>
      <c r="I313" s="58" t="s">
        <v>1468</v>
      </c>
      <c r="J313" t="s">
        <v>860</v>
      </c>
      <c r="K313" t="s">
        <v>845</v>
      </c>
      <c r="L313" t="s">
        <v>91</v>
      </c>
      <c r="M313" t="s">
        <v>1163</v>
      </c>
      <c r="N313" s="57">
        <v>1300</v>
      </c>
      <c r="O313" t="s">
        <v>100</v>
      </c>
      <c r="P313" t="s">
        <v>93</v>
      </c>
      <c r="Q313" s="3">
        <v>45495</v>
      </c>
      <c r="R313" s="10">
        <f t="shared" ca="1" si="8"/>
        <v>46229</v>
      </c>
      <c r="S313" s="7">
        <f t="shared" ca="1" si="9"/>
        <v>2.010958904109589</v>
      </c>
    </row>
    <row r="314" spans="1:19" x14ac:dyDescent="0.25">
      <c r="A314">
        <v>1234016</v>
      </c>
      <c r="B314" t="s">
        <v>1807</v>
      </c>
      <c r="C314" t="s">
        <v>17</v>
      </c>
      <c r="D314" s="6" t="s">
        <v>22</v>
      </c>
      <c r="E314" t="s">
        <v>79</v>
      </c>
      <c r="G314" s="6" t="s">
        <v>971</v>
      </c>
      <c r="H314" s="59" t="s">
        <v>1021</v>
      </c>
      <c r="I314" s="58" t="s">
        <v>1468</v>
      </c>
      <c r="J314" t="s">
        <v>860</v>
      </c>
      <c r="K314" t="s">
        <v>845</v>
      </c>
      <c r="L314" t="s">
        <v>1038</v>
      </c>
      <c r="M314" t="s">
        <v>1163</v>
      </c>
      <c r="N314" s="57">
        <v>1300</v>
      </c>
      <c r="O314" t="s">
        <v>100</v>
      </c>
      <c r="P314" t="s">
        <v>93</v>
      </c>
      <c r="Q314" s="3">
        <v>46188</v>
      </c>
      <c r="R314" s="10">
        <f t="shared" ca="1" si="8"/>
        <v>46229</v>
      </c>
      <c r="S314" s="7">
        <f t="shared" ca="1" si="9"/>
        <v>0.11232876712328767</v>
      </c>
    </row>
    <row r="315" spans="1:19" x14ac:dyDescent="0.25">
      <c r="A315">
        <v>1013604</v>
      </c>
      <c r="B315" t="s">
        <v>127</v>
      </c>
      <c r="C315" t="s">
        <v>17</v>
      </c>
      <c r="D315" s="6" t="s">
        <v>39</v>
      </c>
      <c r="E315" t="s">
        <v>47</v>
      </c>
      <c r="G315" s="6" t="s">
        <v>971</v>
      </c>
      <c r="H315" s="59" t="s">
        <v>92</v>
      </c>
      <c r="I315" s="58" t="s">
        <v>860</v>
      </c>
      <c r="J315" t="s">
        <v>845</v>
      </c>
      <c r="K315" t="s">
        <v>31</v>
      </c>
      <c r="L315" t="s">
        <v>966</v>
      </c>
      <c r="M315" t="s">
        <v>1163</v>
      </c>
      <c r="N315" s="57">
        <v>6900</v>
      </c>
      <c r="O315" t="s">
        <v>100</v>
      </c>
      <c r="P315" t="s">
        <v>38</v>
      </c>
      <c r="Q315" s="3">
        <v>42863</v>
      </c>
      <c r="R315" s="10">
        <f t="shared" ca="1" si="8"/>
        <v>46229</v>
      </c>
      <c r="S315" s="7">
        <f t="shared" ca="1" si="9"/>
        <v>9.2219178082191782</v>
      </c>
    </row>
    <row r="316" spans="1:19" x14ac:dyDescent="0.25">
      <c r="A316">
        <v>1125917</v>
      </c>
      <c r="B316" t="s">
        <v>986</v>
      </c>
      <c r="C316" t="s">
        <v>17</v>
      </c>
      <c r="D316" s="6" t="s">
        <v>22</v>
      </c>
      <c r="E316" t="s">
        <v>43</v>
      </c>
      <c r="G316" s="6" t="s">
        <v>971</v>
      </c>
      <c r="H316" s="59" t="s">
        <v>1021</v>
      </c>
      <c r="I316" s="58" t="s">
        <v>860</v>
      </c>
      <c r="J316" t="s">
        <v>845</v>
      </c>
      <c r="K316" t="s">
        <v>31</v>
      </c>
      <c r="L316" t="s">
        <v>1038</v>
      </c>
      <c r="M316" t="s">
        <v>1163</v>
      </c>
      <c r="N316" s="57">
        <v>1300</v>
      </c>
      <c r="O316" t="s">
        <v>100</v>
      </c>
      <c r="P316" t="s">
        <v>93</v>
      </c>
      <c r="Q316" s="3">
        <v>45579</v>
      </c>
      <c r="R316" s="10">
        <f t="shared" ca="1" si="8"/>
        <v>46229</v>
      </c>
      <c r="S316" s="7">
        <f t="shared" ca="1" si="9"/>
        <v>1.7808219178082192</v>
      </c>
    </row>
    <row r="317" spans="1:19" x14ac:dyDescent="0.25">
      <c r="A317">
        <v>1183229</v>
      </c>
      <c r="B317" t="s">
        <v>990</v>
      </c>
      <c r="C317" t="s">
        <v>17</v>
      </c>
      <c r="D317" s="6" t="s">
        <v>39</v>
      </c>
      <c r="E317" t="s">
        <v>47</v>
      </c>
      <c r="G317" s="6" t="s">
        <v>971</v>
      </c>
      <c r="H317" s="59" t="s">
        <v>92</v>
      </c>
      <c r="I317" s="58" t="s">
        <v>860</v>
      </c>
      <c r="J317" t="s">
        <v>845</v>
      </c>
      <c r="K317" t="s">
        <v>31</v>
      </c>
      <c r="L317" t="s">
        <v>1038</v>
      </c>
      <c r="M317" t="s">
        <v>1163</v>
      </c>
      <c r="N317" s="57">
        <v>6900</v>
      </c>
      <c r="O317" t="s">
        <v>100</v>
      </c>
      <c r="P317" t="s">
        <v>38</v>
      </c>
      <c r="Q317" s="3">
        <v>45194</v>
      </c>
      <c r="R317" s="10">
        <f t="shared" ca="1" si="8"/>
        <v>46229</v>
      </c>
      <c r="S317" s="7">
        <f t="shared" ca="1" si="9"/>
        <v>2.8356164383561642</v>
      </c>
    </row>
    <row r="318" spans="1:19" x14ac:dyDescent="0.25">
      <c r="A318">
        <v>1183242</v>
      </c>
      <c r="B318" t="s">
        <v>252</v>
      </c>
      <c r="C318" t="s">
        <v>17</v>
      </c>
      <c r="D318" s="6" t="s">
        <v>22</v>
      </c>
      <c r="E318" t="s">
        <v>79</v>
      </c>
      <c r="G318" s="6" t="s">
        <v>971</v>
      </c>
      <c r="H318" s="59" t="s">
        <v>1021</v>
      </c>
      <c r="I318" s="58" t="s">
        <v>860</v>
      </c>
      <c r="J318" t="s">
        <v>845</v>
      </c>
      <c r="K318" t="s">
        <v>31</v>
      </c>
      <c r="L318" t="s">
        <v>1038</v>
      </c>
      <c r="M318" t="s">
        <v>1163</v>
      </c>
      <c r="N318" s="57">
        <v>1300</v>
      </c>
      <c r="O318" t="s">
        <v>100</v>
      </c>
      <c r="P318" t="s">
        <v>93</v>
      </c>
      <c r="Q318" s="3">
        <v>45194</v>
      </c>
      <c r="R318" s="10">
        <f t="shared" ca="1" si="8"/>
        <v>46229</v>
      </c>
      <c r="S318" s="7">
        <f t="shared" ca="1" si="9"/>
        <v>2.8356164383561642</v>
      </c>
    </row>
    <row r="319" spans="1:19" x14ac:dyDescent="0.25">
      <c r="A319">
        <v>1211951</v>
      </c>
      <c r="B319" t="s">
        <v>291</v>
      </c>
      <c r="C319" t="s">
        <v>17</v>
      </c>
      <c r="D319" s="6" t="s">
        <v>39</v>
      </c>
      <c r="E319" t="s">
        <v>47</v>
      </c>
      <c r="G319" s="6" t="s">
        <v>971</v>
      </c>
      <c r="H319" s="59" t="s">
        <v>92</v>
      </c>
      <c r="I319" s="58" t="s">
        <v>860</v>
      </c>
      <c r="J319" t="s">
        <v>845</v>
      </c>
      <c r="K319" t="s">
        <v>31</v>
      </c>
      <c r="L319" t="s">
        <v>966</v>
      </c>
      <c r="M319" t="s">
        <v>1163</v>
      </c>
      <c r="N319" s="57">
        <v>6900</v>
      </c>
      <c r="O319" t="s">
        <v>100</v>
      </c>
      <c r="P319" t="s">
        <v>38</v>
      </c>
      <c r="Q319" s="3">
        <v>45845</v>
      </c>
      <c r="R319" s="10">
        <f t="shared" ca="1" si="8"/>
        <v>46229</v>
      </c>
      <c r="S319" s="7">
        <f t="shared" ca="1" si="9"/>
        <v>1.0520547945205478</v>
      </c>
    </row>
    <row r="320" spans="1:19" x14ac:dyDescent="0.25">
      <c r="A320">
        <v>1230875</v>
      </c>
      <c r="B320" t="s">
        <v>1422</v>
      </c>
      <c r="C320" t="s">
        <v>17</v>
      </c>
      <c r="D320" s="6" t="s">
        <v>39</v>
      </c>
      <c r="E320" t="s">
        <v>47</v>
      </c>
      <c r="G320" s="6" t="s">
        <v>971</v>
      </c>
      <c r="H320" s="59" t="s">
        <v>92</v>
      </c>
      <c r="I320" s="58" t="s">
        <v>860</v>
      </c>
      <c r="J320" t="s">
        <v>845</v>
      </c>
      <c r="K320" t="s">
        <v>31</v>
      </c>
      <c r="L320" t="s">
        <v>966</v>
      </c>
      <c r="M320" t="s">
        <v>1163</v>
      </c>
      <c r="N320" s="57">
        <v>6900</v>
      </c>
      <c r="O320" t="s">
        <v>100</v>
      </c>
      <c r="P320" t="s">
        <v>38</v>
      </c>
      <c r="Q320" s="3">
        <v>46139</v>
      </c>
      <c r="R320" s="10">
        <f t="shared" ca="1" si="8"/>
        <v>46229</v>
      </c>
      <c r="S320" s="7">
        <f t="shared" ca="1" si="9"/>
        <v>0.24657534246575341</v>
      </c>
    </row>
    <row r="321" spans="1:19" x14ac:dyDescent="0.25">
      <c r="A321">
        <v>32905</v>
      </c>
      <c r="B321" t="s">
        <v>392</v>
      </c>
      <c r="C321" t="s">
        <v>17</v>
      </c>
      <c r="D321" s="6" t="s">
        <v>39</v>
      </c>
      <c r="E321" t="s">
        <v>47</v>
      </c>
      <c r="G321" s="6" t="s">
        <v>971</v>
      </c>
      <c r="H321" s="59" t="s">
        <v>92</v>
      </c>
      <c r="I321" s="58" t="s">
        <v>860</v>
      </c>
      <c r="J321" t="s">
        <v>845</v>
      </c>
      <c r="K321" t="s">
        <v>31</v>
      </c>
      <c r="L321" t="s">
        <v>966</v>
      </c>
      <c r="M321" t="s">
        <v>1163</v>
      </c>
      <c r="N321" s="57">
        <v>6900</v>
      </c>
      <c r="O321" t="s">
        <v>100</v>
      </c>
      <c r="P321" t="s">
        <v>93</v>
      </c>
      <c r="Q321" s="3">
        <v>40770</v>
      </c>
      <c r="R321" s="10">
        <f t="shared" ca="1" si="8"/>
        <v>46229</v>
      </c>
      <c r="S321" s="7">
        <f t="shared" ca="1" si="9"/>
        <v>14.956164383561644</v>
      </c>
    </row>
    <row r="322" spans="1:19" x14ac:dyDescent="0.25">
      <c r="A322">
        <v>1177573</v>
      </c>
      <c r="B322" t="s">
        <v>226</v>
      </c>
      <c r="C322" t="s">
        <v>17</v>
      </c>
      <c r="D322" s="6" t="s">
        <v>22</v>
      </c>
      <c r="E322" t="s">
        <v>72</v>
      </c>
      <c r="G322" s="6" t="s">
        <v>969</v>
      </c>
      <c r="H322" s="59" t="s">
        <v>1024</v>
      </c>
      <c r="I322" s="58" t="s">
        <v>900</v>
      </c>
      <c r="J322" t="s">
        <v>832</v>
      </c>
      <c r="K322" t="s">
        <v>31</v>
      </c>
      <c r="L322" t="s">
        <v>25</v>
      </c>
      <c r="M322" t="s">
        <v>1163</v>
      </c>
      <c r="N322" s="57">
        <v>1300</v>
      </c>
      <c r="O322" t="s">
        <v>100</v>
      </c>
      <c r="P322" t="s">
        <v>93</v>
      </c>
      <c r="Q322" s="3">
        <v>45040</v>
      </c>
      <c r="R322" s="10">
        <f t="shared" ca="1" si="8"/>
        <v>46229</v>
      </c>
      <c r="S322" s="7">
        <f t="shared" ca="1" si="9"/>
        <v>3.2575342465753425</v>
      </c>
    </row>
    <row r="323" spans="1:19" x14ac:dyDescent="0.25">
      <c r="A323">
        <v>579219</v>
      </c>
      <c r="B323" t="s">
        <v>710</v>
      </c>
      <c r="C323" t="s">
        <v>17</v>
      </c>
      <c r="D323" s="6" t="s">
        <v>22</v>
      </c>
      <c r="E323" t="s">
        <v>72</v>
      </c>
      <c r="G323" s="6" t="s">
        <v>969</v>
      </c>
      <c r="H323" s="59" t="s">
        <v>1024</v>
      </c>
      <c r="I323" s="58" t="s">
        <v>900</v>
      </c>
      <c r="J323" t="s">
        <v>832</v>
      </c>
      <c r="K323" t="s">
        <v>31</v>
      </c>
      <c r="L323" t="s">
        <v>25</v>
      </c>
      <c r="M323" t="s">
        <v>1163</v>
      </c>
      <c r="N323" s="57">
        <v>1300</v>
      </c>
      <c r="O323" t="s">
        <v>100</v>
      </c>
      <c r="P323" t="s">
        <v>93</v>
      </c>
      <c r="Q323" s="3">
        <v>42443</v>
      </c>
      <c r="R323" s="10">
        <f t="shared" ref="R323:R386" ca="1" si="10">TODAY()</f>
        <v>46229</v>
      </c>
      <c r="S323" s="7">
        <f t="shared" ref="S323:S386" ca="1" si="11">(R323-Q323)/365</f>
        <v>10.372602739726027</v>
      </c>
    </row>
    <row r="324" spans="1:19" x14ac:dyDescent="0.25">
      <c r="A324">
        <v>29452</v>
      </c>
      <c r="B324" t="s">
        <v>351</v>
      </c>
      <c r="C324" t="s">
        <v>17</v>
      </c>
      <c r="D324" s="6" t="s">
        <v>22</v>
      </c>
      <c r="E324" t="s">
        <v>68</v>
      </c>
      <c r="G324" s="6" t="s">
        <v>1015</v>
      </c>
      <c r="H324" s="59" t="s">
        <v>1015</v>
      </c>
      <c r="I324" s="58" t="s">
        <v>913</v>
      </c>
      <c r="J324" t="s">
        <v>914</v>
      </c>
      <c r="K324" t="s">
        <v>96</v>
      </c>
      <c r="L324" t="s">
        <v>1038</v>
      </c>
      <c r="M324" t="s">
        <v>1163</v>
      </c>
      <c r="N324" s="57">
        <v>1500</v>
      </c>
      <c r="O324" t="s">
        <v>100</v>
      </c>
      <c r="P324" t="s">
        <v>93</v>
      </c>
      <c r="Q324" s="3">
        <v>39650</v>
      </c>
      <c r="R324" s="10">
        <f t="shared" ca="1" si="10"/>
        <v>46229</v>
      </c>
      <c r="S324" s="7">
        <f t="shared" ca="1" si="11"/>
        <v>18.024657534246575</v>
      </c>
    </row>
    <row r="325" spans="1:19" x14ac:dyDescent="0.25">
      <c r="A325">
        <v>4032822</v>
      </c>
      <c r="B325" t="s">
        <v>1111</v>
      </c>
      <c r="C325" t="s">
        <v>17</v>
      </c>
      <c r="D325" s="6" t="s">
        <v>22</v>
      </c>
      <c r="E325" t="s">
        <v>68</v>
      </c>
      <c r="G325" s="6" t="s">
        <v>1015</v>
      </c>
      <c r="H325" s="59" t="s">
        <v>1015</v>
      </c>
      <c r="I325" s="58" t="s">
        <v>913</v>
      </c>
      <c r="J325" t="s">
        <v>914</v>
      </c>
      <c r="K325" t="s">
        <v>96</v>
      </c>
      <c r="L325" t="s">
        <v>1038</v>
      </c>
      <c r="M325" t="s">
        <v>1163</v>
      </c>
      <c r="N325" s="57">
        <v>1500</v>
      </c>
      <c r="O325" t="s">
        <v>100</v>
      </c>
      <c r="P325" t="s">
        <v>93</v>
      </c>
      <c r="Q325" s="3">
        <v>44224</v>
      </c>
      <c r="R325" s="10">
        <f t="shared" ca="1" si="10"/>
        <v>46229</v>
      </c>
      <c r="S325" s="7">
        <f t="shared" ca="1" si="11"/>
        <v>5.493150684931507</v>
      </c>
    </row>
    <row r="326" spans="1:19" x14ac:dyDescent="0.25">
      <c r="A326">
        <v>4038040</v>
      </c>
      <c r="B326" t="s">
        <v>455</v>
      </c>
      <c r="C326" t="s">
        <v>17</v>
      </c>
      <c r="D326" s="6" t="s">
        <v>22</v>
      </c>
      <c r="E326" t="s">
        <v>21</v>
      </c>
      <c r="G326" s="6" t="s">
        <v>1015</v>
      </c>
      <c r="H326" s="59" t="s">
        <v>1015</v>
      </c>
      <c r="I326" s="58" t="s">
        <v>913</v>
      </c>
      <c r="J326" t="s">
        <v>914</v>
      </c>
      <c r="K326" t="s">
        <v>96</v>
      </c>
      <c r="L326" t="s">
        <v>1038</v>
      </c>
      <c r="M326" t="s">
        <v>1163</v>
      </c>
      <c r="N326" s="57">
        <v>1200</v>
      </c>
      <c r="O326" t="s">
        <v>100</v>
      </c>
      <c r="P326" t="s">
        <v>93</v>
      </c>
      <c r="Q326" s="3">
        <v>44879</v>
      </c>
      <c r="R326" s="10">
        <f t="shared" ca="1" si="10"/>
        <v>46229</v>
      </c>
      <c r="S326" s="7">
        <f t="shared" ca="1" si="11"/>
        <v>3.6986301369863015</v>
      </c>
    </row>
    <row r="327" spans="1:19" x14ac:dyDescent="0.25">
      <c r="A327">
        <v>25507</v>
      </c>
      <c r="B327" t="s">
        <v>320</v>
      </c>
      <c r="C327" t="s">
        <v>17</v>
      </c>
      <c r="D327" s="6" t="s">
        <v>22</v>
      </c>
      <c r="E327" t="s">
        <v>50</v>
      </c>
      <c r="G327" s="6" t="s">
        <v>970</v>
      </c>
      <c r="H327" s="59" t="s">
        <v>1030</v>
      </c>
      <c r="I327" s="58" t="s">
        <v>907</v>
      </c>
      <c r="J327" t="s">
        <v>874</v>
      </c>
      <c r="K327" t="s">
        <v>849</v>
      </c>
      <c r="L327" t="s">
        <v>1038</v>
      </c>
      <c r="M327" t="s">
        <v>1163</v>
      </c>
      <c r="N327" s="57">
        <v>1400</v>
      </c>
      <c r="O327" t="s">
        <v>100</v>
      </c>
      <c r="P327" t="s">
        <v>93</v>
      </c>
      <c r="Q327" s="3">
        <v>43703</v>
      </c>
      <c r="R327" s="10">
        <f t="shared" ca="1" si="10"/>
        <v>46229</v>
      </c>
      <c r="S327" s="7">
        <f t="shared" ca="1" si="11"/>
        <v>6.9205479452054792</v>
      </c>
    </row>
    <row r="328" spans="1:19" x14ac:dyDescent="0.25">
      <c r="A328">
        <v>4104525</v>
      </c>
      <c r="B328" t="s">
        <v>647</v>
      </c>
      <c r="C328" t="s">
        <v>17</v>
      </c>
      <c r="D328" s="6" t="s">
        <v>22</v>
      </c>
      <c r="E328" t="s">
        <v>50</v>
      </c>
      <c r="G328" s="6" t="s">
        <v>970</v>
      </c>
      <c r="H328" s="59" t="s">
        <v>1030</v>
      </c>
      <c r="I328" s="58" t="s">
        <v>907</v>
      </c>
      <c r="J328" t="s">
        <v>874</v>
      </c>
      <c r="K328" t="s">
        <v>849</v>
      </c>
      <c r="L328" t="s">
        <v>1038</v>
      </c>
      <c r="M328" t="s">
        <v>1163</v>
      </c>
      <c r="N328" s="57">
        <v>1200</v>
      </c>
      <c r="O328" t="s">
        <v>100</v>
      </c>
      <c r="P328" t="s">
        <v>93</v>
      </c>
      <c r="Q328" s="3">
        <v>45530</v>
      </c>
      <c r="R328" s="10">
        <f t="shared" ca="1" si="10"/>
        <v>46229</v>
      </c>
      <c r="S328" s="7">
        <f t="shared" ca="1" si="11"/>
        <v>1.9150684931506849</v>
      </c>
    </row>
    <row r="329" spans="1:19" x14ac:dyDescent="0.25">
      <c r="A329">
        <v>4112904</v>
      </c>
      <c r="B329" t="s">
        <v>1064</v>
      </c>
      <c r="C329" t="s">
        <v>17</v>
      </c>
      <c r="D329" s="6" t="s">
        <v>22</v>
      </c>
      <c r="E329" t="s">
        <v>50</v>
      </c>
      <c r="G329" s="6" t="s">
        <v>970</v>
      </c>
      <c r="H329" s="59" t="s">
        <v>1030</v>
      </c>
      <c r="I329" s="58" t="s">
        <v>907</v>
      </c>
      <c r="J329" t="s">
        <v>874</v>
      </c>
      <c r="K329" t="s">
        <v>849</v>
      </c>
      <c r="L329" t="s">
        <v>1038</v>
      </c>
      <c r="M329" t="s">
        <v>1163</v>
      </c>
      <c r="N329" s="57">
        <v>1400</v>
      </c>
      <c r="O329" t="s">
        <v>100</v>
      </c>
      <c r="P329" t="s">
        <v>93</v>
      </c>
      <c r="Q329" s="3">
        <v>46072</v>
      </c>
      <c r="R329" s="10">
        <f t="shared" ca="1" si="10"/>
        <v>46229</v>
      </c>
      <c r="S329" s="7">
        <f t="shared" ca="1" si="11"/>
        <v>0.43013698630136987</v>
      </c>
    </row>
    <row r="330" spans="1:19" x14ac:dyDescent="0.25">
      <c r="A330">
        <v>4121106</v>
      </c>
      <c r="B330" t="s">
        <v>1083</v>
      </c>
      <c r="C330" t="s">
        <v>17</v>
      </c>
      <c r="D330" s="6" t="s">
        <v>22</v>
      </c>
      <c r="E330" t="s">
        <v>50</v>
      </c>
      <c r="G330" s="6" t="s">
        <v>970</v>
      </c>
      <c r="H330" s="59" t="s">
        <v>1030</v>
      </c>
      <c r="I330" s="58" t="s">
        <v>907</v>
      </c>
      <c r="J330" t="s">
        <v>874</v>
      </c>
      <c r="K330" t="s">
        <v>849</v>
      </c>
      <c r="L330" t="s">
        <v>1038</v>
      </c>
      <c r="M330" t="s">
        <v>1163</v>
      </c>
      <c r="N330" s="57">
        <v>1400</v>
      </c>
      <c r="O330" t="s">
        <v>100</v>
      </c>
      <c r="P330" t="s">
        <v>93</v>
      </c>
      <c r="Q330" s="3">
        <v>46072</v>
      </c>
      <c r="R330" s="10">
        <f t="shared" ca="1" si="10"/>
        <v>46229</v>
      </c>
      <c r="S330" s="7">
        <f t="shared" ca="1" si="11"/>
        <v>0.43013698630136987</v>
      </c>
    </row>
    <row r="331" spans="1:19" x14ac:dyDescent="0.25">
      <c r="A331">
        <v>4121183</v>
      </c>
      <c r="B331" t="s">
        <v>1102</v>
      </c>
      <c r="C331" t="s">
        <v>17</v>
      </c>
      <c r="D331" s="6" t="s">
        <v>22</v>
      </c>
      <c r="E331" t="s">
        <v>50</v>
      </c>
      <c r="G331" s="6" t="s">
        <v>970</v>
      </c>
      <c r="H331" s="59" t="s">
        <v>1030</v>
      </c>
      <c r="I331" s="58" t="s">
        <v>907</v>
      </c>
      <c r="J331" t="s">
        <v>874</v>
      </c>
      <c r="K331" t="s">
        <v>849</v>
      </c>
      <c r="L331" t="s">
        <v>1038</v>
      </c>
      <c r="M331" t="s">
        <v>1163</v>
      </c>
      <c r="N331" s="57">
        <v>1400</v>
      </c>
      <c r="O331" t="s">
        <v>100</v>
      </c>
      <c r="P331" t="s">
        <v>93</v>
      </c>
      <c r="Q331" s="3">
        <v>46072</v>
      </c>
      <c r="R331" s="10">
        <f t="shared" ca="1" si="10"/>
        <v>46229</v>
      </c>
      <c r="S331" s="7">
        <f t="shared" ca="1" si="11"/>
        <v>0.43013698630136987</v>
      </c>
    </row>
    <row r="332" spans="1:19" x14ac:dyDescent="0.25">
      <c r="A332">
        <v>1175737</v>
      </c>
      <c r="B332" t="s">
        <v>220</v>
      </c>
      <c r="C332" t="s">
        <v>17</v>
      </c>
      <c r="D332" s="6" t="s">
        <v>22</v>
      </c>
      <c r="E332" t="s">
        <v>72</v>
      </c>
      <c r="G332" s="6" t="s">
        <v>971</v>
      </c>
      <c r="H332" s="59" t="s">
        <v>1028</v>
      </c>
      <c r="I332" s="58" t="s">
        <v>1828</v>
      </c>
      <c r="J332" t="s">
        <v>844</v>
      </c>
      <c r="K332" t="s">
        <v>31</v>
      </c>
      <c r="L332" t="s">
        <v>25</v>
      </c>
      <c r="M332" t="s">
        <v>1163</v>
      </c>
      <c r="N332" s="57">
        <v>1300</v>
      </c>
      <c r="O332" t="s">
        <v>100</v>
      </c>
      <c r="P332" t="s">
        <v>93</v>
      </c>
      <c r="Q332" s="3">
        <v>44998</v>
      </c>
      <c r="R332" s="10">
        <f t="shared" ca="1" si="10"/>
        <v>46229</v>
      </c>
      <c r="S332" s="7">
        <f t="shared" ca="1" si="11"/>
        <v>3.3726027397260272</v>
      </c>
    </row>
    <row r="333" spans="1:19" x14ac:dyDescent="0.25">
      <c r="A333">
        <v>32291</v>
      </c>
      <c r="B333" t="s">
        <v>387</v>
      </c>
      <c r="C333" t="s">
        <v>17</v>
      </c>
      <c r="D333" s="6" t="s">
        <v>22</v>
      </c>
      <c r="E333" t="s">
        <v>72</v>
      </c>
      <c r="G333" s="6" t="s">
        <v>969</v>
      </c>
      <c r="H333" s="59" t="s">
        <v>1024</v>
      </c>
      <c r="I333" s="58" t="s">
        <v>890</v>
      </c>
      <c r="J333" t="s">
        <v>832</v>
      </c>
      <c r="K333" t="s">
        <v>31</v>
      </c>
      <c r="L333" t="s">
        <v>1038</v>
      </c>
      <c r="M333" t="s">
        <v>1163</v>
      </c>
      <c r="N333" s="57">
        <v>1300</v>
      </c>
      <c r="O333" t="s">
        <v>100</v>
      </c>
      <c r="P333" t="s">
        <v>93</v>
      </c>
      <c r="Q333" s="3">
        <v>38985</v>
      </c>
      <c r="R333" s="10">
        <f t="shared" ca="1" si="10"/>
        <v>46229</v>
      </c>
      <c r="S333" s="7">
        <f t="shared" ca="1" si="11"/>
        <v>19.846575342465755</v>
      </c>
    </row>
    <row r="334" spans="1:19" x14ac:dyDescent="0.25">
      <c r="A334">
        <v>25396</v>
      </c>
      <c r="B334" t="s">
        <v>1511</v>
      </c>
      <c r="C334" t="s">
        <v>17</v>
      </c>
      <c r="D334" s="6" t="s">
        <v>39</v>
      </c>
      <c r="E334" t="s">
        <v>961</v>
      </c>
      <c r="G334" s="6" t="s">
        <v>969</v>
      </c>
      <c r="H334" s="59" t="s">
        <v>92</v>
      </c>
      <c r="I334" s="58" t="s">
        <v>890</v>
      </c>
      <c r="J334" t="s">
        <v>832</v>
      </c>
      <c r="K334" t="s">
        <v>31</v>
      </c>
      <c r="L334" t="s">
        <v>91</v>
      </c>
      <c r="M334" t="s">
        <v>1163</v>
      </c>
      <c r="N334" s="57">
        <v>6900</v>
      </c>
      <c r="O334" t="s">
        <v>100</v>
      </c>
      <c r="P334" t="s">
        <v>38</v>
      </c>
      <c r="Q334" s="3">
        <v>37200</v>
      </c>
      <c r="R334" s="10">
        <f t="shared" ca="1" si="10"/>
        <v>46229</v>
      </c>
      <c r="S334" s="7">
        <f t="shared" ca="1" si="11"/>
        <v>24.736986301369864</v>
      </c>
    </row>
    <row r="335" spans="1:19" x14ac:dyDescent="0.25">
      <c r="A335">
        <v>949869</v>
      </c>
      <c r="B335" t="s">
        <v>1528</v>
      </c>
      <c r="C335" t="s">
        <v>17</v>
      </c>
      <c r="D335" s="6" t="s">
        <v>39</v>
      </c>
      <c r="E335" t="s">
        <v>961</v>
      </c>
      <c r="G335" s="6" t="s">
        <v>969</v>
      </c>
      <c r="H335" s="59" t="s">
        <v>92</v>
      </c>
      <c r="I335" s="58" t="s">
        <v>890</v>
      </c>
      <c r="J335" t="s">
        <v>832</v>
      </c>
      <c r="K335" t="s">
        <v>31</v>
      </c>
      <c r="L335" t="s">
        <v>966</v>
      </c>
      <c r="M335" t="s">
        <v>1163</v>
      </c>
      <c r="N335" s="57">
        <v>6900</v>
      </c>
      <c r="O335" t="s">
        <v>100</v>
      </c>
      <c r="P335" t="s">
        <v>38</v>
      </c>
      <c r="Q335" s="3">
        <v>42345</v>
      </c>
      <c r="R335" s="10">
        <f t="shared" ca="1" si="10"/>
        <v>46229</v>
      </c>
      <c r="S335" s="7">
        <f t="shared" ca="1" si="11"/>
        <v>10.641095890410959</v>
      </c>
    </row>
    <row r="336" spans="1:19" x14ac:dyDescent="0.25">
      <c r="A336">
        <v>963444</v>
      </c>
      <c r="B336" t="s">
        <v>1529</v>
      </c>
      <c r="C336" t="s">
        <v>17</v>
      </c>
      <c r="D336" s="6" t="s">
        <v>39</v>
      </c>
      <c r="E336" t="s">
        <v>961</v>
      </c>
      <c r="G336" s="6" t="s">
        <v>969</v>
      </c>
      <c r="H336" s="59" t="s">
        <v>92</v>
      </c>
      <c r="I336" s="58" t="s">
        <v>890</v>
      </c>
      <c r="J336" t="s">
        <v>832</v>
      </c>
      <c r="K336" t="s">
        <v>31</v>
      </c>
      <c r="L336" t="s">
        <v>1038</v>
      </c>
      <c r="M336" t="s">
        <v>1163</v>
      </c>
      <c r="N336" s="57">
        <v>6900</v>
      </c>
      <c r="O336" t="s">
        <v>100</v>
      </c>
      <c r="P336" t="s">
        <v>38</v>
      </c>
      <c r="Q336" s="3">
        <v>42569</v>
      </c>
      <c r="R336" s="10">
        <f t="shared" ca="1" si="10"/>
        <v>46229</v>
      </c>
      <c r="S336" s="7">
        <f t="shared" ca="1" si="11"/>
        <v>10.027397260273972</v>
      </c>
    </row>
    <row r="337" spans="1:19" x14ac:dyDescent="0.25">
      <c r="A337">
        <v>25695</v>
      </c>
      <c r="B337" t="s">
        <v>1481</v>
      </c>
      <c r="C337" t="s">
        <v>17</v>
      </c>
      <c r="D337" s="6" t="s">
        <v>22</v>
      </c>
      <c r="E337" t="s">
        <v>65</v>
      </c>
      <c r="G337" s="6" t="s">
        <v>967</v>
      </c>
      <c r="H337" s="59" t="s">
        <v>1022</v>
      </c>
      <c r="I337" s="58" t="s">
        <v>906</v>
      </c>
      <c r="J337" t="s">
        <v>821</v>
      </c>
      <c r="K337" t="s">
        <v>822</v>
      </c>
      <c r="L337" t="s">
        <v>966</v>
      </c>
      <c r="M337" t="s">
        <v>1163</v>
      </c>
      <c r="N337" s="57">
        <v>1500</v>
      </c>
      <c r="O337" t="s">
        <v>100</v>
      </c>
      <c r="P337" t="s">
        <v>93</v>
      </c>
      <c r="Q337" s="3">
        <v>36745</v>
      </c>
      <c r="R337" s="10">
        <f t="shared" ca="1" si="10"/>
        <v>46229</v>
      </c>
      <c r="S337" s="7">
        <f t="shared" ca="1" si="11"/>
        <v>25.983561643835618</v>
      </c>
    </row>
    <row r="338" spans="1:19" x14ac:dyDescent="0.25">
      <c r="A338">
        <v>26754</v>
      </c>
      <c r="B338" t="s">
        <v>331</v>
      </c>
      <c r="C338" t="s">
        <v>17</v>
      </c>
      <c r="D338" s="6" t="s">
        <v>22</v>
      </c>
      <c r="E338" t="s">
        <v>65</v>
      </c>
      <c r="G338" s="6" t="s">
        <v>967</v>
      </c>
      <c r="H338" s="59" t="s">
        <v>1022</v>
      </c>
      <c r="I338" s="58" t="s">
        <v>906</v>
      </c>
      <c r="J338" t="s">
        <v>821</v>
      </c>
      <c r="K338" t="s">
        <v>822</v>
      </c>
      <c r="L338" t="s">
        <v>966</v>
      </c>
      <c r="M338" t="s">
        <v>1163</v>
      </c>
      <c r="N338" s="57">
        <v>1500</v>
      </c>
      <c r="O338" t="s">
        <v>100</v>
      </c>
      <c r="P338" t="s">
        <v>93</v>
      </c>
      <c r="Q338" s="3">
        <v>39020</v>
      </c>
      <c r="R338" s="10">
        <f t="shared" ca="1" si="10"/>
        <v>46229</v>
      </c>
      <c r="S338" s="7">
        <f t="shared" ca="1" si="11"/>
        <v>19.75068493150685</v>
      </c>
    </row>
    <row r="339" spans="1:19" x14ac:dyDescent="0.25">
      <c r="A339">
        <v>986429</v>
      </c>
      <c r="B339" t="s">
        <v>805</v>
      </c>
      <c r="C339" t="s">
        <v>17</v>
      </c>
      <c r="D339" s="6" t="s">
        <v>22</v>
      </c>
      <c r="E339" t="s">
        <v>65</v>
      </c>
      <c r="G339" s="6" t="s">
        <v>967</v>
      </c>
      <c r="H339" s="59" t="s">
        <v>1022</v>
      </c>
      <c r="I339" s="58" t="s">
        <v>906</v>
      </c>
      <c r="J339" t="s">
        <v>821</v>
      </c>
      <c r="K339" t="s">
        <v>822</v>
      </c>
      <c r="L339" t="s">
        <v>1038</v>
      </c>
      <c r="M339" t="s">
        <v>1163</v>
      </c>
      <c r="N339" s="57">
        <v>1500</v>
      </c>
      <c r="O339" t="s">
        <v>100</v>
      </c>
      <c r="P339" t="s">
        <v>93</v>
      </c>
      <c r="Q339" s="3">
        <v>42668</v>
      </c>
      <c r="R339" s="10">
        <f t="shared" ca="1" si="10"/>
        <v>46229</v>
      </c>
      <c r="S339" s="7">
        <f t="shared" ca="1" si="11"/>
        <v>9.7561643835616429</v>
      </c>
    </row>
    <row r="340" spans="1:19" x14ac:dyDescent="0.25">
      <c r="A340">
        <v>1085420</v>
      </c>
      <c r="B340" t="s">
        <v>142</v>
      </c>
      <c r="C340" t="s">
        <v>17</v>
      </c>
      <c r="D340" s="6" t="s">
        <v>39</v>
      </c>
      <c r="E340" t="s">
        <v>64</v>
      </c>
      <c r="G340" s="6" t="s">
        <v>16</v>
      </c>
      <c r="H340" s="59" t="s">
        <v>92</v>
      </c>
      <c r="I340" s="58" t="s">
        <v>879</v>
      </c>
      <c r="J340" t="s">
        <v>823</v>
      </c>
      <c r="K340" t="s">
        <v>824</v>
      </c>
      <c r="L340" t="s">
        <v>1038</v>
      </c>
      <c r="M340" t="s">
        <v>1163</v>
      </c>
      <c r="N340" s="57">
        <v>6900</v>
      </c>
      <c r="O340" t="s">
        <v>100</v>
      </c>
      <c r="P340" t="s">
        <v>38</v>
      </c>
      <c r="Q340" s="3">
        <v>43409</v>
      </c>
      <c r="R340" s="10">
        <f t="shared" ca="1" si="10"/>
        <v>46229</v>
      </c>
      <c r="S340" s="7">
        <f t="shared" ca="1" si="11"/>
        <v>7.7260273972602738</v>
      </c>
    </row>
    <row r="341" spans="1:19" x14ac:dyDescent="0.25">
      <c r="A341">
        <v>1126210</v>
      </c>
      <c r="B341" t="s">
        <v>158</v>
      </c>
      <c r="C341" t="s">
        <v>17</v>
      </c>
      <c r="D341" s="6" t="s">
        <v>22</v>
      </c>
      <c r="E341" t="s">
        <v>69</v>
      </c>
      <c r="G341" s="6" t="s">
        <v>16</v>
      </c>
      <c r="H341" s="59" t="s">
        <v>1026</v>
      </c>
      <c r="I341" s="58" t="s">
        <v>879</v>
      </c>
      <c r="J341" t="s">
        <v>823</v>
      </c>
      <c r="K341" t="s">
        <v>824</v>
      </c>
      <c r="L341" t="s">
        <v>1038</v>
      </c>
      <c r="M341" t="s">
        <v>1163</v>
      </c>
      <c r="N341" s="57">
        <v>1300</v>
      </c>
      <c r="O341" t="s">
        <v>100</v>
      </c>
      <c r="P341" t="s">
        <v>93</v>
      </c>
      <c r="Q341" s="3">
        <v>44291</v>
      </c>
      <c r="R341" s="10">
        <f t="shared" ca="1" si="10"/>
        <v>46229</v>
      </c>
      <c r="S341" s="7">
        <f t="shared" ca="1" si="11"/>
        <v>5.3095890410958901</v>
      </c>
    </row>
    <row r="342" spans="1:19" x14ac:dyDescent="0.25">
      <c r="A342">
        <v>1165438</v>
      </c>
      <c r="B342" t="s">
        <v>191</v>
      </c>
      <c r="C342" t="s">
        <v>17</v>
      </c>
      <c r="D342" s="6" t="s">
        <v>39</v>
      </c>
      <c r="E342" t="s">
        <v>64</v>
      </c>
      <c r="G342" s="6" t="s">
        <v>16</v>
      </c>
      <c r="H342" s="59" t="s">
        <v>92</v>
      </c>
      <c r="I342" s="58" t="s">
        <v>879</v>
      </c>
      <c r="J342" t="s">
        <v>823</v>
      </c>
      <c r="K342" t="s">
        <v>824</v>
      </c>
      <c r="L342" t="s">
        <v>1038</v>
      </c>
      <c r="M342" t="s">
        <v>1163</v>
      </c>
      <c r="N342" s="57">
        <v>6900</v>
      </c>
      <c r="O342" t="s">
        <v>100</v>
      </c>
      <c r="P342" t="s">
        <v>93</v>
      </c>
      <c r="Q342" s="3">
        <v>44837</v>
      </c>
      <c r="R342" s="10">
        <f t="shared" ca="1" si="10"/>
        <v>46229</v>
      </c>
      <c r="S342" s="7">
        <f t="shared" ca="1" si="11"/>
        <v>3.8136986301369862</v>
      </c>
    </row>
    <row r="343" spans="1:19" x14ac:dyDescent="0.25">
      <c r="A343">
        <v>1171493</v>
      </c>
      <c r="B343" t="s">
        <v>1164</v>
      </c>
      <c r="C343" t="s">
        <v>17</v>
      </c>
      <c r="D343" s="6" t="s">
        <v>22</v>
      </c>
      <c r="E343" t="s">
        <v>69</v>
      </c>
      <c r="G343" s="6" t="s">
        <v>16</v>
      </c>
      <c r="H343" s="59" t="s">
        <v>1026</v>
      </c>
      <c r="I343" s="58" t="s">
        <v>879</v>
      </c>
      <c r="J343" t="s">
        <v>823</v>
      </c>
      <c r="K343" t="s">
        <v>824</v>
      </c>
      <c r="L343" t="s">
        <v>25</v>
      </c>
      <c r="M343" t="s">
        <v>1163</v>
      </c>
      <c r="N343" s="57">
        <v>1300</v>
      </c>
      <c r="O343" t="s">
        <v>100</v>
      </c>
      <c r="P343" t="s">
        <v>93</v>
      </c>
      <c r="Q343" s="3">
        <v>45908</v>
      </c>
      <c r="R343" s="10">
        <f t="shared" ca="1" si="10"/>
        <v>46229</v>
      </c>
      <c r="S343" s="7">
        <f t="shared" ca="1" si="11"/>
        <v>0.8794520547945206</v>
      </c>
    </row>
    <row r="344" spans="1:19" x14ac:dyDescent="0.25">
      <c r="A344">
        <v>1228566</v>
      </c>
      <c r="B344" t="s">
        <v>1151</v>
      </c>
      <c r="C344" t="s">
        <v>17</v>
      </c>
      <c r="D344" s="6" t="s">
        <v>22</v>
      </c>
      <c r="E344" t="s">
        <v>69</v>
      </c>
      <c r="G344" s="6" t="s">
        <v>16</v>
      </c>
      <c r="H344" s="59" t="s">
        <v>1026</v>
      </c>
      <c r="I344" s="58" t="s">
        <v>879</v>
      </c>
      <c r="J344" t="s">
        <v>823</v>
      </c>
      <c r="K344" t="s">
        <v>824</v>
      </c>
      <c r="L344" t="s">
        <v>91</v>
      </c>
      <c r="M344" t="s">
        <v>1163</v>
      </c>
      <c r="N344" s="57">
        <v>1300</v>
      </c>
      <c r="O344" t="s">
        <v>100</v>
      </c>
      <c r="P344" t="s">
        <v>93</v>
      </c>
      <c r="Q344" s="3">
        <v>46098</v>
      </c>
      <c r="R344" s="10">
        <f t="shared" ca="1" si="10"/>
        <v>46229</v>
      </c>
      <c r="S344" s="7">
        <f t="shared" ca="1" si="11"/>
        <v>0.35890410958904112</v>
      </c>
    </row>
    <row r="345" spans="1:19" x14ac:dyDescent="0.25">
      <c r="A345">
        <v>1232567</v>
      </c>
      <c r="B345" t="s">
        <v>1480</v>
      </c>
      <c r="C345" t="s">
        <v>17</v>
      </c>
      <c r="D345" s="6" t="s">
        <v>22</v>
      </c>
      <c r="E345" t="s">
        <v>69</v>
      </c>
      <c r="G345" s="6" t="s">
        <v>16</v>
      </c>
      <c r="H345" s="59" t="s">
        <v>1026</v>
      </c>
      <c r="I345" s="58" t="s">
        <v>879</v>
      </c>
      <c r="J345" t="s">
        <v>823</v>
      </c>
      <c r="K345" t="s">
        <v>824</v>
      </c>
      <c r="L345" t="s">
        <v>1038</v>
      </c>
      <c r="M345" t="s">
        <v>1163</v>
      </c>
      <c r="N345" s="57">
        <v>1300</v>
      </c>
      <c r="O345" t="s">
        <v>100</v>
      </c>
      <c r="P345" t="s">
        <v>93</v>
      </c>
      <c r="Q345" s="3">
        <v>46160</v>
      </c>
      <c r="R345" s="10">
        <f t="shared" ca="1" si="10"/>
        <v>46229</v>
      </c>
      <c r="S345" s="7">
        <f t="shared" ca="1" si="11"/>
        <v>0.18904109589041096</v>
      </c>
    </row>
    <row r="346" spans="1:19" x14ac:dyDescent="0.25">
      <c r="A346">
        <v>1234022</v>
      </c>
      <c r="B346" t="s">
        <v>1808</v>
      </c>
      <c r="C346" t="s">
        <v>17</v>
      </c>
      <c r="D346" s="6" t="s">
        <v>22</v>
      </c>
      <c r="E346" t="s">
        <v>69</v>
      </c>
      <c r="G346" s="6" t="s">
        <v>16</v>
      </c>
      <c r="H346" s="59" t="s">
        <v>1026</v>
      </c>
      <c r="I346" s="58" t="s">
        <v>879</v>
      </c>
      <c r="J346" t="s">
        <v>823</v>
      </c>
      <c r="K346" t="s">
        <v>824</v>
      </c>
      <c r="L346" t="s">
        <v>1038</v>
      </c>
      <c r="M346" t="s">
        <v>1163</v>
      </c>
      <c r="N346" s="57">
        <v>1300</v>
      </c>
      <c r="O346" t="s">
        <v>100</v>
      </c>
      <c r="P346" t="s">
        <v>93</v>
      </c>
      <c r="Q346" s="3">
        <v>46188</v>
      </c>
      <c r="R346" s="10">
        <f t="shared" ca="1" si="10"/>
        <v>46229</v>
      </c>
      <c r="S346" s="7">
        <f t="shared" ca="1" si="11"/>
        <v>0.11232876712328767</v>
      </c>
    </row>
    <row r="347" spans="1:19" x14ac:dyDescent="0.25">
      <c r="A347">
        <v>1234056</v>
      </c>
      <c r="B347" t="s">
        <v>1811</v>
      </c>
      <c r="C347" t="s">
        <v>17</v>
      </c>
      <c r="D347" s="6" t="s">
        <v>22</v>
      </c>
      <c r="E347" t="s">
        <v>69</v>
      </c>
      <c r="G347" s="6" t="s">
        <v>16</v>
      </c>
      <c r="H347" s="59" t="s">
        <v>1026</v>
      </c>
      <c r="I347" s="58" t="s">
        <v>879</v>
      </c>
      <c r="J347" t="s">
        <v>823</v>
      </c>
      <c r="K347" t="s">
        <v>824</v>
      </c>
      <c r="L347" t="s">
        <v>1038</v>
      </c>
      <c r="M347" t="s">
        <v>1163</v>
      </c>
      <c r="N347" s="57">
        <v>1300</v>
      </c>
      <c r="O347" t="s">
        <v>100</v>
      </c>
      <c r="P347" t="s">
        <v>93</v>
      </c>
      <c r="Q347" s="3">
        <v>46188</v>
      </c>
      <c r="R347" s="10">
        <f t="shared" ca="1" si="10"/>
        <v>46229</v>
      </c>
      <c r="S347" s="7">
        <f t="shared" ca="1" si="11"/>
        <v>0.11232876712328767</v>
      </c>
    </row>
    <row r="348" spans="1:19" x14ac:dyDescent="0.25">
      <c r="A348">
        <v>1001752</v>
      </c>
      <c r="B348" t="s">
        <v>1583</v>
      </c>
      <c r="C348" t="s">
        <v>1044</v>
      </c>
      <c r="D348" s="6" t="s">
        <v>22</v>
      </c>
      <c r="E348" t="s">
        <v>21</v>
      </c>
      <c r="G348" s="6" t="s">
        <v>968</v>
      </c>
      <c r="H348" s="59" t="s">
        <v>1020</v>
      </c>
      <c r="I348" s="58" t="s">
        <v>838</v>
      </c>
      <c r="J348" t="s">
        <v>839</v>
      </c>
      <c r="K348" t="s">
        <v>830</v>
      </c>
      <c r="L348" t="s">
        <v>91</v>
      </c>
      <c r="M348" t="s">
        <v>1163</v>
      </c>
      <c r="N348" s="57">
        <v>1200</v>
      </c>
      <c r="O348" t="s">
        <v>100</v>
      </c>
      <c r="P348" t="s">
        <v>93</v>
      </c>
      <c r="Q348" s="3">
        <v>46170</v>
      </c>
      <c r="R348" s="10">
        <f t="shared" ca="1" si="10"/>
        <v>46229</v>
      </c>
      <c r="S348" s="7">
        <f t="shared" ca="1" si="11"/>
        <v>0.16164383561643836</v>
      </c>
    </row>
    <row r="349" spans="1:19" x14ac:dyDescent="0.25">
      <c r="A349">
        <v>1007445</v>
      </c>
      <c r="B349" t="s">
        <v>112</v>
      </c>
      <c r="C349" t="s">
        <v>17</v>
      </c>
      <c r="D349" s="6" t="s">
        <v>22</v>
      </c>
      <c r="E349" t="s">
        <v>55</v>
      </c>
      <c r="G349" s="6" t="s">
        <v>968</v>
      </c>
      <c r="H349" s="59" t="s">
        <v>1020</v>
      </c>
      <c r="I349" s="58" t="s">
        <v>838</v>
      </c>
      <c r="J349" t="s">
        <v>839</v>
      </c>
      <c r="K349" t="s">
        <v>830</v>
      </c>
      <c r="L349" t="s">
        <v>91</v>
      </c>
      <c r="M349" t="s">
        <v>1163</v>
      </c>
      <c r="N349" s="57">
        <v>1200</v>
      </c>
      <c r="O349" t="s">
        <v>100</v>
      </c>
      <c r="P349" t="s">
        <v>93</v>
      </c>
      <c r="Q349" s="3">
        <v>45561</v>
      </c>
      <c r="R349" s="10">
        <f t="shared" ca="1" si="10"/>
        <v>46229</v>
      </c>
      <c r="S349" s="7">
        <f t="shared" ca="1" si="11"/>
        <v>1.8301369863013699</v>
      </c>
    </row>
    <row r="350" spans="1:19" x14ac:dyDescent="0.25">
      <c r="A350">
        <v>1008694</v>
      </c>
      <c r="B350" t="s">
        <v>1585</v>
      </c>
      <c r="C350" t="s">
        <v>1044</v>
      </c>
      <c r="D350" s="6" t="s">
        <v>22</v>
      </c>
      <c r="E350" t="s">
        <v>21</v>
      </c>
      <c r="G350" s="6" t="s">
        <v>968</v>
      </c>
      <c r="H350" s="59" t="s">
        <v>1020</v>
      </c>
      <c r="I350" s="58" t="s">
        <v>838</v>
      </c>
      <c r="J350" t="s">
        <v>839</v>
      </c>
      <c r="K350" t="s">
        <v>830</v>
      </c>
      <c r="L350" t="s">
        <v>91</v>
      </c>
      <c r="M350" t="s">
        <v>1163</v>
      </c>
      <c r="N350" s="57">
        <v>1200</v>
      </c>
      <c r="O350" t="s">
        <v>100</v>
      </c>
      <c r="P350" t="s">
        <v>93</v>
      </c>
      <c r="Q350" s="3">
        <v>46170</v>
      </c>
      <c r="R350" s="10">
        <f t="shared" ca="1" si="10"/>
        <v>46229</v>
      </c>
      <c r="S350" s="7">
        <f t="shared" ca="1" si="11"/>
        <v>0.16164383561643836</v>
      </c>
    </row>
    <row r="351" spans="1:19" x14ac:dyDescent="0.25">
      <c r="A351">
        <v>1009061</v>
      </c>
      <c r="B351" t="s">
        <v>121</v>
      </c>
      <c r="C351" t="s">
        <v>17</v>
      </c>
      <c r="D351" s="6" t="s">
        <v>22</v>
      </c>
      <c r="E351" t="s">
        <v>55</v>
      </c>
      <c r="G351" s="6" t="s">
        <v>968</v>
      </c>
      <c r="H351" s="59" t="s">
        <v>1020</v>
      </c>
      <c r="I351" s="58" t="s">
        <v>838</v>
      </c>
      <c r="J351" t="s">
        <v>839</v>
      </c>
      <c r="K351" t="s">
        <v>830</v>
      </c>
      <c r="L351" t="s">
        <v>91</v>
      </c>
      <c r="M351" t="s">
        <v>1163</v>
      </c>
      <c r="N351" s="57">
        <v>1200</v>
      </c>
      <c r="O351" t="s">
        <v>100</v>
      </c>
      <c r="P351" t="s">
        <v>93</v>
      </c>
      <c r="Q351" s="3">
        <v>42842</v>
      </c>
      <c r="R351" s="10">
        <f t="shared" ca="1" si="10"/>
        <v>46229</v>
      </c>
      <c r="S351" s="7">
        <f t="shared" ca="1" si="11"/>
        <v>9.2794520547945201</v>
      </c>
    </row>
    <row r="352" spans="1:19" x14ac:dyDescent="0.25">
      <c r="A352">
        <v>28159</v>
      </c>
      <c r="B352" t="s">
        <v>1602</v>
      </c>
      <c r="C352" t="s">
        <v>17</v>
      </c>
      <c r="D352" s="6" t="s">
        <v>22</v>
      </c>
      <c r="E352" t="s">
        <v>55</v>
      </c>
      <c r="G352" s="6" t="s">
        <v>968</v>
      </c>
      <c r="H352" s="59" t="s">
        <v>1020</v>
      </c>
      <c r="I352" s="58" t="s">
        <v>838</v>
      </c>
      <c r="J352" t="s">
        <v>839</v>
      </c>
      <c r="K352" t="s">
        <v>830</v>
      </c>
      <c r="L352" t="s">
        <v>91</v>
      </c>
      <c r="M352" t="s">
        <v>1163</v>
      </c>
      <c r="N352" s="57">
        <v>1200</v>
      </c>
      <c r="O352" t="s">
        <v>100</v>
      </c>
      <c r="P352" t="s">
        <v>93</v>
      </c>
      <c r="Q352" s="3">
        <v>43269</v>
      </c>
      <c r="R352" s="10">
        <f t="shared" ca="1" si="10"/>
        <v>46229</v>
      </c>
      <c r="S352" s="7">
        <f t="shared" ca="1" si="11"/>
        <v>8.1095890410958908</v>
      </c>
    </row>
    <row r="353" spans="1:19" x14ac:dyDescent="0.25">
      <c r="A353">
        <v>25696</v>
      </c>
      <c r="B353" t="s">
        <v>321</v>
      </c>
      <c r="C353" t="s">
        <v>17</v>
      </c>
      <c r="D353" s="6" t="s">
        <v>22</v>
      </c>
      <c r="E353" t="s">
        <v>55</v>
      </c>
      <c r="G353" s="6" t="s">
        <v>968</v>
      </c>
      <c r="H353" s="59" t="s">
        <v>1020</v>
      </c>
      <c r="I353" s="58" t="s">
        <v>838</v>
      </c>
      <c r="J353" t="s">
        <v>839</v>
      </c>
      <c r="K353" t="s">
        <v>830</v>
      </c>
      <c r="L353" t="s">
        <v>91</v>
      </c>
      <c r="M353" t="s">
        <v>1163</v>
      </c>
      <c r="N353" s="57">
        <v>1200</v>
      </c>
      <c r="O353" t="s">
        <v>100</v>
      </c>
      <c r="P353" t="s">
        <v>93</v>
      </c>
      <c r="Q353" s="3">
        <v>36745</v>
      </c>
      <c r="R353" s="10">
        <f t="shared" ca="1" si="10"/>
        <v>46229</v>
      </c>
      <c r="S353" s="7">
        <f t="shared" ca="1" si="11"/>
        <v>25.983561643835618</v>
      </c>
    </row>
    <row r="354" spans="1:19" x14ac:dyDescent="0.25">
      <c r="A354">
        <v>30036</v>
      </c>
      <c r="B354" t="s">
        <v>364</v>
      </c>
      <c r="C354" t="s">
        <v>17</v>
      </c>
      <c r="D354" s="6" t="s">
        <v>22</v>
      </c>
      <c r="E354" t="s">
        <v>55</v>
      </c>
      <c r="G354" s="6" t="s">
        <v>968</v>
      </c>
      <c r="H354" s="59" t="s">
        <v>1020</v>
      </c>
      <c r="I354" s="58" t="s">
        <v>838</v>
      </c>
      <c r="J354" t="s">
        <v>839</v>
      </c>
      <c r="K354" t="s">
        <v>830</v>
      </c>
      <c r="L354" t="s">
        <v>91</v>
      </c>
      <c r="M354" t="s">
        <v>1163</v>
      </c>
      <c r="N354" s="57">
        <v>1200</v>
      </c>
      <c r="O354" t="s">
        <v>100</v>
      </c>
      <c r="P354" t="s">
        <v>93</v>
      </c>
      <c r="Q354" s="3">
        <v>39895</v>
      </c>
      <c r="R354" s="10">
        <f t="shared" ca="1" si="10"/>
        <v>46229</v>
      </c>
      <c r="S354" s="7">
        <f t="shared" ca="1" si="11"/>
        <v>17.353424657534248</v>
      </c>
    </row>
    <row r="355" spans="1:19" x14ac:dyDescent="0.25">
      <c r="A355">
        <v>3006193</v>
      </c>
      <c r="B355" t="s">
        <v>1358</v>
      </c>
      <c r="C355" t="s">
        <v>1044</v>
      </c>
      <c r="D355" s="6" t="s">
        <v>22</v>
      </c>
      <c r="E355" t="s">
        <v>21</v>
      </c>
      <c r="G355" s="6" t="s">
        <v>968</v>
      </c>
      <c r="H355" s="59" t="s">
        <v>1020</v>
      </c>
      <c r="I355" s="58" t="s">
        <v>838</v>
      </c>
      <c r="J355" t="s">
        <v>839</v>
      </c>
      <c r="K355" t="s">
        <v>830</v>
      </c>
      <c r="L355" t="s">
        <v>91</v>
      </c>
      <c r="M355" t="s">
        <v>1163</v>
      </c>
      <c r="N355" s="57">
        <v>1200</v>
      </c>
      <c r="O355" t="s">
        <v>100</v>
      </c>
      <c r="P355" t="s">
        <v>93</v>
      </c>
      <c r="Q355" s="3">
        <v>46125</v>
      </c>
      <c r="R355" s="10">
        <f t="shared" ca="1" si="10"/>
        <v>46229</v>
      </c>
      <c r="S355" s="7">
        <f t="shared" ca="1" si="11"/>
        <v>0.28493150684931506</v>
      </c>
    </row>
    <row r="356" spans="1:19" x14ac:dyDescent="0.25">
      <c r="A356">
        <v>34891</v>
      </c>
      <c r="B356" t="s">
        <v>405</v>
      </c>
      <c r="C356" t="s">
        <v>17</v>
      </c>
      <c r="D356" s="6" t="s">
        <v>22</v>
      </c>
      <c r="E356" t="s">
        <v>72</v>
      </c>
      <c r="G356" s="6" t="s">
        <v>968</v>
      </c>
      <c r="H356" s="59" t="s">
        <v>1020</v>
      </c>
      <c r="I356" s="58" t="s">
        <v>838</v>
      </c>
      <c r="J356" t="s">
        <v>839</v>
      </c>
      <c r="K356" t="s">
        <v>830</v>
      </c>
      <c r="L356" t="s">
        <v>91</v>
      </c>
      <c r="M356" t="s">
        <v>1163</v>
      </c>
      <c r="N356" s="57">
        <v>1300</v>
      </c>
      <c r="O356" t="s">
        <v>100</v>
      </c>
      <c r="P356" t="s">
        <v>93</v>
      </c>
      <c r="Q356" s="3">
        <v>36493</v>
      </c>
      <c r="R356" s="10">
        <f t="shared" ca="1" si="10"/>
        <v>46229</v>
      </c>
      <c r="S356" s="7">
        <f t="shared" ca="1" si="11"/>
        <v>26.673972602739727</v>
      </c>
    </row>
    <row r="357" spans="1:19" x14ac:dyDescent="0.25">
      <c r="A357">
        <v>4004444</v>
      </c>
      <c r="B357" t="s">
        <v>423</v>
      </c>
      <c r="C357" t="s">
        <v>17</v>
      </c>
      <c r="D357" s="6" t="s">
        <v>22</v>
      </c>
      <c r="E357" t="s">
        <v>55</v>
      </c>
      <c r="G357" s="6" t="s">
        <v>968</v>
      </c>
      <c r="H357" s="59" t="s">
        <v>1020</v>
      </c>
      <c r="I357" s="58" t="s">
        <v>838</v>
      </c>
      <c r="J357" t="s">
        <v>839</v>
      </c>
      <c r="K357" t="s">
        <v>830</v>
      </c>
      <c r="L357" t="s">
        <v>91</v>
      </c>
      <c r="M357" t="s">
        <v>1163</v>
      </c>
      <c r="N357" s="57">
        <v>1200</v>
      </c>
      <c r="O357" t="s">
        <v>100</v>
      </c>
      <c r="P357" t="s">
        <v>93</v>
      </c>
      <c r="Q357" s="3">
        <v>44728</v>
      </c>
      <c r="R357" s="10">
        <f t="shared" ca="1" si="10"/>
        <v>46229</v>
      </c>
      <c r="S357" s="7">
        <f t="shared" ca="1" si="11"/>
        <v>4.1123287671232873</v>
      </c>
    </row>
    <row r="358" spans="1:19" x14ac:dyDescent="0.25">
      <c r="A358">
        <v>4014918</v>
      </c>
      <c r="B358" t="s">
        <v>1052</v>
      </c>
      <c r="C358" t="s">
        <v>17</v>
      </c>
      <c r="D358" s="6" t="s">
        <v>22</v>
      </c>
      <c r="E358" t="s">
        <v>21</v>
      </c>
      <c r="G358" s="6" t="s">
        <v>968</v>
      </c>
      <c r="H358" s="59" t="s">
        <v>1020</v>
      </c>
      <c r="I358" s="58" t="s">
        <v>838</v>
      </c>
      <c r="J358" t="s">
        <v>839</v>
      </c>
      <c r="K358" t="s">
        <v>830</v>
      </c>
      <c r="L358" t="s">
        <v>91</v>
      </c>
      <c r="M358" t="s">
        <v>1163</v>
      </c>
      <c r="N358" s="57">
        <v>1200</v>
      </c>
      <c r="O358" t="s">
        <v>100</v>
      </c>
      <c r="P358" t="s">
        <v>93</v>
      </c>
      <c r="Q358" s="3">
        <v>46072</v>
      </c>
      <c r="R358" s="10">
        <f t="shared" ca="1" si="10"/>
        <v>46229</v>
      </c>
      <c r="S358" s="7">
        <f t="shared" ca="1" si="11"/>
        <v>0.43013698630136987</v>
      </c>
    </row>
    <row r="359" spans="1:19" x14ac:dyDescent="0.25">
      <c r="A359">
        <v>4023462</v>
      </c>
      <c r="B359" t="s">
        <v>1614</v>
      </c>
      <c r="C359" t="s">
        <v>1044</v>
      </c>
      <c r="D359" s="6" t="s">
        <v>22</v>
      </c>
      <c r="E359" t="s">
        <v>21</v>
      </c>
      <c r="G359" s="6" t="s">
        <v>968</v>
      </c>
      <c r="H359" s="59" t="s">
        <v>1020</v>
      </c>
      <c r="I359" s="58" t="s">
        <v>838</v>
      </c>
      <c r="J359" t="s">
        <v>839</v>
      </c>
      <c r="K359" t="s">
        <v>830</v>
      </c>
      <c r="L359" t="s">
        <v>91</v>
      </c>
      <c r="M359" t="s">
        <v>1163</v>
      </c>
      <c r="N359" s="57">
        <v>1200</v>
      </c>
      <c r="O359" t="s">
        <v>100</v>
      </c>
      <c r="P359" t="s">
        <v>93</v>
      </c>
      <c r="Q359" s="3">
        <v>46174</v>
      </c>
      <c r="R359" s="10">
        <f t="shared" ca="1" si="10"/>
        <v>46229</v>
      </c>
      <c r="S359" s="7">
        <f t="shared" ca="1" si="11"/>
        <v>0.15068493150684931</v>
      </c>
    </row>
    <row r="360" spans="1:19" x14ac:dyDescent="0.25">
      <c r="A360">
        <v>4034978</v>
      </c>
      <c r="B360" t="s">
        <v>1616</v>
      </c>
      <c r="C360" t="s">
        <v>1044</v>
      </c>
      <c r="D360" s="6" t="s">
        <v>22</v>
      </c>
      <c r="E360" t="s">
        <v>21</v>
      </c>
      <c r="G360" s="6" t="s">
        <v>968</v>
      </c>
      <c r="H360" s="59" t="s">
        <v>1020</v>
      </c>
      <c r="I360" s="58" t="s">
        <v>838</v>
      </c>
      <c r="J360" t="s">
        <v>839</v>
      </c>
      <c r="K360" t="s">
        <v>830</v>
      </c>
      <c r="L360" t="s">
        <v>91</v>
      </c>
      <c r="M360" t="s">
        <v>1163</v>
      </c>
      <c r="N360" s="57">
        <v>1200</v>
      </c>
      <c r="O360" t="s">
        <v>100</v>
      </c>
      <c r="P360" t="s">
        <v>93</v>
      </c>
      <c r="Q360" s="3">
        <v>46170</v>
      </c>
      <c r="R360" s="10">
        <f t="shared" ca="1" si="10"/>
        <v>46229</v>
      </c>
      <c r="S360" s="7">
        <f t="shared" ca="1" si="11"/>
        <v>0.16164383561643836</v>
      </c>
    </row>
    <row r="361" spans="1:19" x14ac:dyDescent="0.25">
      <c r="A361">
        <v>4052998</v>
      </c>
      <c r="B361" t="s">
        <v>1620</v>
      </c>
      <c r="C361" t="s">
        <v>1044</v>
      </c>
      <c r="D361" s="6" t="s">
        <v>22</v>
      </c>
      <c r="E361" t="s">
        <v>21</v>
      </c>
      <c r="G361" s="6" t="s">
        <v>968</v>
      </c>
      <c r="H361" s="59" t="s">
        <v>1020</v>
      </c>
      <c r="I361" s="58" t="s">
        <v>838</v>
      </c>
      <c r="J361" t="s">
        <v>839</v>
      </c>
      <c r="K361" t="s">
        <v>830</v>
      </c>
      <c r="L361" t="s">
        <v>91</v>
      </c>
      <c r="M361" t="s">
        <v>1163</v>
      </c>
      <c r="N361" s="57">
        <v>1200</v>
      </c>
      <c r="O361" t="s">
        <v>100</v>
      </c>
      <c r="P361" t="s">
        <v>93</v>
      </c>
      <c r="Q361" s="3">
        <v>46170</v>
      </c>
      <c r="R361" s="10">
        <f t="shared" ca="1" si="10"/>
        <v>46229</v>
      </c>
      <c r="S361" s="7">
        <f t="shared" ca="1" si="11"/>
        <v>0.16164383561643836</v>
      </c>
    </row>
    <row r="362" spans="1:19" x14ac:dyDescent="0.25">
      <c r="A362">
        <v>4053898</v>
      </c>
      <c r="B362" t="s">
        <v>1056</v>
      </c>
      <c r="C362" t="s">
        <v>17</v>
      </c>
      <c r="D362" s="6" t="s">
        <v>22</v>
      </c>
      <c r="E362" t="s">
        <v>21</v>
      </c>
      <c r="G362" s="6" t="s">
        <v>968</v>
      </c>
      <c r="H362" s="59" t="s">
        <v>1020</v>
      </c>
      <c r="I362" s="58" t="s">
        <v>838</v>
      </c>
      <c r="J362" t="s">
        <v>839</v>
      </c>
      <c r="K362" t="s">
        <v>830</v>
      </c>
      <c r="L362" t="s">
        <v>91</v>
      </c>
      <c r="M362" t="s">
        <v>1163</v>
      </c>
      <c r="N362" s="57">
        <v>1200</v>
      </c>
      <c r="O362" t="s">
        <v>100</v>
      </c>
      <c r="P362" t="s">
        <v>93</v>
      </c>
      <c r="Q362" s="3">
        <v>46072</v>
      </c>
      <c r="R362" s="10">
        <f t="shared" ca="1" si="10"/>
        <v>46229</v>
      </c>
      <c r="S362" s="7">
        <f t="shared" ca="1" si="11"/>
        <v>0.43013698630136987</v>
      </c>
    </row>
    <row r="363" spans="1:19" x14ac:dyDescent="0.25">
      <c r="A363">
        <v>4059378</v>
      </c>
      <c r="B363" t="s">
        <v>499</v>
      </c>
      <c r="C363" t="s">
        <v>17</v>
      </c>
      <c r="D363" s="6" t="s">
        <v>22</v>
      </c>
      <c r="E363" t="s">
        <v>21</v>
      </c>
      <c r="G363" s="6" t="s">
        <v>968</v>
      </c>
      <c r="H363" s="59" t="s">
        <v>1020</v>
      </c>
      <c r="I363" s="58" t="s">
        <v>838</v>
      </c>
      <c r="J363" t="s">
        <v>839</v>
      </c>
      <c r="K363" t="s">
        <v>830</v>
      </c>
      <c r="L363" t="s">
        <v>91</v>
      </c>
      <c r="M363" t="s">
        <v>1163</v>
      </c>
      <c r="N363" s="57">
        <v>1200</v>
      </c>
      <c r="O363" t="s">
        <v>100</v>
      </c>
      <c r="P363" t="s">
        <v>93</v>
      </c>
      <c r="Q363" s="3">
        <v>44718</v>
      </c>
      <c r="R363" s="10">
        <f t="shared" ca="1" si="10"/>
        <v>46229</v>
      </c>
      <c r="S363" s="7">
        <f t="shared" ca="1" si="11"/>
        <v>4.13972602739726</v>
      </c>
    </row>
    <row r="364" spans="1:19" x14ac:dyDescent="0.25">
      <c r="A364">
        <v>4070676</v>
      </c>
      <c r="B364" t="s">
        <v>1059</v>
      </c>
      <c r="C364" t="s">
        <v>17</v>
      </c>
      <c r="D364" s="6" t="s">
        <v>22</v>
      </c>
      <c r="E364" t="s">
        <v>21</v>
      </c>
      <c r="G364" s="6" t="s">
        <v>968</v>
      </c>
      <c r="H364" s="59" t="s">
        <v>1020</v>
      </c>
      <c r="I364" s="58" t="s">
        <v>838</v>
      </c>
      <c r="J364" t="s">
        <v>839</v>
      </c>
      <c r="K364" t="s">
        <v>830</v>
      </c>
      <c r="L364" t="s">
        <v>91</v>
      </c>
      <c r="M364" t="s">
        <v>1163</v>
      </c>
      <c r="N364" s="57">
        <v>1200</v>
      </c>
      <c r="O364" t="s">
        <v>100</v>
      </c>
      <c r="P364" t="s">
        <v>93</v>
      </c>
      <c r="Q364" s="3">
        <v>46072</v>
      </c>
      <c r="R364" s="10">
        <f t="shared" ca="1" si="10"/>
        <v>46229</v>
      </c>
      <c r="S364" s="7">
        <f t="shared" ca="1" si="11"/>
        <v>0.43013698630136987</v>
      </c>
    </row>
    <row r="365" spans="1:19" x14ac:dyDescent="0.25">
      <c r="A365">
        <v>4078418</v>
      </c>
      <c r="B365" t="s">
        <v>1363</v>
      </c>
      <c r="C365" t="s">
        <v>1044</v>
      </c>
      <c r="D365" s="6" t="s">
        <v>22</v>
      </c>
      <c r="E365" t="s">
        <v>21</v>
      </c>
      <c r="G365" s="6" t="s">
        <v>968</v>
      </c>
      <c r="H365" s="59" t="s">
        <v>1020</v>
      </c>
      <c r="I365" s="58" t="s">
        <v>838</v>
      </c>
      <c r="J365" t="s">
        <v>839</v>
      </c>
      <c r="K365" t="s">
        <v>830</v>
      </c>
      <c r="L365" t="s">
        <v>91</v>
      </c>
      <c r="M365" t="s">
        <v>1163</v>
      </c>
      <c r="N365" s="57">
        <v>1200</v>
      </c>
      <c r="O365" t="s">
        <v>100</v>
      </c>
      <c r="P365" t="s">
        <v>93</v>
      </c>
      <c r="Q365" s="3">
        <v>46125</v>
      </c>
      <c r="R365" s="10">
        <f t="shared" ca="1" si="10"/>
        <v>46229</v>
      </c>
      <c r="S365" s="7">
        <f t="shared" ca="1" si="11"/>
        <v>0.28493150684931506</v>
      </c>
    </row>
    <row r="366" spans="1:19" x14ac:dyDescent="0.25">
      <c r="A366">
        <v>4089687</v>
      </c>
      <c r="B366" t="s">
        <v>1548</v>
      </c>
      <c r="C366" t="s">
        <v>1044</v>
      </c>
      <c r="D366" s="6" t="s">
        <v>22</v>
      </c>
      <c r="E366" t="s">
        <v>21</v>
      </c>
      <c r="G366" s="6" t="s">
        <v>968</v>
      </c>
      <c r="H366" s="59" t="s">
        <v>1020</v>
      </c>
      <c r="I366" s="58" t="s">
        <v>838</v>
      </c>
      <c r="J366" t="s">
        <v>839</v>
      </c>
      <c r="K366" t="s">
        <v>830</v>
      </c>
      <c r="L366" t="s">
        <v>91</v>
      </c>
      <c r="M366" t="s">
        <v>1163</v>
      </c>
      <c r="N366" s="57">
        <v>1200</v>
      </c>
      <c r="O366" t="s">
        <v>100</v>
      </c>
      <c r="P366" t="s">
        <v>93</v>
      </c>
      <c r="Q366" s="3">
        <v>46170</v>
      </c>
      <c r="R366" s="10">
        <f t="shared" ca="1" si="10"/>
        <v>46229</v>
      </c>
      <c r="S366" s="7">
        <f t="shared" ca="1" si="11"/>
        <v>0.16164383561643836</v>
      </c>
    </row>
    <row r="367" spans="1:19" x14ac:dyDescent="0.25">
      <c r="A367">
        <v>4096061</v>
      </c>
      <c r="B367" t="s">
        <v>1637</v>
      </c>
      <c r="C367" t="s">
        <v>1044</v>
      </c>
      <c r="D367" s="6" t="s">
        <v>22</v>
      </c>
      <c r="E367" t="s">
        <v>21</v>
      </c>
      <c r="G367" s="6" t="s">
        <v>968</v>
      </c>
      <c r="H367" s="59" t="s">
        <v>1020</v>
      </c>
      <c r="I367" s="58" t="s">
        <v>838</v>
      </c>
      <c r="J367" t="s">
        <v>839</v>
      </c>
      <c r="K367" t="s">
        <v>830</v>
      </c>
      <c r="L367" t="s">
        <v>91</v>
      </c>
      <c r="M367" t="s">
        <v>1163</v>
      </c>
      <c r="N367" s="57">
        <v>1200</v>
      </c>
      <c r="O367" t="s">
        <v>100</v>
      </c>
      <c r="P367" t="s">
        <v>93</v>
      </c>
      <c r="Q367" s="3">
        <v>46170</v>
      </c>
      <c r="R367" s="10">
        <f t="shared" ca="1" si="10"/>
        <v>46229</v>
      </c>
      <c r="S367" s="7">
        <f t="shared" ca="1" si="11"/>
        <v>0.16164383561643836</v>
      </c>
    </row>
    <row r="368" spans="1:19" x14ac:dyDescent="0.25">
      <c r="A368">
        <v>4100698</v>
      </c>
      <c r="B368" t="s">
        <v>610</v>
      </c>
      <c r="C368" t="s">
        <v>17</v>
      </c>
      <c r="D368" s="6" t="s">
        <v>22</v>
      </c>
      <c r="E368" t="s">
        <v>55</v>
      </c>
      <c r="G368" s="6" t="s">
        <v>968</v>
      </c>
      <c r="H368" s="59" t="s">
        <v>1020</v>
      </c>
      <c r="I368" s="58" t="s">
        <v>838</v>
      </c>
      <c r="J368" t="s">
        <v>839</v>
      </c>
      <c r="K368" t="s">
        <v>830</v>
      </c>
      <c r="L368" t="s">
        <v>91</v>
      </c>
      <c r="M368" t="s">
        <v>1163</v>
      </c>
      <c r="N368" s="57">
        <v>1200</v>
      </c>
      <c r="O368" t="s">
        <v>100</v>
      </c>
      <c r="P368" t="s">
        <v>93</v>
      </c>
      <c r="Q368" s="3">
        <v>45439</v>
      </c>
      <c r="R368" s="10">
        <f t="shared" ca="1" si="10"/>
        <v>46229</v>
      </c>
      <c r="S368" s="7">
        <f t="shared" ca="1" si="11"/>
        <v>2.1643835616438358</v>
      </c>
    </row>
    <row r="369" spans="1:19" x14ac:dyDescent="0.25">
      <c r="A369">
        <v>4103340</v>
      </c>
      <c r="B369" t="s">
        <v>641</v>
      </c>
      <c r="C369" t="s">
        <v>17</v>
      </c>
      <c r="D369" s="6" t="s">
        <v>22</v>
      </c>
      <c r="E369" t="s">
        <v>55</v>
      </c>
      <c r="G369" s="6" t="s">
        <v>968</v>
      </c>
      <c r="H369" s="59" t="s">
        <v>1020</v>
      </c>
      <c r="I369" s="58" t="s">
        <v>838</v>
      </c>
      <c r="J369" t="s">
        <v>839</v>
      </c>
      <c r="K369" t="s">
        <v>830</v>
      </c>
      <c r="L369" t="s">
        <v>1038</v>
      </c>
      <c r="M369" t="s">
        <v>1163</v>
      </c>
      <c r="N369" s="57">
        <v>1200</v>
      </c>
      <c r="O369" t="s">
        <v>100</v>
      </c>
      <c r="P369" t="s">
        <v>93</v>
      </c>
      <c r="Q369" s="3">
        <v>45505</v>
      </c>
      <c r="R369" s="10">
        <f t="shared" ca="1" si="10"/>
        <v>46229</v>
      </c>
      <c r="S369" s="7">
        <f t="shared" ca="1" si="11"/>
        <v>1.9835616438356165</v>
      </c>
    </row>
    <row r="370" spans="1:19" x14ac:dyDescent="0.25">
      <c r="A370">
        <v>4103342</v>
      </c>
      <c r="B370" t="s">
        <v>642</v>
      </c>
      <c r="C370" t="s">
        <v>17</v>
      </c>
      <c r="D370" s="6" t="s">
        <v>22</v>
      </c>
      <c r="E370" t="s">
        <v>55</v>
      </c>
      <c r="G370" s="6" t="s">
        <v>968</v>
      </c>
      <c r="H370" s="59" t="s">
        <v>1020</v>
      </c>
      <c r="I370" s="58" t="s">
        <v>838</v>
      </c>
      <c r="J370" t="s">
        <v>839</v>
      </c>
      <c r="K370" t="s">
        <v>830</v>
      </c>
      <c r="L370" t="s">
        <v>91</v>
      </c>
      <c r="M370" t="s">
        <v>1163</v>
      </c>
      <c r="N370" s="57">
        <v>1200</v>
      </c>
      <c r="O370" t="s">
        <v>100</v>
      </c>
      <c r="P370" t="s">
        <v>93</v>
      </c>
      <c r="Q370" s="3">
        <v>45505</v>
      </c>
      <c r="R370" s="10">
        <f t="shared" ca="1" si="10"/>
        <v>46229</v>
      </c>
      <c r="S370" s="7">
        <f t="shared" ca="1" si="11"/>
        <v>1.9835616438356165</v>
      </c>
    </row>
    <row r="371" spans="1:19" x14ac:dyDescent="0.25">
      <c r="A371">
        <v>4118813</v>
      </c>
      <c r="B371" t="s">
        <v>1652</v>
      </c>
      <c r="C371" t="s">
        <v>1044</v>
      </c>
      <c r="D371" s="6" t="s">
        <v>22</v>
      </c>
      <c r="E371" t="s">
        <v>21</v>
      </c>
      <c r="G371" s="6" t="s">
        <v>968</v>
      </c>
      <c r="H371" s="59" t="s">
        <v>1020</v>
      </c>
      <c r="I371" s="58" t="s">
        <v>838</v>
      </c>
      <c r="J371" t="s">
        <v>839</v>
      </c>
      <c r="K371" t="s">
        <v>830</v>
      </c>
      <c r="L371" t="s">
        <v>91</v>
      </c>
      <c r="M371" t="s">
        <v>1163</v>
      </c>
      <c r="N371" s="57">
        <v>1200</v>
      </c>
      <c r="O371" t="s">
        <v>100</v>
      </c>
      <c r="P371" t="s">
        <v>93</v>
      </c>
      <c r="Q371" s="3">
        <v>46174</v>
      </c>
      <c r="R371" s="10">
        <f t="shared" ca="1" si="10"/>
        <v>46229</v>
      </c>
      <c r="S371" s="7">
        <f t="shared" ca="1" si="11"/>
        <v>0.15068493150684931</v>
      </c>
    </row>
    <row r="372" spans="1:19" x14ac:dyDescent="0.25">
      <c r="A372">
        <v>4121086</v>
      </c>
      <c r="B372" t="s">
        <v>1078</v>
      </c>
      <c r="C372" t="s">
        <v>17</v>
      </c>
      <c r="D372" s="6" t="s">
        <v>22</v>
      </c>
      <c r="E372" t="s">
        <v>55</v>
      </c>
      <c r="G372" s="6" t="s">
        <v>968</v>
      </c>
      <c r="H372" s="59" t="s">
        <v>1020</v>
      </c>
      <c r="I372" s="58" t="s">
        <v>838</v>
      </c>
      <c r="J372" t="s">
        <v>839</v>
      </c>
      <c r="K372" t="s">
        <v>830</v>
      </c>
      <c r="L372" t="s">
        <v>91</v>
      </c>
      <c r="M372" t="s">
        <v>1163</v>
      </c>
      <c r="N372" s="57">
        <v>1200</v>
      </c>
      <c r="O372" t="s">
        <v>100</v>
      </c>
      <c r="P372" t="s">
        <v>93</v>
      </c>
      <c r="Q372" s="3">
        <v>46072</v>
      </c>
      <c r="R372" s="10">
        <f t="shared" ca="1" si="10"/>
        <v>46229</v>
      </c>
      <c r="S372" s="7">
        <f t="shared" ca="1" si="11"/>
        <v>0.43013698630136987</v>
      </c>
    </row>
    <row r="373" spans="1:19" x14ac:dyDescent="0.25">
      <c r="A373">
        <v>4121090</v>
      </c>
      <c r="B373" t="s">
        <v>1081</v>
      </c>
      <c r="C373" t="s">
        <v>17</v>
      </c>
      <c r="D373" s="6" t="s">
        <v>22</v>
      </c>
      <c r="E373" t="s">
        <v>21</v>
      </c>
      <c r="G373" s="6" t="s">
        <v>968</v>
      </c>
      <c r="H373" s="59" t="s">
        <v>1020</v>
      </c>
      <c r="I373" s="58" t="s">
        <v>838</v>
      </c>
      <c r="J373" t="s">
        <v>839</v>
      </c>
      <c r="K373" t="s">
        <v>830</v>
      </c>
      <c r="L373" t="s">
        <v>91</v>
      </c>
      <c r="M373" t="s">
        <v>1163</v>
      </c>
      <c r="N373" s="57">
        <v>1200</v>
      </c>
      <c r="O373" t="s">
        <v>100</v>
      </c>
      <c r="P373" t="s">
        <v>93</v>
      </c>
      <c r="Q373" s="3">
        <v>46072</v>
      </c>
      <c r="R373" s="10">
        <f t="shared" ca="1" si="10"/>
        <v>46229</v>
      </c>
      <c r="S373" s="7">
        <f t="shared" ca="1" si="11"/>
        <v>0.43013698630136987</v>
      </c>
    </row>
    <row r="374" spans="1:19" x14ac:dyDescent="0.25">
      <c r="A374">
        <v>4121141</v>
      </c>
      <c r="B374" t="s">
        <v>1092</v>
      </c>
      <c r="C374" t="s">
        <v>17</v>
      </c>
      <c r="D374" s="6" t="s">
        <v>22</v>
      </c>
      <c r="E374" t="s">
        <v>21</v>
      </c>
      <c r="G374" s="6" t="s">
        <v>968</v>
      </c>
      <c r="H374" s="59" t="s">
        <v>1020</v>
      </c>
      <c r="I374" s="58" t="s">
        <v>838</v>
      </c>
      <c r="J374" t="s">
        <v>839</v>
      </c>
      <c r="K374" t="s">
        <v>830</v>
      </c>
      <c r="L374" t="s">
        <v>91</v>
      </c>
      <c r="M374" t="s">
        <v>1163</v>
      </c>
      <c r="N374" s="57">
        <v>1200</v>
      </c>
      <c r="O374" t="s">
        <v>100</v>
      </c>
      <c r="P374" t="s">
        <v>93</v>
      </c>
      <c r="Q374" s="3">
        <v>46072</v>
      </c>
      <c r="R374" s="10">
        <f t="shared" ca="1" si="10"/>
        <v>46229</v>
      </c>
      <c r="S374" s="7">
        <f t="shared" ca="1" si="11"/>
        <v>0.43013698630136987</v>
      </c>
    </row>
    <row r="375" spans="1:19" x14ac:dyDescent="0.25">
      <c r="A375">
        <v>4122550</v>
      </c>
      <c r="B375" t="s">
        <v>1259</v>
      </c>
      <c r="C375" t="s">
        <v>1044</v>
      </c>
      <c r="D375" s="6" t="s">
        <v>22</v>
      </c>
      <c r="E375" t="s">
        <v>21</v>
      </c>
      <c r="G375" s="6" t="s">
        <v>968</v>
      </c>
      <c r="H375" s="59" t="s">
        <v>1020</v>
      </c>
      <c r="I375" s="58" t="s">
        <v>838</v>
      </c>
      <c r="J375" t="s">
        <v>839</v>
      </c>
      <c r="K375" t="s">
        <v>830</v>
      </c>
      <c r="L375" t="s">
        <v>91</v>
      </c>
      <c r="M375" t="s">
        <v>1163</v>
      </c>
      <c r="N375" s="57">
        <v>1200</v>
      </c>
      <c r="O375" t="s">
        <v>100</v>
      </c>
      <c r="P375" t="s">
        <v>93</v>
      </c>
      <c r="Q375" s="3">
        <v>46118</v>
      </c>
      <c r="R375" s="10">
        <f t="shared" ca="1" si="10"/>
        <v>46229</v>
      </c>
      <c r="S375" s="7">
        <f t="shared" ca="1" si="11"/>
        <v>0.30410958904109592</v>
      </c>
    </row>
    <row r="376" spans="1:19" x14ac:dyDescent="0.25">
      <c r="A376">
        <v>4122768</v>
      </c>
      <c r="B376" t="s">
        <v>1304</v>
      </c>
      <c r="C376" t="s">
        <v>1044</v>
      </c>
      <c r="D376" s="6" t="s">
        <v>22</v>
      </c>
      <c r="E376" t="s">
        <v>21</v>
      </c>
      <c r="G376" s="6" t="s">
        <v>968</v>
      </c>
      <c r="H376" s="59" t="s">
        <v>1020</v>
      </c>
      <c r="I376" s="58" t="s">
        <v>838</v>
      </c>
      <c r="J376" t="s">
        <v>839</v>
      </c>
      <c r="K376" t="s">
        <v>830</v>
      </c>
      <c r="L376" t="s">
        <v>91</v>
      </c>
      <c r="M376" t="s">
        <v>1163</v>
      </c>
      <c r="N376" s="57">
        <v>1200</v>
      </c>
      <c r="O376" t="s">
        <v>100</v>
      </c>
      <c r="P376" t="s">
        <v>93</v>
      </c>
      <c r="Q376" s="3">
        <v>46121</v>
      </c>
      <c r="R376" s="10">
        <f t="shared" ca="1" si="10"/>
        <v>46229</v>
      </c>
      <c r="S376" s="7">
        <f t="shared" ca="1" si="11"/>
        <v>0.29589041095890412</v>
      </c>
    </row>
    <row r="377" spans="1:19" x14ac:dyDescent="0.25">
      <c r="A377">
        <v>4122880</v>
      </c>
      <c r="B377" t="s">
        <v>1379</v>
      </c>
      <c r="C377" t="s">
        <v>1044</v>
      </c>
      <c r="D377" s="6" t="s">
        <v>22</v>
      </c>
      <c r="E377" t="s">
        <v>21</v>
      </c>
      <c r="G377" s="6" t="s">
        <v>968</v>
      </c>
      <c r="H377" s="59" t="s">
        <v>1020</v>
      </c>
      <c r="I377" s="58" t="s">
        <v>838</v>
      </c>
      <c r="J377" t="s">
        <v>839</v>
      </c>
      <c r="K377" t="s">
        <v>830</v>
      </c>
      <c r="L377" t="s">
        <v>91</v>
      </c>
      <c r="M377" t="s">
        <v>1163</v>
      </c>
      <c r="N377" s="57">
        <v>1200</v>
      </c>
      <c r="O377" t="s">
        <v>100</v>
      </c>
      <c r="P377" t="s">
        <v>93</v>
      </c>
      <c r="Q377" s="3">
        <v>46125</v>
      </c>
      <c r="R377" s="10">
        <f t="shared" ca="1" si="10"/>
        <v>46229</v>
      </c>
      <c r="S377" s="7">
        <f t="shared" ca="1" si="11"/>
        <v>0.28493150684931506</v>
      </c>
    </row>
    <row r="378" spans="1:19" x14ac:dyDescent="0.25">
      <c r="A378">
        <v>4122911</v>
      </c>
      <c r="B378" t="s">
        <v>1392</v>
      </c>
      <c r="C378" t="s">
        <v>1044</v>
      </c>
      <c r="D378" s="6" t="s">
        <v>22</v>
      </c>
      <c r="E378" t="s">
        <v>21</v>
      </c>
      <c r="G378" s="6" t="s">
        <v>968</v>
      </c>
      <c r="H378" s="59" t="s">
        <v>1020</v>
      </c>
      <c r="I378" s="58" t="s">
        <v>838</v>
      </c>
      <c r="J378" t="s">
        <v>839</v>
      </c>
      <c r="K378" t="s">
        <v>830</v>
      </c>
      <c r="L378" t="s">
        <v>91</v>
      </c>
      <c r="M378" t="s">
        <v>1163</v>
      </c>
      <c r="N378" s="57">
        <v>1200</v>
      </c>
      <c r="O378" t="s">
        <v>100</v>
      </c>
      <c r="P378" t="s">
        <v>93</v>
      </c>
      <c r="Q378" s="3">
        <v>46125</v>
      </c>
      <c r="R378" s="10">
        <f t="shared" ca="1" si="10"/>
        <v>46229</v>
      </c>
      <c r="S378" s="7">
        <f t="shared" ca="1" si="11"/>
        <v>0.28493150684931506</v>
      </c>
    </row>
    <row r="379" spans="1:19" x14ac:dyDescent="0.25">
      <c r="A379">
        <v>4122972</v>
      </c>
      <c r="B379" t="s">
        <v>1395</v>
      </c>
      <c r="C379" t="s">
        <v>1044</v>
      </c>
      <c r="D379" s="6" t="s">
        <v>22</v>
      </c>
      <c r="E379" t="s">
        <v>21</v>
      </c>
      <c r="G379" s="6" t="s">
        <v>968</v>
      </c>
      <c r="H379" s="59" t="s">
        <v>1020</v>
      </c>
      <c r="I379" s="58" t="s">
        <v>838</v>
      </c>
      <c r="J379" t="s">
        <v>839</v>
      </c>
      <c r="K379" t="s">
        <v>830</v>
      </c>
      <c r="L379" t="s">
        <v>91</v>
      </c>
      <c r="M379" t="s">
        <v>1163</v>
      </c>
      <c r="N379" s="57">
        <v>1200</v>
      </c>
      <c r="O379" t="s">
        <v>100</v>
      </c>
      <c r="P379" t="s">
        <v>93</v>
      </c>
      <c r="Q379" s="3">
        <v>46128</v>
      </c>
      <c r="R379" s="10">
        <f t="shared" ca="1" si="10"/>
        <v>46229</v>
      </c>
      <c r="S379" s="7">
        <f t="shared" ca="1" si="11"/>
        <v>0.27671232876712326</v>
      </c>
    </row>
    <row r="380" spans="1:19" x14ac:dyDescent="0.25">
      <c r="A380">
        <v>4122973</v>
      </c>
      <c r="B380" t="s">
        <v>1396</v>
      </c>
      <c r="C380" t="s">
        <v>1044</v>
      </c>
      <c r="D380" s="6" t="s">
        <v>22</v>
      </c>
      <c r="E380" t="s">
        <v>21</v>
      </c>
      <c r="G380" s="6" t="s">
        <v>968</v>
      </c>
      <c r="H380" s="59" t="s">
        <v>1020</v>
      </c>
      <c r="I380" s="58" t="s">
        <v>838</v>
      </c>
      <c r="J380" t="s">
        <v>839</v>
      </c>
      <c r="K380" t="s">
        <v>830</v>
      </c>
      <c r="L380" t="s">
        <v>91</v>
      </c>
      <c r="M380" t="s">
        <v>1163</v>
      </c>
      <c r="N380" s="57">
        <v>1200</v>
      </c>
      <c r="O380" t="s">
        <v>100</v>
      </c>
      <c r="P380" t="s">
        <v>93</v>
      </c>
      <c r="Q380" s="3">
        <v>46128</v>
      </c>
      <c r="R380" s="10">
        <f t="shared" ca="1" si="10"/>
        <v>46229</v>
      </c>
      <c r="S380" s="7">
        <f t="shared" ca="1" si="11"/>
        <v>0.27671232876712326</v>
      </c>
    </row>
    <row r="381" spans="1:19" x14ac:dyDescent="0.25">
      <c r="A381">
        <v>4122995</v>
      </c>
      <c r="B381" t="s">
        <v>1398</v>
      </c>
      <c r="C381" t="s">
        <v>1044</v>
      </c>
      <c r="D381" s="6" t="s">
        <v>22</v>
      </c>
      <c r="E381" t="s">
        <v>21</v>
      </c>
      <c r="G381" s="6" t="s">
        <v>968</v>
      </c>
      <c r="H381" s="59" t="s">
        <v>1020</v>
      </c>
      <c r="I381" s="58" t="s">
        <v>838</v>
      </c>
      <c r="J381" t="s">
        <v>839</v>
      </c>
      <c r="K381" t="s">
        <v>830</v>
      </c>
      <c r="L381" t="s">
        <v>91</v>
      </c>
      <c r="M381" t="s">
        <v>1163</v>
      </c>
      <c r="N381" s="57">
        <v>1200</v>
      </c>
      <c r="O381" t="s">
        <v>100</v>
      </c>
      <c r="P381" t="s">
        <v>93</v>
      </c>
      <c r="Q381" s="3">
        <v>46128</v>
      </c>
      <c r="R381" s="10">
        <f t="shared" ca="1" si="10"/>
        <v>46229</v>
      </c>
      <c r="S381" s="7">
        <f t="shared" ca="1" si="11"/>
        <v>0.27671232876712326</v>
      </c>
    </row>
    <row r="382" spans="1:19" x14ac:dyDescent="0.25">
      <c r="A382">
        <v>4122999</v>
      </c>
      <c r="B382" t="s">
        <v>1401</v>
      </c>
      <c r="C382" t="s">
        <v>1044</v>
      </c>
      <c r="D382" s="6" t="s">
        <v>22</v>
      </c>
      <c r="E382" t="s">
        <v>21</v>
      </c>
      <c r="G382" s="6" t="s">
        <v>968</v>
      </c>
      <c r="H382" s="59" t="s">
        <v>1020</v>
      </c>
      <c r="I382" s="58" t="s">
        <v>838</v>
      </c>
      <c r="J382" t="s">
        <v>839</v>
      </c>
      <c r="K382" t="s">
        <v>830</v>
      </c>
      <c r="L382" t="s">
        <v>91</v>
      </c>
      <c r="M382" t="s">
        <v>1163</v>
      </c>
      <c r="N382" s="57">
        <v>1200</v>
      </c>
      <c r="O382" t="s">
        <v>100</v>
      </c>
      <c r="P382" t="s">
        <v>93</v>
      </c>
      <c r="Q382" s="3">
        <v>46128</v>
      </c>
      <c r="R382" s="10">
        <f t="shared" ca="1" si="10"/>
        <v>46229</v>
      </c>
      <c r="S382" s="7">
        <f t="shared" ca="1" si="11"/>
        <v>0.27671232876712326</v>
      </c>
    </row>
    <row r="383" spans="1:19" x14ac:dyDescent="0.25">
      <c r="A383">
        <v>4123030</v>
      </c>
      <c r="B383" t="s">
        <v>1407</v>
      </c>
      <c r="C383" t="s">
        <v>1044</v>
      </c>
      <c r="D383" s="6" t="s">
        <v>22</v>
      </c>
      <c r="E383" t="s">
        <v>21</v>
      </c>
      <c r="G383" s="6" t="s">
        <v>968</v>
      </c>
      <c r="H383" s="59" t="s">
        <v>1020</v>
      </c>
      <c r="I383" s="58" t="s">
        <v>838</v>
      </c>
      <c r="J383" t="s">
        <v>839</v>
      </c>
      <c r="K383" t="s">
        <v>830</v>
      </c>
      <c r="L383" t="s">
        <v>91</v>
      </c>
      <c r="M383" t="s">
        <v>1163</v>
      </c>
      <c r="N383" s="57">
        <v>1200</v>
      </c>
      <c r="O383" t="s">
        <v>100</v>
      </c>
      <c r="P383" t="s">
        <v>93</v>
      </c>
      <c r="Q383" s="3">
        <v>46128</v>
      </c>
      <c r="R383" s="10">
        <f t="shared" ca="1" si="10"/>
        <v>46229</v>
      </c>
      <c r="S383" s="7">
        <f t="shared" ca="1" si="11"/>
        <v>0.27671232876712326</v>
      </c>
    </row>
    <row r="384" spans="1:19" x14ac:dyDescent="0.25">
      <c r="A384">
        <v>4123173</v>
      </c>
      <c r="B384" t="s">
        <v>1426</v>
      </c>
      <c r="C384" t="s">
        <v>1044</v>
      </c>
      <c r="D384" s="6" t="s">
        <v>22</v>
      </c>
      <c r="E384" t="s">
        <v>21</v>
      </c>
      <c r="G384" s="6" t="s">
        <v>968</v>
      </c>
      <c r="H384" s="59" t="s">
        <v>1020</v>
      </c>
      <c r="I384" s="58" t="s">
        <v>838</v>
      </c>
      <c r="J384" t="s">
        <v>839</v>
      </c>
      <c r="K384" t="s">
        <v>830</v>
      </c>
      <c r="L384" t="s">
        <v>91</v>
      </c>
      <c r="M384" t="s">
        <v>1163</v>
      </c>
      <c r="N384" s="57">
        <v>1200</v>
      </c>
      <c r="O384" t="s">
        <v>100</v>
      </c>
      <c r="P384" t="s">
        <v>93</v>
      </c>
      <c r="Q384" s="3">
        <v>46135</v>
      </c>
      <c r="R384" s="10">
        <f t="shared" ca="1" si="10"/>
        <v>46229</v>
      </c>
      <c r="S384" s="7">
        <f t="shared" ca="1" si="11"/>
        <v>0.25753424657534246</v>
      </c>
    </row>
    <row r="385" spans="1:19" x14ac:dyDescent="0.25">
      <c r="A385">
        <v>4124053</v>
      </c>
      <c r="B385" t="s">
        <v>1523</v>
      </c>
      <c r="C385" t="s">
        <v>1044</v>
      </c>
      <c r="D385" s="6" t="s">
        <v>22</v>
      </c>
      <c r="E385" t="s">
        <v>21</v>
      </c>
      <c r="G385" s="6" t="s">
        <v>968</v>
      </c>
      <c r="H385" s="59" t="s">
        <v>1020</v>
      </c>
      <c r="I385" s="58" t="s">
        <v>838</v>
      </c>
      <c r="J385" t="s">
        <v>839</v>
      </c>
      <c r="K385" t="s">
        <v>830</v>
      </c>
      <c r="L385" t="s">
        <v>91</v>
      </c>
      <c r="M385" t="s">
        <v>1163</v>
      </c>
      <c r="N385" s="57">
        <v>1200</v>
      </c>
      <c r="O385" t="s">
        <v>100</v>
      </c>
      <c r="P385" t="s">
        <v>93</v>
      </c>
      <c r="Q385" s="3">
        <v>46163</v>
      </c>
      <c r="R385" s="10">
        <f t="shared" ca="1" si="10"/>
        <v>46229</v>
      </c>
      <c r="S385" s="7">
        <f t="shared" ca="1" si="11"/>
        <v>0.18082191780821918</v>
      </c>
    </row>
    <row r="386" spans="1:19" x14ac:dyDescent="0.25">
      <c r="A386">
        <v>4124054</v>
      </c>
      <c r="B386" t="s">
        <v>1524</v>
      </c>
      <c r="C386" t="s">
        <v>1044</v>
      </c>
      <c r="D386" s="6" t="s">
        <v>22</v>
      </c>
      <c r="E386" t="s">
        <v>21</v>
      </c>
      <c r="G386" s="6" t="s">
        <v>968</v>
      </c>
      <c r="H386" s="59" t="s">
        <v>1020</v>
      </c>
      <c r="I386" s="58" t="s">
        <v>838</v>
      </c>
      <c r="J386" t="s">
        <v>839</v>
      </c>
      <c r="K386" t="s">
        <v>830</v>
      </c>
      <c r="L386" t="s">
        <v>91</v>
      </c>
      <c r="M386" t="s">
        <v>1163</v>
      </c>
      <c r="N386" s="57">
        <v>1200</v>
      </c>
      <c r="O386" t="s">
        <v>100</v>
      </c>
      <c r="P386" t="s">
        <v>93</v>
      </c>
      <c r="Q386" s="3">
        <v>46163</v>
      </c>
      <c r="R386" s="10">
        <f t="shared" ca="1" si="10"/>
        <v>46229</v>
      </c>
      <c r="S386" s="7">
        <f t="shared" ca="1" si="11"/>
        <v>0.18082191780821918</v>
      </c>
    </row>
    <row r="387" spans="1:19" x14ac:dyDescent="0.25">
      <c r="A387">
        <v>4124055</v>
      </c>
      <c r="B387" t="s">
        <v>1525</v>
      </c>
      <c r="C387" t="s">
        <v>1044</v>
      </c>
      <c r="D387" s="6" t="s">
        <v>22</v>
      </c>
      <c r="E387" t="s">
        <v>21</v>
      </c>
      <c r="G387" s="6" t="s">
        <v>968</v>
      </c>
      <c r="H387" s="59" t="s">
        <v>1020</v>
      </c>
      <c r="I387" s="58" t="s">
        <v>838</v>
      </c>
      <c r="J387" t="s">
        <v>839</v>
      </c>
      <c r="K387" t="s">
        <v>830</v>
      </c>
      <c r="L387" t="s">
        <v>91</v>
      </c>
      <c r="M387" t="s">
        <v>1163</v>
      </c>
      <c r="N387" s="57">
        <v>1200</v>
      </c>
      <c r="O387" t="s">
        <v>100</v>
      </c>
      <c r="P387" t="s">
        <v>93</v>
      </c>
      <c r="Q387" s="3">
        <v>46163</v>
      </c>
      <c r="R387" s="10">
        <f t="shared" ref="R387:R450" ca="1" si="12">TODAY()</f>
        <v>46229</v>
      </c>
      <c r="S387" s="7">
        <f t="shared" ref="S387:S450" ca="1" si="13">(R387-Q387)/365</f>
        <v>0.18082191780821918</v>
      </c>
    </row>
    <row r="388" spans="1:19" x14ac:dyDescent="0.25">
      <c r="A388">
        <v>4124107</v>
      </c>
      <c r="B388" t="s">
        <v>1555</v>
      </c>
      <c r="C388" t="s">
        <v>1044</v>
      </c>
      <c r="D388" s="6" t="s">
        <v>22</v>
      </c>
      <c r="E388" t="s">
        <v>21</v>
      </c>
      <c r="G388" s="6" t="s">
        <v>968</v>
      </c>
      <c r="H388" s="59" t="s">
        <v>1020</v>
      </c>
      <c r="I388" s="58" t="s">
        <v>838</v>
      </c>
      <c r="J388" t="s">
        <v>839</v>
      </c>
      <c r="K388" t="s">
        <v>830</v>
      </c>
      <c r="L388" t="s">
        <v>91</v>
      </c>
      <c r="M388" t="s">
        <v>1163</v>
      </c>
      <c r="N388" s="57">
        <v>1200</v>
      </c>
      <c r="O388" t="s">
        <v>100</v>
      </c>
      <c r="P388" t="s">
        <v>93</v>
      </c>
      <c r="Q388" s="3">
        <v>46167</v>
      </c>
      <c r="R388" s="10">
        <f t="shared" ca="1" si="12"/>
        <v>46229</v>
      </c>
      <c r="S388" s="7">
        <f t="shared" ca="1" si="13"/>
        <v>0.16986301369863013</v>
      </c>
    </row>
    <row r="389" spans="1:19" x14ac:dyDescent="0.25">
      <c r="A389">
        <v>4124109</v>
      </c>
      <c r="B389" t="s">
        <v>1557</v>
      </c>
      <c r="C389" t="s">
        <v>1044</v>
      </c>
      <c r="D389" s="6" t="s">
        <v>22</v>
      </c>
      <c r="E389" t="s">
        <v>21</v>
      </c>
      <c r="G389" s="6" t="s">
        <v>968</v>
      </c>
      <c r="H389" s="59" t="s">
        <v>1020</v>
      </c>
      <c r="I389" s="58" t="s">
        <v>838</v>
      </c>
      <c r="J389" t="s">
        <v>839</v>
      </c>
      <c r="K389" t="s">
        <v>830</v>
      </c>
      <c r="L389" t="s">
        <v>91</v>
      </c>
      <c r="M389" t="s">
        <v>1163</v>
      </c>
      <c r="N389" s="57">
        <v>1200</v>
      </c>
      <c r="O389" t="s">
        <v>100</v>
      </c>
      <c r="P389" t="s">
        <v>93</v>
      </c>
      <c r="Q389" s="3">
        <v>46167</v>
      </c>
      <c r="R389" s="10">
        <f t="shared" ca="1" si="12"/>
        <v>46229</v>
      </c>
      <c r="S389" s="7">
        <f t="shared" ca="1" si="13"/>
        <v>0.16986301369863013</v>
      </c>
    </row>
    <row r="390" spans="1:19" x14ac:dyDescent="0.25">
      <c r="A390">
        <v>4124110</v>
      </c>
      <c r="B390" t="s">
        <v>1558</v>
      </c>
      <c r="C390" t="s">
        <v>1044</v>
      </c>
      <c r="D390" s="6" t="s">
        <v>22</v>
      </c>
      <c r="E390" t="s">
        <v>21</v>
      </c>
      <c r="G390" s="6" t="s">
        <v>968</v>
      </c>
      <c r="H390" s="59" t="s">
        <v>1020</v>
      </c>
      <c r="I390" s="58" t="s">
        <v>838</v>
      </c>
      <c r="J390" t="s">
        <v>839</v>
      </c>
      <c r="K390" t="s">
        <v>830</v>
      </c>
      <c r="L390" t="s">
        <v>91</v>
      </c>
      <c r="M390" t="s">
        <v>1163</v>
      </c>
      <c r="N390" s="57">
        <v>1200</v>
      </c>
      <c r="O390" t="s">
        <v>100</v>
      </c>
      <c r="P390" t="s">
        <v>93</v>
      </c>
      <c r="Q390" s="3">
        <v>46167</v>
      </c>
      <c r="R390" s="10">
        <f t="shared" ca="1" si="12"/>
        <v>46229</v>
      </c>
      <c r="S390" s="7">
        <f t="shared" ca="1" si="13"/>
        <v>0.16986301369863013</v>
      </c>
    </row>
    <row r="391" spans="1:19" x14ac:dyDescent="0.25">
      <c r="A391">
        <v>4124112</v>
      </c>
      <c r="B391" t="s">
        <v>1559</v>
      </c>
      <c r="C391" t="s">
        <v>1044</v>
      </c>
      <c r="D391" s="6" t="s">
        <v>22</v>
      </c>
      <c r="E391" t="s">
        <v>21</v>
      </c>
      <c r="G391" s="6" t="s">
        <v>968</v>
      </c>
      <c r="H391" s="59" t="s">
        <v>1020</v>
      </c>
      <c r="I391" s="58" t="s">
        <v>838</v>
      </c>
      <c r="J391" t="s">
        <v>839</v>
      </c>
      <c r="K391" t="s">
        <v>830</v>
      </c>
      <c r="L391" t="s">
        <v>91</v>
      </c>
      <c r="M391" t="s">
        <v>1163</v>
      </c>
      <c r="N391" s="57">
        <v>1200</v>
      </c>
      <c r="O391" t="s">
        <v>100</v>
      </c>
      <c r="P391" t="s">
        <v>93</v>
      </c>
      <c r="Q391" s="3">
        <v>46167</v>
      </c>
      <c r="R391" s="10">
        <f t="shared" ca="1" si="12"/>
        <v>46229</v>
      </c>
      <c r="S391" s="7">
        <f t="shared" ca="1" si="13"/>
        <v>0.16986301369863013</v>
      </c>
    </row>
    <row r="392" spans="1:19" x14ac:dyDescent="0.25">
      <c r="A392">
        <v>4124113</v>
      </c>
      <c r="B392" t="s">
        <v>1560</v>
      </c>
      <c r="C392" t="s">
        <v>1044</v>
      </c>
      <c r="D392" s="6" t="s">
        <v>22</v>
      </c>
      <c r="E392" t="s">
        <v>21</v>
      </c>
      <c r="G392" s="6" t="s">
        <v>968</v>
      </c>
      <c r="H392" s="59" t="s">
        <v>1020</v>
      </c>
      <c r="I392" s="58" t="s">
        <v>838</v>
      </c>
      <c r="J392" t="s">
        <v>839</v>
      </c>
      <c r="K392" t="s">
        <v>830</v>
      </c>
      <c r="L392" t="s">
        <v>91</v>
      </c>
      <c r="M392" t="s">
        <v>1163</v>
      </c>
      <c r="N392" s="57">
        <v>1200</v>
      </c>
      <c r="O392" t="s">
        <v>100</v>
      </c>
      <c r="P392" t="s">
        <v>93</v>
      </c>
      <c r="Q392" s="3">
        <v>46167</v>
      </c>
      <c r="R392" s="10">
        <f t="shared" ca="1" si="12"/>
        <v>46229</v>
      </c>
      <c r="S392" s="7">
        <f t="shared" ca="1" si="13"/>
        <v>0.16986301369863013</v>
      </c>
    </row>
    <row r="393" spans="1:19" x14ac:dyDescent="0.25">
      <c r="A393">
        <v>4124116</v>
      </c>
      <c r="B393" t="s">
        <v>1563</v>
      </c>
      <c r="C393" t="s">
        <v>1044</v>
      </c>
      <c r="D393" s="6" t="s">
        <v>22</v>
      </c>
      <c r="E393" t="s">
        <v>21</v>
      </c>
      <c r="G393" s="6" t="s">
        <v>968</v>
      </c>
      <c r="H393" s="59" t="s">
        <v>1020</v>
      </c>
      <c r="I393" s="58" t="s">
        <v>838</v>
      </c>
      <c r="J393" t="s">
        <v>839</v>
      </c>
      <c r="K393" t="s">
        <v>830</v>
      </c>
      <c r="L393" t="s">
        <v>91</v>
      </c>
      <c r="M393" t="s">
        <v>1163</v>
      </c>
      <c r="N393" s="57">
        <v>1200</v>
      </c>
      <c r="O393" t="s">
        <v>100</v>
      </c>
      <c r="P393" t="s">
        <v>93</v>
      </c>
      <c r="Q393" s="3">
        <v>46167</v>
      </c>
      <c r="R393" s="10">
        <f t="shared" ca="1" si="12"/>
        <v>46229</v>
      </c>
      <c r="S393" s="7">
        <f t="shared" ca="1" si="13"/>
        <v>0.16986301369863013</v>
      </c>
    </row>
    <row r="394" spans="1:19" x14ac:dyDescent="0.25">
      <c r="A394">
        <v>4124138</v>
      </c>
      <c r="B394" t="s">
        <v>1570</v>
      </c>
      <c r="C394" t="s">
        <v>1044</v>
      </c>
      <c r="D394" s="6" t="s">
        <v>22</v>
      </c>
      <c r="E394" t="s">
        <v>21</v>
      </c>
      <c r="G394" s="6" t="s">
        <v>968</v>
      </c>
      <c r="H394" s="59" t="s">
        <v>1020</v>
      </c>
      <c r="I394" s="58" t="s">
        <v>838</v>
      </c>
      <c r="J394" t="s">
        <v>839</v>
      </c>
      <c r="K394" t="s">
        <v>830</v>
      </c>
      <c r="L394" t="s">
        <v>91</v>
      </c>
      <c r="M394" t="s">
        <v>1163</v>
      </c>
      <c r="N394" s="57">
        <v>1200</v>
      </c>
      <c r="O394" t="s">
        <v>100</v>
      </c>
      <c r="P394" t="s">
        <v>93</v>
      </c>
      <c r="Q394" s="3">
        <v>46167</v>
      </c>
      <c r="R394" s="10">
        <f t="shared" ca="1" si="12"/>
        <v>46229</v>
      </c>
      <c r="S394" s="7">
        <f t="shared" ca="1" si="13"/>
        <v>0.16986301369863013</v>
      </c>
    </row>
    <row r="395" spans="1:19" x14ac:dyDescent="0.25">
      <c r="A395">
        <v>4124140</v>
      </c>
      <c r="B395" t="s">
        <v>1571</v>
      </c>
      <c r="C395" t="s">
        <v>1044</v>
      </c>
      <c r="D395" s="6" t="s">
        <v>22</v>
      </c>
      <c r="E395" t="s">
        <v>21</v>
      </c>
      <c r="G395" s="6" t="s">
        <v>968</v>
      </c>
      <c r="H395" s="59" t="s">
        <v>1020</v>
      </c>
      <c r="I395" s="58" t="s">
        <v>838</v>
      </c>
      <c r="J395" t="s">
        <v>839</v>
      </c>
      <c r="K395" t="s">
        <v>830</v>
      </c>
      <c r="L395" t="s">
        <v>91</v>
      </c>
      <c r="M395" t="s">
        <v>1163</v>
      </c>
      <c r="N395" s="57">
        <v>1200</v>
      </c>
      <c r="O395" t="s">
        <v>100</v>
      </c>
      <c r="P395" t="s">
        <v>93</v>
      </c>
      <c r="Q395" s="3">
        <v>46167</v>
      </c>
      <c r="R395" s="10">
        <f t="shared" ca="1" si="12"/>
        <v>46229</v>
      </c>
      <c r="S395" s="7">
        <f t="shared" ca="1" si="13"/>
        <v>0.16986301369863013</v>
      </c>
    </row>
    <row r="396" spans="1:19" x14ac:dyDescent="0.25">
      <c r="A396">
        <v>4124143</v>
      </c>
      <c r="B396" t="s">
        <v>1574</v>
      </c>
      <c r="C396" t="s">
        <v>1044</v>
      </c>
      <c r="D396" s="6" t="s">
        <v>22</v>
      </c>
      <c r="E396" t="s">
        <v>21</v>
      </c>
      <c r="G396" s="6" t="s">
        <v>968</v>
      </c>
      <c r="H396" s="59" t="s">
        <v>1020</v>
      </c>
      <c r="I396" s="58" t="s">
        <v>838</v>
      </c>
      <c r="J396" t="s">
        <v>839</v>
      </c>
      <c r="K396" t="s">
        <v>830</v>
      </c>
      <c r="L396" t="s">
        <v>91</v>
      </c>
      <c r="M396" t="s">
        <v>1163</v>
      </c>
      <c r="N396" s="57">
        <v>1200</v>
      </c>
      <c r="O396" t="s">
        <v>100</v>
      </c>
      <c r="P396" t="s">
        <v>93</v>
      </c>
      <c r="Q396" s="3">
        <v>46167</v>
      </c>
      <c r="R396" s="10">
        <f t="shared" ca="1" si="12"/>
        <v>46229</v>
      </c>
      <c r="S396" s="7">
        <f t="shared" ca="1" si="13"/>
        <v>0.16986301369863013</v>
      </c>
    </row>
    <row r="397" spans="1:19" x14ac:dyDescent="0.25">
      <c r="A397">
        <v>4124207</v>
      </c>
      <c r="B397" t="s">
        <v>1672</v>
      </c>
      <c r="C397" t="s">
        <v>1044</v>
      </c>
      <c r="D397" s="6" t="s">
        <v>22</v>
      </c>
      <c r="E397" t="s">
        <v>21</v>
      </c>
      <c r="G397" s="6" t="s">
        <v>968</v>
      </c>
      <c r="H397" s="59" t="s">
        <v>1020</v>
      </c>
      <c r="I397" s="58" t="s">
        <v>838</v>
      </c>
      <c r="J397" t="s">
        <v>839</v>
      </c>
      <c r="K397" t="s">
        <v>830</v>
      </c>
      <c r="L397" t="s">
        <v>91</v>
      </c>
      <c r="M397" t="s">
        <v>1163</v>
      </c>
      <c r="N397" s="57">
        <v>1200</v>
      </c>
      <c r="O397" t="s">
        <v>100</v>
      </c>
      <c r="P397" t="s">
        <v>93</v>
      </c>
      <c r="Q397" s="3">
        <v>46170</v>
      </c>
      <c r="R397" s="10">
        <f t="shared" ca="1" si="12"/>
        <v>46229</v>
      </c>
      <c r="S397" s="7">
        <f t="shared" ca="1" si="13"/>
        <v>0.16164383561643836</v>
      </c>
    </row>
    <row r="398" spans="1:19" x14ac:dyDescent="0.25">
      <c r="A398">
        <v>4124208</v>
      </c>
      <c r="B398" t="s">
        <v>1673</v>
      </c>
      <c r="C398" t="s">
        <v>1044</v>
      </c>
      <c r="D398" s="6" t="s">
        <v>22</v>
      </c>
      <c r="E398" t="s">
        <v>21</v>
      </c>
      <c r="G398" s="6" t="s">
        <v>968</v>
      </c>
      <c r="H398" s="59" t="s">
        <v>1020</v>
      </c>
      <c r="I398" s="58" t="s">
        <v>838</v>
      </c>
      <c r="J398" t="s">
        <v>839</v>
      </c>
      <c r="K398" t="s">
        <v>830</v>
      </c>
      <c r="L398" t="s">
        <v>91</v>
      </c>
      <c r="M398" t="s">
        <v>1163</v>
      </c>
      <c r="N398" s="57">
        <v>1200</v>
      </c>
      <c r="O398" t="s">
        <v>100</v>
      </c>
      <c r="P398" t="s">
        <v>93</v>
      </c>
      <c r="Q398" s="3">
        <v>46170</v>
      </c>
      <c r="R398" s="10">
        <f t="shared" ca="1" si="12"/>
        <v>46229</v>
      </c>
      <c r="S398" s="7">
        <f t="shared" ca="1" si="13"/>
        <v>0.16164383561643836</v>
      </c>
    </row>
    <row r="399" spans="1:19" x14ac:dyDescent="0.25">
      <c r="A399">
        <v>4124209</v>
      </c>
      <c r="B399" t="s">
        <v>1674</v>
      </c>
      <c r="C399" t="s">
        <v>1044</v>
      </c>
      <c r="D399" s="6" t="s">
        <v>22</v>
      </c>
      <c r="E399" t="s">
        <v>21</v>
      </c>
      <c r="G399" s="6" t="s">
        <v>968</v>
      </c>
      <c r="H399" s="59" t="s">
        <v>1020</v>
      </c>
      <c r="I399" s="58" t="s">
        <v>838</v>
      </c>
      <c r="J399" t="s">
        <v>839</v>
      </c>
      <c r="K399" t="s">
        <v>830</v>
      </c>
      <c r="L399" t="s">
        <v>91</v>
      </c>
      <c r="M399" t="s">
        <v>1163</v>
      </c>
      <c r="N399" s="57">
        <v>1200</v>
      </c>
      <c r="O399" t="s">
        <v>100</v>
      </c>
      <c r="P399" t="s">
        <v>93</v>
      </c>
      <c r="Q399" s="3">
        <v>46170</v>
      </c>
      <c r="R399" s="10">
        <f t="shared" ca="1" si="12"/>
        <v>46229</v>
      </c>
      <c r="S399" s="7">
        <f t="shared" ca="1" si="13"/>
        <v>0.16164383561643836</v>
      </c>
    </row>
    <row r="400" spans="1:19" x14ac:dyDescent="0.25">
      <c r="A400">
        <v>4124213</v>
      </c>
      <c r="B400" t="s">
        <v>1678</v>
      </c>
      <c r="C400" t="s">
        <v>1044</v>
      </c>
      <c r="D400" s="6" t="s">
        <v>22</v>
      </c>
      <c r="E400" t="s">
        <v>21</v>
      </c>
      <c r="G400" s="6" t="s">
        <v>968</v>
      </c>
      <c r="H400" s="59" t="s">
        <v>1020</v>
      </c>
      <c r="I400" s="58" t="s">
        <v>838</v>
      </c>
      <c r="J400" t="s">
        <v>839</v>
      </c>
      <c r="K400" t="s">
        <v>830</v>
      </c>
      <c r="L400" t="s">
        <v>91</v>
      </c>
      <c r="M400" t="s">
        <v>1163</v>
      </c>
      <c r="N400" s="57">
        <v>1200</v>
      </c>
      <c r="O400" t="s">
        <v>100</v>
      </c>
      <c r="P400" t="s">
        <v>93</v>
      </c>
      <c r="Q400" s="3">
        <v>46170</v>
      </c>
      <c r="R400" s="10">
        <f t="shared" ca="1" si="12"/>
        <v>46229</v>
      </c>
      <c r="S400" s="7">
        <f t="shared" ca="1" si="13"/>
        <v>0.16164383561643836</v>
      </c>
    </row>
    <row r="401" spans="1:19" x14ac:dyDescent="0.25">
      <c r="A401">
        <v>4124216</v>
      </c>
      <c r="B401" t="s">
        <v>1680</v>
      </c>
      <c r="C401" t="s">
        <v>1044</v>
      </c>
      <c r="D401" s="6" t="s">
        <v>22</v>
      </c>
      <c r="E401" t="s">
        <v>21</v>
      </c>
      <c r="G401" s="6" t="s">
        <v>968</v>
      </c>
      <c r="H401" s="59" t="s">
        <v>1020</v>
      </c>
      <c r="I401" s="58" t="s">
        <v>838</v>
      </c>
      <c r="J401" t="s">
        <v>839</v>
      </c>
      <c r="K401" t="s">
        <v>830</v>
      </c>
      <c r="L401" t="s">
        <v>91</v>
      </c>
      <c r="M401" t="s">
        <v>1163</v>
      </c>
      <c r="N401" s="57">
        <v>1200</v>
      </c>
      <c r="O401" t="s">
        <v>100</v>
      </c>
      <c r="P401" t="s">
        <v>93</v>
      </c>
      <c r="Q401" s="3">
        <v>46170</v>
      </c>
      <c r="R401" s="10">
        <f t="shared" ca="1" si="12"/>
        <v>46229</v>
      </c>
      <c r="S401" s="7">
        <f t="shared" ca="1" si="13"/>
        <v>0.16164383561643836</v>
      </c>
    </row>
    <row r="402" spans="1:19" x14ac:dyDescent="0.25">
      <c r="A402">
        <v>4124259</v>
      </c>
      <c r="B402" t="s">
        <v>1711</v>
      </c>
      <c r="C402" t="s">
        <v>1044</v>
      </c>
      <c r="D402" s="6" t="s">
        <v>22</v>
      </c>
      <c r="E402" t="s">
        <v>21</v>
      </c>
      <c r="G402" s="6" t="s">
        <v>968</v>
      </c>
      <c r="H402" s="59" t="s">
        <v>1020</v>
      </c>
      <c r="I402" s="58" t="s">
        <v>838</v>
      </c>
      <c r="J402" t="s">
        <v>839</v>
      </c>
      <c r="K402" t="s">
        <v>830</v>
      </c>
      <c r="L402" t="s">
        <v>91</v>
      </c>
      <c r="M402" t="s">
        <v>1163</v>
      </c>
      <c r="N402" s="57">
        <v>1200</v>
      </c>
      <c r="O402" t="s">
        <v>100</v>
      </c>
      <c r="P402" t="s">
        <v>93</v>
      </c>
      <c r="Q402" s="3">
        <v>46170</v>
      </c>
      <c r="R402" s="10">
        <f t="shared" ca="1" si="12"/>
        <v>46229</v>
      </c>
      <c r="S402" s="7">
        <f t="shared" ca="1" si="13"/>
        <v>0.16164383561643836</v>
      </c>
    </row>
    <row r="403" spans="1:19" x14ac:dyDescent="0.25">
      <c r="A403">
        <v>4124261</v>
      </c>
      <c r="B403" t="s">
        <v>1712</v>
      </c>
      <c r="C403" t="s">
        <v>1044</v>
      </c>
      <c r="D403" s="6" t="s">
        <v>22</v>
      </c>
      <c r="E403" t="s">
        <v>21</v>
      </c>
      <c r="G403" s="6" t="s">
        <v>968</v>
      </c>
      <c r="H403" s="59" t="s">
        <v>1020</v>
      </c>
      <c r="I403" s="58" t="s">
        <v>838</v>
      </c>
      <c r="J403" t="s">
        <v>839</v>
      </c>
      <c r="K403" t="s">
        <v>830</v>
      </c>
      <c r="L403" t="s">
        <v>91</v>
      </c>
      <c r="M403" t="s">
        <v>1163</v>
      </c>
      <c r="N403" s="57">
        <v>1200</v>
      </c>
      <c r="O403" t="s">
        <v>100</v>
      </c>
      <c r="P403" t="s">
        <v>93</v>
      </c>
      <c r="Q403" s="3">
        <v>46170</v>
      </c>
      <c r="R403" s="10">
        <f t="shared" ca="1" si="12"/>
        <v>46229</v>
      </c>
      <c r="S403" s="7">
        <f t="shared" ca="1" si="13"/>
        <v>0.16164383561643836</v>
      </c>
    </row>
    <row r="404" spans="1:19" x14ac:dyDescent="0.25">
      <c r="A404">
        <v>4124262</v>
      </c>
      <c r="B404" t="s">
        <v>1713</v>
      </c>
      <c r="C404" t="s">
        <v>1044</v>
      </c>
      <c r="D404" s="6" t="s">
        <v>22</v>
      </c>
      <c r="E404" t="s">
        <v>21</v>
      </c>
      <c r="G404" s="6" t="s">
        <v>968</v>
      </c>
      <c r="H404" s="59" t="s">
        <v>1020</v>
      </c>
      <c r="I404" s="58" t="s">
        <v>838</v>
      </c>
      <c r="J404" t="s">
        <v>839</v>
      </c>
      <c r="K404" t="s">
        <v>830</v>
      </c>
      <c r="L404" t="s">
        <v>91</v>
      </c>
      <c r="M404" t="s">
        <v>1163</v>
      </c>
      <c r="N404" s="57">
        <v>1200</v>
      </c>
      <c r="O404" t="s">
        <v>100</v>
      </c>
      <c r="P404" t="s">
        <v>93</v>
      </c>
      <c r="Q404" s="3">
        <v>46170</v>
      </c>
      <c r="R404" s="10">
        <f t="shared" ca="1" si="12"/>
        <v>46229</v>
      </c>
      <c r="S404" s="7">
        <f t="shared" ca="1" si="13"/>
        <v>0.16164383561643836</v>
      </c>
    </row>
    <row r="405" spans="1:19" x14ac:dyDescent="0.25">
      <c r="A405">
        <v>4124263</v>
      </c>
      <c r="B405" t="s">
        <v>1714</v>
      </c>
      <c r="C405" t="s">
        <v>1044</v>
      </c>
      <c r="D405" s="6" t="s">
        <v>22</v>
      </c>
      <c r="E405" t="s">
        <v>21</v>
      </c>
      <c r="G405" s="6" t="s">
        <v>968</v>
      </c>
      <c r="H405" s="59" t="s">
        <v>1020</v>
      </c>
      <c r="I405" s="58" t="s">
        <v>838</v>
      </c>
      <c r="J405" t="s">
        <v>839</v>
      </c>
      <c r="K405" t="s">
        <v>830</v>
      </c>
      <c r="L405" t="s">
        <v>91</v>
      </c>
      <c r="M405" t="s">
        <v>1163</v>
      </c>
      <c r="N405" s="57">
        <v>1200</v>
      </c>
      <c r="O405" t="s">
        <v>100</v>
      </c>
      <c r="P405" t="s">
        <v>93</v>
      </c>
      <c r="Q405" s="3">
        <v>46170</v>
      </c>
      <c r="R405" s="10">
        <f t="shared" ca="1" si="12"/>
        <v>46229</v>
      </c>
      <c r="S405" s="7">
        <f t="shared" ca="1" si="13"/>
        <v>0.16164383561643836</v>
      </c>
    </row>
    <row r="406" spans="1:19" x14ac:dyDescent="0.25">
      <c r="A406">
        <v>4124269</v>
      </c>
      <c r="B406" t="s">
        <v>1720</v>
      </c>
      <c r="C406" t="s">
        <v>1044</v>
      </c>
      <c r="D406" s="6" t="s">
        <v>22</v>
      </c>
      <c r="E406" t="s">
        <v>21</v>
      </c>
      <c r="G406" s="6" t="s">
        <v>968</v>
      </c>
      <c r="H406" s="59" t="s">
        <v>1020</v>
      </c>
      <c r="I406" s="58" t="s">
        <v>838</v>
      </c>
      <c r="J406" t="s">
        <v>839</v>
      </c>
      <c r="K406" t="s">
        <v>830</v>
      </c>
      <c r="L406" t="s">
        <v>91</v>
      </c>
      <c r="M406" t="s">
        <v>1163</v>
      </c>
      <c r="N406" s="57">
        <v>1200</v>
      </c>
      <c r="O406" t="s">
        <v>100</v>
      </c>
      <c r="P406" t="s">
        <v>93</v>
      </c>
      <c r="Q406" s="3">
        <v>46170</v>
      </c>
      <c r="R406" s="10">
        <f t="shared" ca="1" si="12"/>
        <v>46229</v>
      </c>
      <c r="S406" s="7">
        <f t="shared" ca="1" si="13"/>
        <v>0.16164383561643836</v>
      </c>
    </row>
    <row r="407" spans="1:19" x14ac:dyDescent="0.25">
      <c r="A407">
        <v>4124312</v>
      </c>
      <c r="B407" t="s">
        <v>1721</v>
      </c>
      <c r="C407" t="s">
        <v>1044</v>
      </c>
      <c r="D407" s="6" t="s">
        <v>22</v>
      </c>
      <c r="E407" t="s">
        <v>21</v>
      </c>
      <c r="G407" s="6" t="s">
        <v>968</v>
      </c>
      <c r="H407" s="59" t="s">
        <v>1020</v>
      </c>
      <c r="I407" s="58" t="s">
        <v>838</v>
      </c>
      <c r="J407" t="s">
        <v>839</v>
      </c>
      <c r="K407" t="s">
        <v>830</v>
      </c>
      <c r="L407" t="s">
        <v>91</v>
      </c>
      <c r="M407" t="s">
        <v>1163</v>
      </c>
      <c r="N407" s="57">
        <v>1200</v>
      </c>
      <c r="O407" t="s">
        <v>100</v>
      </c>
      <c r="P407" t="s">
        <v>93</v>
      </c>
      <c r="Q407" s="3">
        <v>46170</v>
      </c>
      <c r="R407" s="10">
        <f t="shared" ca="1" si="12"/>
        <v>46229</v>
      </c>
      <c r="S407" s="7">
        <f t="shared" ca="1" si="13"/>
        <v>0.16164383561643836</v>
      </c>
    </row>
    <row r="408" spans="1:19" x14ac:dyDescent="0.25">
      <c r="A408">
        <v>4124397</v>
      </c>
      <c r="B408" t="s">
        <v>1750</v>
      </c>
      <c r="C408" t="s">
        <v>1044</v>
      </c>
      <c r="D408" s="6" t="s">
        <v>22</v>
      </c>
      <c r="E408" t="s">
        <v>21</v>
      </c>
      <c r="G408" s="6" t="s">
        <v>968</v>
      </c>
      <c r="H408" s="59" t="s">
        <v>1020</v>
      </c>
      <c r="I408" s="58" t="s">
        <v>838</v>
      </c>
      <c r="J408" t="s">
        <v>839</v>
      </c>
      <c r="K408" t="s">
        <v>830</v>
      </c>
      <c r="L408" t="s">
        <v>91</v>
      </c>
      <c r="M408" t="s">
        <v>1163</v>
      </c>
      <c r="N408" s="57">
        <v>1200</v>
      </c>
      <c r="O408" t="s">
        <v>100</v>
      </c>
      <c r="P408" t="s">
        <v>93</v>
      </c>
      <c r="Q408" s="3">
        <v>46174</v>
      </c>
      <c r="R408" s="10">
        <f t="shared" ca="1" si="12"/>
        <v>46229</v>
      </c>
      <c r="S408" s="7">
        <f t="shared" ca="1" si="13"/>
        <v>0.15068493150684931</v>
      </c>
    </row>
    <row r="409" spans="1:19" x14ac:dyDescent="0.25">
      <c r="A409">
        <v>4124400</v>
      </c>
      <c r="B409" t="s">
        <v>1752</v>
      </c>
      <c r="C409" t="s">
        <v>1044</v>
      </c>
      <c r="D409" s="6" t="s">
        <v>22</v>
      </c>
      <c r="E409" t="s">
        <v>21</v>
      </c>
      <c r="G409" s="6" t="s">
        <v>968</v>
      </c>
      <c r="H409" s="59" t="s">
        <v>1020</v>
      </c>
      <c r="I409" s="58" t="s">
        <v>838</v>
      </c>
      <c r="J409" t="s">
        <v>839</v>
      </c>
      <c r="K409" t="s">
        <v>830</v>
      </c>
      <c r="L409" t="s">
        <v>91</v>
      </c>
      <c r="M409" t="s">
        <v>1163</v>
      </c>
      <c r="N409" s="57">
        <v>1200</v>
      </c>
      <c r="O409" t="s">
        <v>100</v>
      </c>
      <c r="P409" t="s">
        <v>93</v>
      </c>
      <c r="Q409" s="3">
        <v>46174</v>
      </c>
      <c r="R409" s="10">
        <f t="shared" ca="1" si="12"/>
        <v>46229</v>
      </c>
      <c r="S409" s="7">
        <f t="shared" ca="1" si="13"/>
        <v>0.15068493150684931</v>
      </c>
    </row>
    <row r="410" spans="1:19" x14ac:dyDescent="0.25">
      <c r="A410">
        <v>4124401</v>
      </c>
      <c r="B410" t="s">
        <v>1753</v>
      </c>
      <c r="C410" t="s">
        <v>1044</v>
      </c>
      <c r="D410" s="6" t="s">
        <v>22</v>
      </c>
      <c r="E410" t="s">
        <v>21</v>
      </c>
      <c r="G410" s="6" t="s">
        <v>968</v>
      </c>
      <c r="H410" s="59" t="s">
        <v>1020</v>
      </c>
      <c r="I410" s="58" t="s">
        <v>838</v>
      </c>
      <c r="J410" t="s">
        <v>839</v>
      </c>
      <c r="K410" t="s">
        <v>830</v>
      </c>
      <c r="L410" t="s">
        <v>91</v>
      </c>
      <c r="M410" t="s">
        <v>1163</v>
      </c>
      <c r="N410" s="57">
        <v>1200</v>
      </c>
      <c r="O410" t="s">
        <v>100</v>
      </c>
      <c r="P410" t="s">
        <v>93</v>
      </c>
      <c r="Q410" s="3">
        <v>46174</v>
      </c>
      <c r="R410" s="10">
        <f t="shared" ca="1" si="12"/>
        <v>46229</v>
      </c>
      <c r="S410" s="7">
        <f t="shared" ca="1" si="13"/>
        <v>0.15068493150684931</v>
      </c>
    </row>
    <row r="411" spans="1:19" x14ac:dyDescent="0.25">
      <c r="A411">
        <v>554820</v>
      </c>
      <c r="B411" t="s">
        <v>698</v>
      </c>
      <c r="C411" t="s">
        <v>17</v>
      </c>
      <c r="D411" s="6" t="s">
        <v>22</v>
      </c>
      <c r="E411" t="s">
        <v>55</v>
      </c>
      <c r="G411" s="6" t="s">
        <v>968</v>
      </c>
      <c r="H411" s="59" t="s">
        <v>1020</v>
      </c>
      <c r="I411" s="58" t="s">
        <v>838</v>
      </c>
      <c r="J411" t="s">
        <v>839</v>
      </c>
      <c r="K411" t="s">
        <v>830</v>
      </c>
      <c r="L411" t="s">
        <v>91</v>
      </c>
      <c r="M411" t="s">
        <v>1163</v>
      </c>
      <c r="N411" s="57">
        <v>1200</v>
      </c>
      <c r="O411" t="s">
        <v>100</v>
      </c>
      <c r="P411" t="s">
        <v>93</v>
      </c>
      <c r="Q411" s="3">
        <v>45470</v>
      </c>
      <c r="R411" s="10">
        <f t="shared" ca="1" si="12"/>
        <v>46229</v>
      </c>
      <c r="S411" s="7">
        <f t="shared" ca="1" si="13"/>
        <v>2.0794520547945203</v>
      </c>
    </row>
    <row r="412" spans="1:19" x14ac:dyDescent="0.25">
      <c r="A412">
        <v>602572</v>
      </c>
      <c r="B412" t="s">
        <v>724</v>
      </c>
      <c r="C412" t="s">
        <v>17</v>
      </c>
      <c r="D412" s="6" t="s">
        <v>22</v>
      </c>
      <c r="E412" t="s">
        <v>55</v>
      </c>
      <c r="G412" s="6" t="s">
        <v>968</v>
      </c>
      <c r="H412" s="59" t="s">
        <v>1020</v>
      </c>
      <c r="I412" s="58" t="s">
        <v>838</v>
      </c>
      <c r="J412" t="s">
        <v>839</v>
      </c>
      <c r="K412" t="s">
        <v>830</v>
      </c>
      <c r="L412" t="s">
        <v>91</v>
      </c>
      <c r="M412" t="s">
        <v>1163</v>
      </c>
      <c r="N412" s="57">
        <v>1200</v>
      </c>
      <c r="O412" t="s">
        <v>100</v>
      </c>
      <c r="P412" t="s">
        <v>93</v>
      </c>
      <c r="Q412" s="3">
        <v>45736</v>
      </c>
      <c r="R412" s="10">
        <f t="shared" ca="1" si="12"/>
        <v>46229</v>
      </c>
      <c r="S412" s="7">
        <f t="shared" ca="1" si="13"/>
        <v>1.3506849315068492</v>
      </c>
    </row>
    <row r="413" spans="1:19" x14ac:dyDescent="0.25">
      <c r="A413">
        <v>966149</v>
      </c>
      <c r="B413" t="s">
        <v>789</v>
      </c>
      <c r="C413" t="s">
        <v>17</v>
      </c>
      <c r="D413" s="6" t="s">
        <v>22</v>
      </c>
      <c r="E413" t="s">
        <v>87</v>
      </c>
      <c r="G413" s="6" t="s">
        <v>968</v>
      </c>
      <c r="H413" s="59" t="s">
        <v>1020</v>
      </c>
      <c r="I413" s="58" t="s">
        <v>838</v>
      </c>
      <c r="J413" t="s">
        <v>839</v>
      </c>
      <c r="K413" t="s">
        <v>830</v>
      </c>
      <c r="L413" t="s">
        <v>91</v>
      </c>
      <c r="M413" t="s">
        <v>1163</v>
      </c>
      <c r="N413" s="57">
        <v>1200</v>
      </c>
      <c r="O413" t="s">
        <v>100</v>
      </c>
      <c r="P413" t="s">
        <v>93</v>
      </c>
      <c r="Q413" s="3">
        <v>44753</v>
      </c>
      <c r="R413" s="10">
        <f t="shared" ca="1" si="12"/>
        <v>46229</v>
      </c>
      <c r="S413" s="7">
        <f t="shared" ca="1" si="13"/>
        <v>4.043835616438356</v>
      </c>
    </row>
    <row r="414" spans="1:19" x14ac:dyDescent="0.25">
      <c r="A414">
        <v>1182120</v>
      </c>
      <c r="B414" t="s">
        <v>244</v>
      </c>
      <c r="C414" t="s">
        <v>17</v>
      </c>
      <c r="D414" s="6" t="s">
        <v>39</v>
      </c>
      <c r="E414" t="s">
        <v>64</v>
      </c>
      <c r="G414" s="6" t="s">
        <v>16</v>
      </c>
      <c r="H414" s="59" t="s">
        <v>92</v>
      </c>
      <c r="I414" s="58" t="s">
        <v>1796</v>
      </c>
      <c r="J414" t="s">
        <v>823</v>
      </c>
      <c r="K414" t="s">
        <v>824</v>
      </c>
      <c r="L414" t="s">
        <v>966</v>
      </c>
      <c r="M414" t="s">
        <v>1163</v>
      </c>
      <c r="N414" s="57">
        <v>6900</v>
      </c>
      <c r="O414" t="s">
        <v>100</v>
      </c>
      <c r="P414" t="s">
        <v>38</v>
      </c>
      <c r="Q414" s="3">
        <v>45173</v>
      </c>
      <c r="R414" s="10">
        <f t="shared" ca="1" si="12"/>
        <v>46229</v>
      </c>
      <c r="S414" s="7">
        <f t="shared" ca="1" si="13"/>
        <v>2.893150684931507</v>
      </c>
    </row>
    <row r="415" spans="1:19" x14ac:dyDescent="0.25">
      <c r="A415">
        <v>1008666</v>
      </c>
      <c r="B415" t="s">
        <v>119</v>
      </c>
      <c r="C415" t="s">
        <v>17</v>
      </c>
      <c r="D415" s="6" t="s">
        <v>22</v>
      </c>
      <c r="E415" t="s">
        <v>80</v>
      </c>
      <c r="G415" s="6" t="s">
        <v>971</v>
      </c>
      <c r="H415" s="59" t="s">
        <v>1010</v>
      </c>
      <c r="I415" s="58" t="s">
        <v>851</v>
      </c>
      <c r="J415" t="s">
        <v>894</v>
      </c>
      <c r="K415" t="s">
        <v>845</v>
      </c>
      <c r="L415" t="s">
        <v>91</v>
      </c>
      <c r="M415" t="s">
        <v>1163</v>
      </c>
      <c r="N415" s="57">
        <v>1200</v>
      </c>
      <c r="O415" t="s">
        <v>100</v>
      </c>
      <c r="P415" t="s">
        <v>93</v>
      </c>
      <c r="Q415" s="3">
        <v>43598</v>
      </c>
      <c r="R415" s="10">
        <f t="shared" ca="1" si="12"/>
        <v>46229</v>
      </c>
      <c r="S415" s="7">
        <f t="shared" ca="1" si="13"/>
        <v>7.2082191780821914</v>
      </c>
    </row>
    <row r="416" spans="1:19" x14ac:dyDescent="0.25">
      <c r="A416">
        <v>1171150</v>
      </c>
      <c r="B416" t="s">
        <v>200</v>
      </c>
      <c r="C416" t="s">
        <v>17</v>
      </c>
      <c r="D416" s="6" t="s">
        <v>22</v>
      </c>
      <c r="E416" t="s">
        <v>102</v>
      </c>
      <c r="G416" s="6" t="s">
        <v>971</v>
      </c>
      <c r="H416" s="59" t="s">
        <v>1010</v>
      </c>
      <c r="I416" s="58" t="s">
        <v>851</v>
      </c>
      <c r="J416" t="s">
        <v>894</v>
      </c>
      <c r="K416" t="s">
        <v>845</v>
      </c>
      <c r="L416" t="s">
        <v>91</v>
      </c>
      <c r="M416" t="s">
        <v>1163</v>
      </c>
      <c r="N416" s="57">
        <v>1200</v>
      </c>
      <c r="O416" t="s">
        <v>100</v>
      </c>
      <c r="P416" t="s">
        <v>38</v>
      </c>
      <c r="Q416" s="3">
        <v>44907</v>
      </c>
      <c r="R416" s="10">
        <f t="shared" ca="1" si="12"/>
        <v>46229</v>
      </c>
      <c r="S416" s="7">
        <f t="shared" ca="1" si="13"/>
        <v>3.6219178082191781</v>
      </c>
    </row>
    <row r="417" spans="1:19" x14ac:dyDescent="0.25">
      <c r="A417">
        <v>1209628</v>
      </c>
      <c r="B417" t="s">
        <v>288</v>
      </c>
      <c r="C417" t="s">
        <v>17</v>
      </c>
      <c r="D417" s="6" t="s">
        <v>22</v>
      </c>
      <c r="E417" t="s">
        <v>102</v>
      </c>
      <c r="G417" s="6" t="s">
        <v>971</v>
      </c>
      <c r="H417" s="59" t="s">
        <v>1010</v>
      </c>
      <c r="I417" s="58" t="s">
        <v>851</v>
      </c>
      <c r="J417" t="s">
        <v>894</v>
      </c>
      <c r="K417" t="s">
        <v>845</v>
      </c>
      <c r="L417" t="s">
        <v>91</v>
      </c>
      <c r="M417" t="s">
        <v>1163</v>
      </c>
      <c r="N417" s="57">
        <v>1200</v>
      </c>
      <c r="O417" t="s">
        <v>100</v>
      </c>
      <c r="P417" t="s">
        <v>93</v>
      </c>
      <c r="Q417" s="3">
        <v>45817</v>
      </c>
      <c r="R417" s="10">
        <f t="shared" ca="1" si="12"/>
        <v>46229</v>
      </c>
      <c r="S417" s="7">
        <f t="shared" ca="1" si="13"/>
        <v>1.1287671232876713</v>
      </c>
    </row>
    <row r="418" spans="1:19" x14ac:dyDescent="0.25">
      <c r="A418">
        <v>1231400</v>
      </c>
      <c r="B418" t="s">
        <v>1442</v>
      </c>
      <c r="C418" t="s">
        <v>17</v>
      </c>
      <c r="D418" s="6" t="s">
        <v>22</v>
      </c>
      <c r="E418" t="s">
        <v>102</v>
      </c>
      <c r="G418" s="6" t="s">
        <v>971</v>
      </c>
      <c r="H418" s="59" t="s">
        <v>1010</v>
      </c>
      <c r="I418" s="58" t="s">
        <v>851</v>
      </c>
      <c r="J418" t="s">
        <v>894</v>
      </c>
      <c r="K418" t="s">
        <v>845</v>
      </c>
      <c r="L418" t="s">
        <v>1038</v>
      </c>
      <c r="M418" t="s">
        <v>1163</v>
      </c>
      <c r="N418" s="57">
        <v>1300</v>
      </c>
      <c r="O418" t="s">
        <v>100</v>
      </c>
      <c r="P418" t="s">
        <v>93</v>
      </c>
      <c r="Q418" s="3">
        <v>46146</v>
      </c>
      <c r="R418" s="10">
        <f t="shared" ca="1" si="12"/>
        <v>46229</v>
      </c>
      <c r="S418" s="7">
        <f t="shared" ca="1" si="13"/>
        <v>0.22739726027397261</v>
      </c>
    </row>
    <row r="419" spans="1:19" x14ac:dyDescent="0.25">
      <c r="A419">
        <v>29003</v>
      </c>
      <c r="B419" t="s">
        <v>1603</v>
      </c>
      <c r="C419" t="s">
        <v>17</v>
      </c>
      <c r="D419" s="6" t="s">
        <v>22</v>
      </c>
      <c r="E419" t="s">
        <v>80</v>
      </c>
      <c r="G419" s="6" t="s">
        <v>971</v>
      </c>
      <c r="H419" s="59" t="s">
        <v>1010</v>
      </c>
      <c r="I419" s="58" t="s">
        <v>851</v>
      </c>
      <c r="J419" t="s">
        <v>894</v>
      </c>
      <c r="K419" t="s">
        <v>845</v>
      </c>
      <c r="L419" t="s">
        <v>91</v>
      </c>
      <c r="M419" t="s">
        <v>1163</v>
      </c>
      <c r="N419" s="57">
        <v>1200</v>
      </c>
      <c r="O419" t="s">
        <v>100</v>
      </c>
      <c r="P419" t="s">
        <v>93</v>
      </c>
      <c r="Q419" s="3">
        <v>39601</v>
      </c>
      <c r="R419" s="10">
        <f t="shared" ca="1" si="12"/>
        <v>46229</v>
      </c>
      <c r="S419" s="7">
        <f t="shared" ca="1" si="13"/>
        <v>18.158904109589042</v>
      </c>
    </row>
    <row r="420" spans="1:19" x14ac:dyDescent="0.25">
      <c r="A420">
        <v>19950</v>
      </c>
      <c r="B420" t="s">
        <v>297</v>
      </c>
      <c r="C420" t="s">
        <v>17</v>
      </c>
      <c r="D420" s="6" t="s">
        <v>22</v>
      </c>
      <c r="E420" t="s">
        <v>102</v>
      </c>
      <c r="G420" s="6" t="s">
        <v>971</v>
      </c>
      <c r="H420" s="59" t="s">
        <v>1010</v>
      </c>
      <c r="I420" s="58" t="s">
        <v>851</v>
      </c>
      <c r="J420" t="s">
        <v>894</v>
      </c>
      <c r="K420" t="s">
        <v>845</v>
      </c>
      <c r="L420" t="s">
        <v>91</v>
      </c>
      <c r="M420" t="s">
        <v>1163</v>
      </c>
      <c r="N420" s="57">
        <v>1300</v>
      </c>
      <c r="O420" t="s">
        <v>100</v>
      </c>
      <c r="P420" t="s">
        <v>93</v>
      </c>
      <c r="Q420" s="3">
        <v>42520</v>
      </c>
      <c r="R420" s="10">
        <f t="shared" ca="1" si="12"/>
        <v>46229</v>
      </c>
      <c r="S420" s="7">
        <f t="shared" ca="1" si="13"/>
        <v>10.161643835616438</v>
      </c>
    </row>
    <row r="421" spans="1:19" x14ac:dyDescent="0.25">
      <c r="A421">
        <v>3007637</v>
      </c>
      <c r="B421" t="s">
        <v>369</v>
      </c>
      <c r="C421" t="s">
        <v>17</v>
      </c>
      <c r="D421" s="6" t="s">
        <v>22</v>
      </c>
      <c r="E421" t="s">
        <v>102</v>
      </c>
      <c r="G421" s="6" t="s">
        <v>971</v>
      </c>
      <c r="H421" s="59" t="s">
        <v>1010</v>
      </c>
      <c r="I421" s="58" t="s">
        <v>851</v>
      </c>
      <c r="J421" t="s">
        <v>894</v>
      </c>
      <c r="K421" t="s">
        <v>845</v>
      </c>
      <c r="L421" t="s">
        <v>91</v>
      </c>
      <c r="M421" t="s">
        <v>1163</v>
      </c>
      <c r="N421" s="57">
        <v>1200</v>
      </c>
      <c r="O421" t="s">
        <v>100</v>
      </c>
      <c r="P421" t="s">
        <v>93</v>
      </c>
      <c r="Q421" s="3">
        <v>45726</v>
      </c>
      <c r="R421" s="10">
        <f t="shared" ca="1" si="12"/>
        <v>46229</v>
      </c>
      <c r="S421" s="7">
        <f t="shared" ca="1" si="13"/>
        <v>1.3780821917808219</v>
      </c>
    </row>
    <row r="422" spans="1:19" x14ac:dyDescent="0.25">
      <c r="A422">
        <v>36930</v>
      </c>
      <c r="B422" t="s">
        <v>412</v>
      </c>
      <c r="C422" t="s">
        <v>17</v>
      </c>
      <c r="D422" s="6" t="s">
        <v>22</v>
      </c>
      <c r="E422" t="s">
        <v>102</v>
      </c>
      <c r="G422" s="6" t="s">
        <v>971</v>
      </c>
      <c r="H422" s="59" t="s">
        <v>1010</v>
      </c>
      <c r="I422" s="58" t="s">
        <v>851</v>
      </c>
      <c r="J422" t="s">
        <v>894</v>
      </c>
      <c r="K422" t="s">
        <v>845</v>
      </c>
      <c r="L422" t="s">
        <v>91</v>
      </c>
      <c r="M422" t="s">
        <v>1163</v>
      </c>
      <c r="N422" s="57">
        <v>1300</v>
      </c>
      <c r="O422" t="s">
        <v>100</v>
      </c>
      <c r="P422" t="s">
        <v>38</v>
      </c>
      <c r="Q422" s="3">
        <v>44238</v>
      </c>
      <c r="R422" s="10">
        <f t="shared" ca="1" si="12"/>
        <v>46229</v>
      </c>
      <c r="S422" s="7">
        <f t="shared" ca="1" si="13"/>
        <v>5.4547945205479449</v>
      </c>
    </row>
    <row r="423" spans="1:19" x14ac:dyDescent="0.25">
      <c r="A423">
        <v>37470</v>
      </c>
      <c r="B423" t="s">
        <v>416</v>
      </c>
      <c r="C423" t="s">
        <v>17</v>
      </c>
      <c r="D423" s="6" t="s">
        <v>22</v>
      </c>
      <c r="E423" t="s">
        <v>80</v>
      </c>
      <c r="G423" s="6" t="s">
        <v>971</v>
      </c>
      <c r="H423" s="59" t="s">
        <v>1010</v>
      </c>
      <c r="I423" s="58" t="s">
        <v>851</v>
      </c>
      <c r="J423" t="s">
        <v>894</v>
      </c>
      <c r="K423" t="s">
        <v>845</v>
      </c>
      <c r="L423" t="s">
        <v>91</v>
      </c>
      <c r="M423" t="s">
        <v>1163</v>
      </c>
      <c r="N423" s="57">
        <v>1200</v>
      </c>
      <c r="O423" t="s">
        <v>100</v>
      </c>
      <c r="P423" t="s">
        <v>93</v>
      </c>
      <c r="Q423" s="3">
        <v>42683</v>
      </c>
      <c r="R423" s="10">
        <f t="shared" ca="1" si="12"/>
        <v>46229</v>
      </c>
      <c r="S423" s="7">
        <f t="shared" ca="1" si="13"/>
        <v>9.7150684931506852</v>
      </c>
    </row>
    <row r="424" spans="1:19" x14ac:dyDescent="0.25">
      <c r="A424">
        <v>4013193</v>
      </c>
      <c r="B424" t="s">
        <v>432</v>
      </c>
      <c r="C424" t="s">
        <v>17</v>
      </c>
      <c r="D424" s="6" t="s">
        <v>22</v>
      </c>
      <c r="E424" t="s">
        <v>102</v>
      </c>
      <c r="G424" s="6" t="s">
        <v>971</v>
      </c>
      <c r="H424" s="59" t="s">
        <v>1010</v>
      </c>
      <c r="I424" s="58" t="s">
        <v>851</v>
      </c>
      <c r="J424" t="s">
        <v>894</v>
      </c>
      <c r="K424" t="s">
        <v>845</v>
      </c>
      <c r="L424" t="s">
        <v>91</v>
      </c>
      <c r="M424" t="s">
        <v>1163</v>
      </c>
      <c r="N424" s="57">
        <v>1200</v>
      </c>
      <c r="O424" t="s">
        <v>100</v>
      </c>
      <c r="P424" t="s">
        <v>93</v>
      </c>
      <c r="Q424" s="3">
        <v>45740</v>
      </c>
      <c r="R424" s="10">
        <f t="shared" ca="1" si="12"/>
        <v>46229</v>
      </c>
      <c r="S424" s="7">
        <f t="shared" ca="1" si="13"/>
        <v>1.3397260273972602</v>
      </c>
    </row>
    <row r="425" spans="1:19" x14ac:dyDescent="0.25">
      <c r="A425">
        <v>4056518</v>
      </c>
      <c r="B425" t="s">
        <v>493</v>
      </c>
      <c r="C425" t="s">
        <v>17</v>
      </c>
      <c r="D425" s="6" t="s">
        <v>22</v>
      </c>
      <c r="E425" t="s">
        <v>102</v>
      </c>
      <c r="G425" s="6" t="s">
        <v>971</v>
      </c>
      <c r="H425" s="59" t="s">
        <v>1010</v>
      </c>
      <c r="I425" s="58" t="s">
        <v>851</v>
      </c>
      <c r="J425" t="s">
        <v>894</v>
      </c>
      <c r="K425" t="s">
        <v>845</v>
      </c>
      <c r="L425" t="s">
        <v>91</v>
      </c>
      <c r="M425" t="s">
        <v>1163</v>
      </c>
      <c r="N425" s="57">
        <v>1200</v>
      </c>
      <c r="O425" t="s">
        <v>100</v>
      </c>
      <c r="P425" t="s">
        <v>93</v>
      </c>
      <c r="Q425" s="3">
        <v>45635</v>
      </c>
      <c r="R425" s="10">
        <f t="shared" ca="1" si="12"/>
        <v>46229</v>
      </c>
      <c r="S425" s="7">
        <f t="shared" ca="1" si="13"/>
        <v>1.6273972602739726</v>
      </c>
    </row>
    <row r="426" spans="1:19" x14ac:dyDescent="0.25">
      <c r="A426">
        <v>4057793</v>
      </c>
      <c r="B426" t="s">
        <v>494</v>
      </c>
      <c r="C426" t="s">
        <v>17</v>
      </c>
      <c r="D426" s="6" t="s">
        <v>22</v>
      </c>
      <c r="E426" t="s">
        <v>102</v>
      </c>
      <c r="G426" s="6" t="s">
        <v>971</v>
      </c>
      <c r="H426" s="59" t="s">
        <v>1010</v>
      </c>
      <c r="I426" s="58" t="s">
        <v>851</v>
      </c>
      <c r="J426" t="s">
        <v>894</v>
      </c>
      <c r="K426" t="s">
        <v>845</v>
      </c>
      <c r="L426" t="s">
        <v>91</v>
      </c>
      <c r="M426" t="s">
        <v>1163</v>
      </c>
      <c r="N426" s="57">
        <v>1200</v>
      </c>
      <c r="O426" t="s">
        <v>100</v>
      </c>
      <c r="P426" t="s">
        <v>93</v>
      </c>
      <c r="Q426" s="3">
        <v>44697</v>
      </c>
      <c r="R426" s="10">
        <f t="shared" ca="1" si="12"/>
        <v>46229</v>
      </c>
      <c r="S426" s="7">
        <f t="shared" ca="1" si="13"/>
        <v>4.1972602739726028</v>
      </c>
    </row>
    <row r="427" spans="1:19" x14ac:dyDescent="0.25">
      <c r="A427">
        <v>4063304</v>
      </c>
      <c r="B427" t="s">
        <v>504</v>
      </c>
      <c r="C427" t="s">
        <v>17</v>
      </c>
      <c r="D427" s="6" t="s">
        <v>22</v>
      </c>
      <c r="E427" t="s">
        <v>102</v>
      </c>
      <c r="G427" s="6" t="s">
        <v>971</v>
      </c>
      <c r="H427" s="59" t="s">
        <v>1010</v>
      </c>
      <c r="I427" s="58" t="s">
        <v>851</v>
      </c>
      <c r="J427" t="s">
        <v>894</v>
      </c>
      <c r="K427" t="s">
        <v>845</v>
      </c>
      <c r="L427" t="s">
        <v>91</v>
      </c>
      <c r="M427" t="s">
        <v>1163</v>
      </c>
      <c r="N427" s="57">
        <v>1200</v>
      </c>
      <c r="O427" t="s">
        <v>100</v>
      </c>
      <c r="P427" t="s">
        <v>93</v>
      </c>
      <c r="Q427" s="3">
        <v>45615</v>
      </c>
      <c r="R427" s="10">
        <f t="shared" ca="1" si="12"/>
        <v>46229</v>
      </c>
      <c r="S427" s="7">
        <f t="shared" ca="1" si="13"/>
        <v>1.6821917808219178</v>
      </c>
    </row>
    <row r="428" spans="1:19" x14ac:dyDescent="0.25">
      <c r="A428">
        <v>4063923</v>
      </c>
      <c r="B428" t="s">
        <v>506</v>
      </c>
      <c r="C428" t="s">
        <v>17</v>
      </c>
      <c r="D428" s="6" t="s">
        <v>22</v>
      </c>
      <c r="E428" t="s">
        <v>102</v>
      </c>
      <c r="G428" s="6" t="s">
        <v>971</v>
      </c>
      <c r="H428" s="59" t="s">
        <v>1010</v>
      </c>
      <c r="I428" s="58" t="s">
        <v>851</v>
      </c>
      <c r="J428" t="s">
        <v>894</v>
      </c>
      <c r="K428" t="s">
        <v>845</v>
      </c>
      <c r="L428" t="s">
        <v>91</v>
      </c>
      <c r="M428" t="s">
        <v>1163</v>
      </c>
      <c r="N428" s="57">
        <v>1200</v>
      </c>
      <c r="O428" t="s">
        <v>100</v>
      </c>
      <c r="P428" t="s">
        <v>38</v>
      </c>
      <c r="Q428" s="3">
        <v>44784</v>
      </c>
      <c r="R428" s="10">
        <f t="shared" ca="1" si="12"/>
        <v>46229</v>
      </c>
      <c r="S428" s="7">
        <f t="shared" ca="1" si="13"/>
        <v>3.9589041095890409</v>
      </c>
    </row>
    <row r="429" spans="1:19" x14ac:dyDescent="0.25">
      <c r="A429">
        <v>4079576</v>
      </c>
      <c r="B429" t="s">
        <v>1002</v>
      </c>
      <c r="C429" t="s">
        <v>17</v>
      </c>
      <c r="D429" s="6" t="s">
        <v>22</v>
      </c>
      <c r="E429" t="s">
        <v>102</v>
      </c>
      <c r="G429" s="6" t="s">
        <v>971</v>
      </c>
      <c r="H429" s="59" t="s">
        <v>1010</v>
      </c>
      <c r="I429" s="58" t="s">
        <v>851</v>
      </c>
      <c r="J429" t="s">
        <v>894</v>
      </c>
      <c r="K429" t="s">
        <v>845</v>
      </c>
      <c r="L429" t="s">
        <v>91</v>
      </c>
      <c r="M429" t="s">
        <v>1163</v>
      </c>
      <c r="N429" s="57">
        <v>1200</v>
      </c>
      <c r="O429" t="s">
        <v>100</v>
      </c>
      <c r="P429" t="s">
        <v>93</v>
      </c>
      <c r="Q429" s="3">
        <v>44952</v>
      </c>
      <c r="R429" s="10">
        <f t="shared" ca="1" si="12"/>
        <v>46229</v>
      </c>
      <c r="S429" s="7">
        <f t="shared" ca="1" si="13"/>
        <v>3.4986301369863013</v>
      </c>
    </row>
    <row r="430" spans="1:19" x14ac:dyDescent="0.25">
      <c r="A430">
        <v>4110730</v>
      </c>
      <c r="B430" t="s">
        <v>1643</v>
      </c>
      <c r="C430" t="s">
        <v>1044</v>
      </c>
      <c r="D430" s="6" t="s">
        <v>22</v>
      </c>
      <c r="E430" t="s">
        <v>21</v>
      </c>
      <c r="G430" s="6" t="s">
        <v>971</v>
      </c>
      <c r="H430" s="59" t="s">
        <v>1010</v>
      </c>
      <c r="I430" s="58" t="s">
        <v>851</v>
      </c>
      <c r="J430" t="s">
        <v>894</v>
      </c>
      <c r="K430" t="s">
        <v>845</v>
      </c>
      <c r="L430" t="s">
        <v>91</v>
      </c>
      <c r="M430" t="s">
        <v>1163</v>
      </c>
      <c r="N430" s="57">
        <v>1200</v>
      </c>
      <c r="O430" t="s">
        <v>100</v>
      </c>
      <c r="P430" t="s">
        <v>93</v>
      </c>
      <c r="Q430" s="3">
        <v>46170</v>
      </c>
      <c r="R430" s="10">
        <f t="shared" ca="1" si="12"/>
        <v>46229</v>
      </c>
      <c r="S430" s="7">
        <f t="shared" ca="1" si="13"/>
        <v>0.16164383561643836</v>
      </c>
    </row>
    <row r="431" spans="1:19" x14ac:dyDescent="0.25">
      <c r="A431">
        <v>4122997</v>
      </c>
      <c r="B431" t="s">
        <v>1399</v>
      </c>
      <c r="C431" t="s">
        <v>1044</v>
      </c>
      <c r="D431" s="6" t="s">
        <v>22</v>
      </c>
      <c r="E431" t="s">
        <v>21</v>
      </c>
      <c r="G431" s="6" t="s">
        <v>971</v>
      </c>
      <c r="H431" s="59" t="s">
        <v>1010</v>
      </c>
      <c r="I431" s="58" t="s">
        <v>851</v>
      </c>
      <c r="J431" t="s">
        <v>894</v>
      </c>
      <c r="K431" t="s">
        <v>845</v>
      </c>
      <c r="L431" t="s">
        <v>91</v>
      </c>
      <c r="M431" t="s">
        <v>1163</v>
      </c>
      <c r="N431" s="57">
        <v>1200</v>
      </c>
      <c r="O431" t="s">
        <v>100</v>
      </c>
      <c r="P431" t="s">
        <v>93</v>
      </c>
      <c r="Q431" s="3">
        <v>46128</v>
      </c>
      <c r="R431" s="10">
        <f t="shared" ca="1" si="12"/>
        <v>46229</v>
      </c>
      <c r="S431" s="7">
        <f t="shared" ca="1" si="13"/>
        <v>0.27671232876712326</v>
      </c>
    </row>
    <row r="432" spans="1:19" x14ac:dyDescent="0.25">
      <c r="A432">
        <v>4123026</v>
      </c>
      <c r="B432" t="s">
        <v>1403</v>
      </c>
      <c r="C432" t="s">
        <v>1044</v>
      </c>
      <c r="D432" s="6" t="s">
        <v>22</v>
      </c>
      <c r="E432" t="s">
        <v>21</v>
      </c>
      <c r="G432" s="6" t="s">
        <v>971</v>
      </c>
      <c r="H432" s="59" t="s">
        <v>1010</v>
      </c>
      <c r="I432" s="58" t="s">
        <v>851</v>
      </c>
      <c r="J432" t="s">
        <v>894</v>
      </c>
      <c r="K432" t="s">
        <v>845</v>
      </c>
      <c r="L432" t="s">
        <v>91</v>
      </c>
      <c r="M432" t="s">
        <v>1163</v>
      </c>
      <c r="N432" s="57">
        <v>1200</v>
      </c>
      <c r="O432" t="s">
        <v>100</v>
      </c>
      <c r="P432" t="s">
        <v>93</v>
      </c>
      <c r="Q432" s="3">
        <v>46128</v>
      </c>
      <c r="R432" s="10">
        <f t="shared" ca="1" si="12"/>
        <v>46229</v>
      </c>
      <c r="S432" s="7">
        <f t="shared" ca="1" si="13"/>
        <v>0.27671232876712326</v>
      </c>
    </row>
    <row r="433" spans="1:19" x14ac:dyDescent="0.25">
      <c r="A433">
        <v>4123027</v>
      </c>
      <c r="B433" t="s">
        <v>1404</v>
      </c>
      <c r="C433" t="s">
        <v>1044</v>
      </c>
      <c r="D433" s="6" t="s">
        <v>22</v>
      </c>
      <c r="E433" t="s">
        <v>21</v>
      </c>
      <c r="G433" s="6" t="s">
        <v>971</v>
      </c>
      <c r="H433" s="59" t="s">
        <v>1010</v>
      </c>
      <c r="I433" s="58" t="s">
        <v>851</v>
      </c>
      <c r="J433" t="s">
        <v>894</v>
      </c>
      <c r="K433" t="s">
        <v>845</v>
      </c>
      <c r="L433" t="s">
        <v>91</v>
      </c>
      <c r="M433" t="s">
        <v>1163</v>
      </c>
      <c r="N433" s="57">
        <v>1200</v>
      </c>
      <c r="O433" t="s">
        <v>100</v>
      </c>
      <c r="P433" t="s">
        <v>93</v>
      </c>
      <c r="Q433" s="3">
        <v>46128</v>
      </c>
      <c r="R433" s="10">
        <f t="shared" ca="1" si="12"/>
        <v>46229</v>
      </c>
      <c r="S433" s="7">
        <f t="shared" ca="1" si="13"/>
        <v>0.27671232876712326</v>
      </c>
    </row>
    <row r="434" spans="1:19" x14ac:dyDescent="0.25">
      <c r="A434">
        <v>569261</v>
      </c>
      <c r="B434" t="s">
        <v>700</v>
      </c>
      <c r="C434" t="s">
        <v>17</v>
      </c>
      <c r="D434" s="6" t="s">
        <v>22</v>
      </c>
      <c r="E434" t="s">
        <v>102</v>
      </c>
      <c r="G434" s="6" t="s">
        <v>971</v>
      </c>
      <c r="H434" s="59" t="s">
        <v>1010</v>
      </c>
      <c r="I434" s="58" t="s">
        <v>851</v>
      </c>
      <c r="J434" t="s">
        <v>894</v>
      </c>
      <c r="K434" t="s">
        <v>845</v>
      </c>
      <c r="L434" t="s">
        <v>91</v>
      </c>
      <c r="M434" t="s">
        <v>1163</v>
      </c>
      <c r="N434" s="57">
        <v>1200</v>
      </c>
      <c r="O434" t="s">
        <v>100</v>
      </c>
      <c r="P434" t="s">
        <v>93</v>
      </c>
      <c r="Q434" s="3">
        <v>45628</v>
      </c>
      <c r="R434" s="10">
        <f t="shared" ca="1" si="12"/>
        <v>46229</v>
      </c>
      <c r="S434" s="7">
        <f t="shared" ca="1" si="13"/>
        <v>1.6465753424657534</v>
      </c>
    </row>
    <row r="435" spans="1:19" x14ac:dyDescent="0.25">
      <c r="A435">
        <v>574093</v>
      </c>
      <c r="B435" t="s">
        <v>704</v>
      </c>
      <c r="C435" t="s">
        <v>17</v>
      </c>
      <c r="D435" s="6" t="s">
        <v>22</v>
      </c>
      <c r="E435" t="s">
        <v>102</v>
      </c>
      <c r="G435" s="6" t="s">
        <v>971</v>
      </c>
      <c r="H435" s="59" t="s">
        <v>1010</v>
      </c>
      <c r="I435" s="58" t="s">
        <v>851</v>
      </c>
      <c r="J435" t="s">
        <v>894</v>
      </c>
      <c r="K435" t="s">
        <v>845</v>
      </c>
      <c r="L435" t="s">
        <v>91</v>
      </c>
      <c r="M435" t="s">
        <v>1163</v>
      </c>
      <c r="N435" s="57">
        <v>1200</v>
      </c>
      <c r="O435" t="s">
        <v>100</v>
      </c>
      <c r="P435" t="s">
        <v>943</v>
      </c>
      <c r="Q435" s="3">
        <v>45782</v>
      </c>
      <c r="R435" s="10">
        <f t="shared" ca="1" si="12"/>
        <v>46229</v>
      </c>
      <c r="S435" s="7">
        <f t="shared" ca="1" si="13"/>
        <v>1.2246575342465753</v>
      </c>
    </row>
    <row r="436" spans="1:19" x14ac:dyDescent="0.25">
      <c r="A436">
        <v>816618</v>
      </c>
      <c r="B436" t="s">
        <v>731</v>
      </c>
      <c r="C436" t="s">
        <v>17</v>
      </c>
      <c r="D436" s="6" t="s">
        <v>22</v>
      </c>
      <c r="E436" t="s">
        <v>102</v>
      </c>
      <c r="G436" s="6" t="s">
        <v>971</v>
      </c>
      <c r="H436" s="59" t="s">
        <v>1010</v>
      </c>
      <c r="I436" s="58" t="s">
        <v>851</v>
      </c>
      <c r="J436" t="s">
        <v>894</v>
      </c>
      <c r="K436" t="s">
        <v>845</v>
      </c>
      <c r="L436" t="s">
        <v>91</v>
      </c>
      <c r="M436" t="s">
        <v>1163</v>
      </c>
      <c r="N436" s="57">
        <v>1200</v>
      </c>
      <c r="O436" t="s">
        <v>100</v>
      </c>
      <c r="P436" t="s">
        <v>93</v>
      </c>
      <c r="Q436" s="3">
        <v>45621</v>
      </c>
      <c r="R436" s="10">
        <f t="shared" ca="1" si="12"/>
        <v>46229</v>
      </c>
      <c r="S436" s="7">
        <f t="shared" ca="1" si="13"/>
        <v>1.6657534246575343</v>
      </c>
    </row>
    <row r="437" spans="1:19" x14ac:dyDescent="0.25">
      <c r="A437">
        <v>834847</v>
      </c>
      <c r="B437" t="s">
        <v>733</v>
      </c>
      <c r="C437" t="s">
        <v>17</v>
      </c>
      <c r="D437" s="6" t="s">
        <v>22</v>
      </c>
      <c r="E437" t="s">
        <v>102</v>
      </c>
      <c r="G437" s="6" t="s">
        <v>971</v>
      </c>
      <c r="H437" s="59" t="s">
        <v>1010</v>
      </c>
      <c r="I437" s="58" t="s">
        <v>851</v>
      </c>
      <c r="J437" t="s">
        <v>894</v>
      </c>
      <c r="K437" t="s">
        <v>845</v>
      </c>
      <c r="L437" t="s">
        <v>91</v>
      </c>
      <c r="M437" t="s">
        <v>1163</v>
      </c>
      <c r="N437" s="57">
        <v>1200</v>
      </c>
      <c r="O437" t="s">
        <v>100</v>
      </c>
      <c r="P437" t="s">
        <v>38</v>
      </c>
      <c r="Q437" s="3">
        <v>43843</v>
      </c>
      <c r="R437" s="10">
        <f t="shared" ca="1" si="12"/>
        <v>46229</v>
      </c>
      <c r="S437" s="7">
        <f t="shared" ca="1" si="13"/>
        <v>6.536986301369863</v>
      </c>
    </row>
    <row r="438" spans="1:19" x14ac:dyDescent="0.25">
      <c r="A438">
        <v>855275</v>
      </c>
      <c r="B438" t="s">
        <v>744</v>
      </c>
      <c r="C438" t="s">
        <v>17</v>
      </c>
      <c r="D438" s="6" t="s">
        <v>22</v>
      </c>
      <c r="E438" t="s">
        <v>102</v>
      </c>
      <c r="G438" s="6" t="s">
        <v>971</v>
      </c>
      <c r="H438" s="59" t="s">
        <v>1010</v>
      </c>
      <c r="I438" s="58" t="s">
        <v>851</v>
      </c>
      <c r="J438" t="s">
        <v>894</v>
      </c>
      <c r="K438" t="s">
        <v>845</v>
      </c>
      <c r="L438" t="s">
        <v>91</v>
      </c>
      <c r="M438" t="s">
        <v>1163</v>
      </c>
      <c r="N438" s="57">
        <v>1200</v>
      </c>
      <c r="O438" t="s">
        <v>100</v>
      </c>
      <c r="P438" t="s">
        <v>93</v>
      </c>
      <c r="Q438" s="3">
        <v>44714</v>
      </c>
      <c r="R438" s="10">
        <f t="shared" ca="1" si="12"/>
        <v>46229</v>
      </c>
      <c r="S438" s="7">
        <f t="shared" ca="1" si="13"/>
        <v>4.1506849315068495</v>
      </c>
    </row>
    <row r="439" spans="1:19" x14ac:dyDescent="0.25">
      <c r="A439">
        <v>900810</v>
      </c>
      <c r="B439" t="s">
        <v>759</v>
      </c>
      <c r="C439" t="s">
        <v>17</v>
      </c>
      <c r="D439" s="6" t="s">
        <v>22</v>
      </c>
      <c r="E439" t="s">
        <v>102</v>
      </c>
      <c r="G439" s="6" t="s">
        <v>971</v>
      </c>
      <c r="H439" s="59" t="s">
        <v>1010</v>
      </c>
      <c r="I439" s="58" t="s">
        <v>851</v>
      </c>
      <c r="J439" t="s">
        <v>894</v>
      </c>
      <c r="K439" t="s">
        <v>845</v>
      </c>
      <c r="L439" t="s">
        <v>91</v>
      </c>
      <c r="M439" t="s">
        <v>1163</v>
      </c>
      <c r="N439" s="57">
        <v>1300</v>
      </c>
      <c r="O439" t="s">
        <v>100</v>
      </c>
      <c r="P439" t="s">
        <v>38</v>
      </c>
      <c r="Q439" s="3">
        <v>42184</v>
      </c>
      <c r="R439" s="10">
        <f t="shared" ca="1" si="12"/>
        <v>46229</v>
      </c>
      <c r="S439" s="7">
        <f t="shared" ca="1" si="13"/>
        <v>11.082191780821917</v>
      </c>
    </row>
    <row r="440" spans="1:19" x14ac:dyDescent="0.25">
      <c r="A440">
        <v>23000</v>
      </c>
      <c r="B440" t="s">
        <v>311</v>
      </c>
      <c r="C440" t="s">
        <v>17</v>
      </c>
      <c r="D440" s="6" t="s">
        <v>22</v>
      </c>
      <c r="E440" t="s">
        <v>44</v>
      </c>
      <c r="G440" s="6" t="s">
        <v>967</v>
      </c>
      <c r="H440" s="59" t="s">
        <v>1023</v>
      </c>
      <c r="I440" s="58" t="s">
        <v>923</v>
      </c>
      <c r="J440" t="s">
        <v>826</v>
      </c>
      <c r="K440" t="s">
        <v>827</v>
      </c>
      <c r="L440" t="s">
        <v>1038</v>
      </c>
      <c r="M440" t="s">
        <v>1163</v>
      </c>
      <c r="N440" s="57">
        <v>1500</v>
      </c>
      <c r="O440" t="s">
        <v>100</v>
      </c>
      <c r="P440" t="s">
        <v>93</v>
      </c>
      <c r="Q440" s="3">
        <v>37984</v>
      </c>
      <c r="R440" s="10">
        <f t="shared" ca="1" si="12"/>
        <v>46229</v>
      </c>
      <c r="S440" s="7">
        <f t="shared" ca="1" si="13"/>
        <v>22.589041095890412</v>
      </c>
    </row>
    <row r="441" spans="1:19" x14ac:dyDescent="0.25">
      <c r="A441">
        <v>3003401</v>
      </c>
      <c r="B441" t="s">
        <v>363</v>
      </c>
      <c r="C441" t="s">
        <v>17</v>
      </c>
      <c r="D441" s="6" t="s">
        <v>22</v>
      </c>
      <c r="E441" t="s">
        <v>44</v>
      </c>
      <c r="G441" s="6" t="s">
        <v>967</v>
      </c>
      <c r="H441" s="59" t="s">
        <v>1023</v>
      </c>
      <c r="I441" s="58" t="s">
        <v>923</v>
      </c>
      <c r="J441" t="s">
        <v>826</v>
      </c>
      <c r="K441" t="s">
        <v>827</v>
      </c>
      <c r="L441" t="s">
        <v>25</v>
      </c>
      <c r="M441" t="s">
        <v>1163</v>
      </c>
      <c r="N441" s="57">
        <v>1500</v>
      </c>
      <c r="O441" t="s">
        <v>100</v>
      </c>
      <c r="P441" t="s">
        <v>38</v>
      </c>
      <c r="Q441" s="3">
        <v>43160</v>
      </c>
      <c r="R441" s="10">
        <f t="shared" ca="1" si="12"/>
        <v>46229</v>
      </c>
      <c r="S441" s="7">
        <f t="shared" ca="1" si="13"/>
        <v>8.4082191780821915</v>
      </c>
    </row>
    <row r="442" spans="1:19" x14ac:dyDescent="0.25">
      <c r="A442">
        <v>4011124</v>
      </c>
      <c r="B442" t="s">
        <v>430</v>
      </c>
      <c r="C442" t="s">
        <v>17</v>
      </c>
      <c r="D442" s="6" t="s">
        <v>22</v>
      </c>
      <c r="E442" t="s">
        <v>53</v>
      </c>
      <c r="G442" s="6" t="s">
        <v>967</v>
      </c>
      <c r="H442" s="59" t="s">
        <v>1023</v>
      </c>
      <c r="I442" s="58" t="s">
        <v>923</v>
      </c>
      <c r="J442" t="s">
        <v>826</v>
      </c>
      <c r="K442" t="s">
        <v>827</v>
      </c>
      <c r="L442" t="s">
        <v>1038</v>
      </c>
      <c r="M442" t="s">
        <v>1163</v>
      </c>
      <c r="N442" s="57">
        <v>1500</v>
      </c>
      <c r="O442" t="s">
        <v>100</v>
      </c>
      <c r="P442" t="s">
        <v>93</v>
      </c>
      <c r="Q442" s="3">
        <v>44956</v>
      </c>
      <c r="R442" s="10">
        <f t="shared" ca="1" si="12"/>
        <v>46229</v>
      </c>
      <c r="S442" s="7">
        <f t="shared" ca="1" si="13"/>
        <v>3.4876712328767123</v>
      </c>
    </row>
    <row r="443" spans="1:19" x14ac:dyDescent="0.25">
      <c r="A443">
        <v>4080336</v>
      </c>
      <c r="B443" t="s">
        <v>1060</v>
      </c>
      <c r="C443" t="s">
        <v>17</v>
      </c>
      <c r="D443" s="6" t="s">
        <v>22</v>
      </c>
      <c r="E443" t="s">
        <v>53</v>
      </c>
      <c r="G443" s="6" t="s">
        <v>967</v>
      </c>
      <c r="H443" s="59" t="s">
        <v>1023</v>
      </c>
      <c r="I443" s="58" t="s">
        <v>923</v>
      </c>
      <c r="J443" t="s">
        <v>826</v>
      </c>
      <c r="K443" t="s">
        <v>827</v>
      </c>
      <c r="L443" t="s">
        <v>1038</v>
      </c>
      <c r="M443" t="s">
        <v>1163</v>
      </c>
      <c r="N443" s="57">
        <v>1500</v>
      </c>
      <c r="O443" t="s">
        <v>100</v>
      </c>
      <c r="P443" t="s">
        <v>93</v>
      </c>
      <c r="Q443" s="3">
        <v>44959</v>
      </c>
      <c r="R443" s="10">
        <f t="shared" ca="1" si="12"/>
        <v>46229</v>
      </c>
      <c r="S443" s="7">
        <f t="shared" ca="1" si="13"/>
        <v>3.4794520547945207</v>
      </c>
    </row>
    <row r="444" spans="1:19" x14ac:dyDescent="0.25">
      <c r="A444">
        <v>582908</v>
      </c>
      <c r="B444" t="s">
        <v>715</v>
      </c>
      <c r="C444" t="s">
        <v>17</v>
      </c>
      <c r="D444" s="6" t="s">
        <v>22</v>
      </c>
      <c r="E444" t="s">
        <v>44</v>
      </c>
      <c r="G444" s="6" t="s">
        <v>967</v>
      </c>
      <c r="H444" s="59" t="s">
        <v>1023</v>
      </c>
      <c r="I444" s="58" t="s">
        <v>923</v>
      </c>
      <c r="J444" t="s">
        <v>826</v>
      </c>
      <c r="K444" t="s">
        <v>827</v>
      </c>
      <c r="L444" t="s">
        <v>1038</v>
      </c>
      <c r="M444" t="s">
        <v>1163</v>
      </c>
      <c r="N444" s="57">
        <v>1500</v>
      </c>
      <c r="O444" t="s">
        <v>100</v>
      </c>
      <c r="P444" t="s">
        <v>93</v>
      </c>
      <c r="Q444" s="3">
        <v>40869</v>
      </c>
      <c r="R444" s="10">
        <f t="shared" ca="1" si="12"/>
        <v>46229</v>
      </c>
      <c r="S444" s="7">
        <f t="shared" ca="1" si="13"/>
        <v>14.684931506849315</v>
      </c>
    </row>
    <row r="445" spans="1:19" x14ac:dyDescent="0.25">
      <c r="A445">
        <v>587351</v>
      </c>
      <c r="B445" t="s">
        <v>1410</v>
      </c>
      <c r="C445" t="s">
        <v>17</v>
      </c>
      <c r="D445" s="6" t="s">
        <v>22</v>
      </c>
      <c r="E445" t="s">
        <v>44</v>
      </c>
      <c r="G445" s="6" t="s">
        <v>967</v>
      </c>
      <c r="H445" s="59" t="s">
        <v>1023</v>
      </c>
      <c r="I445" s="58" t="s">
        <v>923</v>
      </c>
      <c r="J445" t="s">
        <v>826</v>
      </c>
      <c r="K445" t="s">
        <v>827</v>
      </c>
      <c r="L445" t="s">
        <v>1038</v>
      </c>
      <c r="M445" t="s">
        <v>1163</v>
      </c>
      <c r="N445" s="57">
        <v>1500</v>
      </c>
      <c r="O445" t="s">
        <v>100</v>
      </c>
      <c r="P445" t="s">
        <v>38</v>
      </c>
      <c r="Q445" s="3">
        <v>46132</v>
      </c>
      <c r="R445" s="10">
        <f t="shared" ca="1" si="12"/>
        <v>46229</v>
      </c>
      <c r="S445" s="7">
        <f t="shared" ca="1" si="13"/>
        <v>0.26575342465753427</v>
      </c>
    </row>
    <row r="446" spans="1:19" x14ac:dyDescent="0.25">
      <c r="A446">
        <v>921278</v>
      </c>
      <c r="B446" t="s">
        <v>1106</v>
      </c>
      <c r="C446" t="s">
        <v>17</v>
      </c>
      <c r="D446" s="6" t="s">
        <v>22</v>
      </c>
      <c r="E446" t="s">
        <v>44</v>
      </c>
      <c r="G446" s="6" t="s">
        <v>967</v>
      </c>
      <c r="H446" s="59" t="s">
        <v>1023</v>
      </c>
      <c r="I446" s="58" t="s">
        <v>923</v>
      </c>
      <c r="J446" t="s">
        <v>826</v>
      </c>
      <c r="K446" t="s">
        <v>827</v>
      </c>
      <c r="L446" t="s">
        <v>1038</v>
      </c>
      <c r="M446" t="s">
        <v>1163</v>
      </c>
      <c r="N446" s="57">
        <v>1500</v>
      </c>
      <c r="O446" t="s">
        <v>100</v>
      </c>
      <c r="P446" t="s">
        <v>93</v>
      </c>
      <c r="Q446" s="3">
        <v>42429</v>
      </c>
      <c r="R446" s="10">
        <f t="shared" ca="1" si="12"/>
        <v>46229</v>
      </c>
      <c r="S446" s="7">
        <f t="shared" ca="1" si="13"/>
        <v>10.41095890410959</v>
      </c>
    </row>
    <row r="447" spans="1:19" x14ac:dyDescent="0.25">
      <c r="A447">
        <v>930752</v>
      </c>
      <c r="B447" t="s">
        <v>1786</v>
      </c>
      <c r="C447" t="s">
        <v>17</v>
      </c>
      <c r="D447" s="6" t="s">
        <v>22</v>
      </c>
      <c r="E447" t="s">
        <v>44</v>
      </c>
      <c r="G447" s="6" t="s">
        <v>967</v>
      </c>
      <c r="H447" s="59" t="s">
        <v>1023</v>
      </c>
      <c r="I447" s="58" t="s">
        <v>923</v>
      </c>
      <c r="J447" t="s">
        <v>826</v>
      </c>
      <c r="K447" t="s">
        <v>827</v>
      </c>
      <c r="L447" t="s">
        <v>25</v>
      </c>
      <c r="M447" t="s">
        <v>1163</v>
      </c>
      <c r="N447" s="57">
        <v>1500</v>
      </c>
      <c r="O447" t="s">
        <v>100</v>
      </c>
      <c r="P447" t="s">
        <v>38</v>
      </c>
      <c r="Q447" s="3">
        <v>46181</v>
      </c>
      <c r="R447" s="10">
        <f t="shared" ca="1" si="12"/>
        <v>46229</v>
      </c>
      <c r="S447" s="7">
        <f t="shared" ca="1" si="13"/>
        <v>0.13150684931506848</v>
      </c>
    </row>
    <row r="448" spans="1:19" x14ac:dyDescent="0.25">
      <c r="A448">
        <v>1012907</v>
      </c>
      <c r="B448" t="s">
        <v>126</v>
      </c>
      <c r="C448" t="s">
        <v>17</v>
      </c>
      <c r="D448" s="6" t="s">
        <v>39</v>
      </c>
      <c r="E448" t="s">
        <v>964</v>
      </c>
      <c r="G448" s="6" t="s">
        <v>969</v>
      </c>
      <c r="H448" s="59" t="s">
        <v>92</v>
      </c>
      <c r="I448" s="58" t="s">
        <v>832</v>
      </c>
      <c r="J448" t="s">
        <v>31</v>
      </c>
      <c r="K448" t="s">
        <v>94</v>
      </c>
      <c r="L448" t="s">
        <v>966</v>
      </c>
      <c r="M448" t="s">
        <v>1163</v>
      </c>
      <c r="N448" s="57">
        <v>6900</v>
      </c>
      <c r="O448" t="s">
        <v>100</v>
      </c>
      <c r="P448" t="s">
        <v>38</v>
      </c>
      <c r="Q448" s="3">
        <v>42857</v>
      </c>
      <c r="R448" s="10">
        <f t="shared" ca="1" si="12"/>
        <v>46229</v>
      </c>
      <c r="S448" s="7">
        <f t="shared" ca="1" si="13"/>
        <v>9.2383561643835623</v>
      </c>
    </row>
    <row r="449" spans="1:19" x14ac:dyDescent="0.25">
      <c r="A449">
        <v>21858</v>
      </c>
      <c r="B449" t="s">
        <v>308</v>
      </c>
      <c r="C449" t="s">
        <v>17</v>
      </c>
      <c r="D449" s="6" t="s">
        <v>39</v>
      </c>
      <c r="E449" t="s">
        <v>961</v>
      </c>
      <c r="G449" s="6" t="s">
        <v>969</v>
      </c>
      <c r="H449" s="59" t="s">
        <v>92</v>
      </c>
      <c r="I449" s="58" t="s">
        <v>832</v>
      </c>
      <c r="J449" t="s">
        <v>31</v>
      </c>
      <c r="K449" t="s">
        <v>94</v>
      </c>
      <c r="L449" t="s">
        <v>966</v>
      </c>
      <c r="M449" t="s">
        <v>1163</v>
      </c>
      <c r="N449" s="57">
        <v>6900</v>
      </c>
      <c r="O449" t="s">
        <v>100</v>
      </c>
      <c r="P449" t="s">
        <v>38</v>
      </c>
      <c r="Q449" s="3">
        <v>39223</v>
      </c>
      <c r="R449" s="10">
        <f t="shared" ca="1" si="12"/>
        <v>46229</v>
      </c>
      <c r="S449" s="7">
        <f t="shared" ca="1" si="13"/>
        <v>19.194520547945206</v>
      </c>
    </row>
    <row r="450" spans="1:19" x14ac:dyDescent="0.25">
      <c r="A450">
        <v>23521</v>
      </c>
      <c r="B450" t="s">
        <v>315</v>
      </c>
      <c r="C450" t="s">
        <v>17</v>
      </c>
      <c r="D450" s="6" t="s">
        <v>39</v>
      </c>
      <c r="E450" t="s">
        <v>961</v>
      </c>
      <c r="G450" s="6" t="s">
        <v>969</v>
      </c>
      <c r="H450" s="59" t="s">
        <v>92</v>
      </c>
      <c r="I450" s="58" t="s">
        <v>832</v>
      </c>
      <c r="J450" t="s">
        <v>31</v>
      </c>
      <c r="K450" t="s">
        <v>94</v>
      </c>
      <c r="L450" t="s">
        <v>91</v>
      </c>
      <c r="M450" t="s">
        <v>1163</v>
      </c>
      <c r="N450" s="57">
        <v>6900</v>
      </c>
      <c r="O450" t="s">
        <v>100</v>
      </c>
      <c r="P450" t="s">
        <v>38</v>
      </c>
      <c r="Q450" s="3">
        <v>36479</v>
      </c>
      <c r="R450" s="10">
        <f t="shared" ca="1" si="12"/>
        <v>46229</v>
      </c>
      <c r="S450" s="7">
        <f t="shared" ca="1" si="13"/>
        <v>26.712328767123289</v>
      </c>
    </row>
    <row r="451" spans="1:19" x14ac:dyDescent="0.25">
      <c r="A451">
        <v>31887</v>
      </c>
      <c r="B451" t="s">
        <v>382</v>
      </c>
      <c r="C451" t="s">
        <v>17</v>
      </c>
      <c r="D451" s="6" t="s">
        <v>39</v>
      </c>
      <c r="E451" t="s">
        <v>90</v>
      </c>
      <c r="G451" s="6" t="s">
        <v>1844</v>
      </c>
      <c r="H451" s="59" t="s">
        <v>92</v>
      </c>
      <c r="I451" s="58" t="s">
        <v>832</v>
      </c>
      <c r="J451" t="s">
        <v>31</v>
      </c>
      <c r="K451" t="s">
        <v>94</v>
      </c>
      <c r="L451" t="s">
        <v>966</v>
      </c>
      <c r="M451" t="s">
        <v>1163</v>
      </c>
      <c r="N451" s="57">
        <v>6900</v>
      </c>
      <c r="O451" t="s">
        <v>100</v>
      </c>
      <c r="P451" t="s">
        <v>38</v>
      </c>
      <c r="Q451" s="3">
        <v>37312</v>
      </c>
      <c r="R451" s="10">
        <f t="shared" ref="R451:R514" ca="1" si="14">TODAY()</f>
        <v>46229</v>
      </c>
      <c r="S451" s="7">
        <f t="shared" ref="S451:S514" ca="1" si="15">(R451-Q451)/365</f>
        <v>24.43013698630137</v>
      </c>
    </row>
    <row r="452" spans="1:19" x14ac:dyDescent="0.25">
      <c r="A452">
        <v>600327</v>
      </c>
      <c r="B452" t="s">
        <v>723</v>
      </c>
      <c r="C452" t="s">
        <v>17</v>
      </c>
      <c r="D452" s="6" t="s">
        <v>39</v>
      </c>
      <c r="E452" t="s">
        <v>90</v>
      </c>
      <c r="G452" s="6" t="s">
        <v>1844</v>
      </c>
      <c r="H452" s="59" t="s">
        <v>92</v>
      </c>
      <c r="I452" s="58" t="s">
        <v>832</v>
      </c>
      <c r="J452" t="s">
        <v>31</v>
      </c>
      <c r="K452" t="s">
        <v>94</v>
      </c>
      <c r="L452" t="s">
        <v>966</v>
      </c>
      <c r="M452" t="s">
        <v>1163</v>
      </c>
      <c r="N452" s="57">
        <v>6900</v>
      </c>
      <c r="O452" t="s">
        <v>100</v>
      </c>
      <c r="P452" t="s">
        <v>38</v>
      </c>
      <c r="Q452" s="3">
        <v>40714</v>
      </c>
      <c r="R452" s="10">
        <f t="shared" ca="1" si="14"/>
        <v>46229</v>
      </c>
      <c r="S452" s="7">
        <f t="shared" ca="1" si="15"/>
        <v>15.109589041095891</v>
      </c>
    </row>
    <row r="453" spans="1:19" x14ac:dyDescent="0.25">
      <c r="A453">
        <v>952588</v>
      </c>
      <c r="B453" t="s">
        <v>776</v>
      </c>
      <c r="C453" t="s">
        <v>17</v>
      </c>
      <c r="D453" s="6" t="s">
        <v>39</v>
      </c>
      <c r="E453" t="s">
        <v>961</v>
      </c>
      <c r="G453" s="6" t="s">
        <v>969</v>
      </c>
      <c r="H453" s="59" t="s">
        <v>92</v>
      </c>
      <c r="I453" s="58" t="s">
        <v>832</v>
      </c>
      <c r="J453" t="s">
        <v>31</v>
      </c>
      <c r="K453" t="s">
        <v>94</v>
      </c>
      <c r="L453" t="s">
        <v>966</v>
      </c>
      <c r="M453" t="s">
        <v>1163</v>
      </c>
      <c r="N453" s="57">
        <v>6900</v>
      </c>
      <c r="O453" t="s">
        <v>100</v>
      </c>
      <c r="P453" t="s">
        <v>38</v>
      </c>
      <c r="Q453" s="3">
        <v>42387</v>
      </c>
      <c r="R453" s="10">
        <f t="shared" ca="1" si="14"/>
        <v>46229</v>
      </c>
      <c r="S453" s="7">
        <f t="shared" ca="1" si="15"/>
        <v>10.526027397260274</v>
      </c>
    </row>
    <row r="454" spans="1:19" x14ac:dyDescent="0.25">
      <c r="A454">
        <v>992785</v>
      </c>
      <c r="B454" t="s">
        <v>812</v>
      </c>
      <c r="C454" t="s">
        <v>17</v>
      </c>
      <c r="D454" s="6" t="s">
        <v>39</v>
      </c>
      <c r="E454" t="s">
        <v>90</v>
      </c>
      <c r="G454" s="6" t="s">
        <v>1844</v>
      </c>
      <c r="H454" s="59" t="s">
        <v>92</v>
      </c>
      <c r="I454" s="58" t="s">
        <v>832</v>
      </c>
      <c r="J454" t="s">
        <v>31</v>
      </c>
      <c r="K454" t="s">
        <v>94</v>
      </c>
      <c r="L454" t="s">
        <v>966</v>
      </c>
      <c r="M454" t="s">
        <v>1163</v>
      </c>
      <c r="N454" s="57">
        <v>6900</v>
      </c>
      <c r="O454" t="s">
        <v>100</v>
      </c>
      <c r="P454" t="s">
        <v>93</v>
      </c>
      <c r="Q454" s="3">
        <v>42730</v>
      </c>
      <c r="R454" s="10">
        <f t="shared" ca="1" si="14"/>
        <v>46229</v>
      </c>
      <c r="S454" s="7">
        <f t="shared" ca="1" si="15"/>
        <v>9.5863013698630137</v>
      </c>
    </row>
    <row r="455" spans="1:19" x14ac:dyDescent="0.25">
      <c r="A455">
        <v>4029255</v>
      </c>
      <c r="B455" t="s">
        <v>1231</v>
      </c>
      <c r="C455" t="s">
        <v>1044</v>
      </c>
      <c r="D455" s="6" t="s">
        <v>22</v>
      </c>
      <c r="E455" t="s">
        <v>21</v>
      </c>
      <c r="G455" s="6" t="s">
        <v>968</v>
      </c>
      <c r="H455" s="59" t="s">
        <v>1019</v>
      </c>
      <c r="I455" s="58" t="s">
        <v>924</v>
      </c>
      <c r="J455" t="s">
        <v>829</v>
      </c>
      <c r="K455" t="s">
        <v>830</v>
      </c>
      <c r="L455" t="s">
        <v>25</v>
      </c>
      <c r="M455" t="s">
        <v>1163</v>
      </c>
      <c r="N455" s="57">
        <v>1200</v>
      </c>
      <c r="O455" t="s">
        <v>100</v>
      </c>
      <c r="P455" t="s">
        <v>93</v>
      </c>
      <c r="Q455" s="3">
        <v>46121</v>
      </c>
      <c r="R455" s="10">
        <f t="shared" ca="1" si="14"/>
        <v>46229</v>
      </c>
      <c r="S455" s="7">
        <f t="shared" ca="1" si="15"/>
        <v>0.29589041095890412</v>
      </c>
    </row>
    <row r="456" spans="1:19" x14ac:dyDescent="0.25">
      <c r="A456">
        <v>4032473</v>
      </c>
      <c r="B456" t="s">
        <v>446</v>
      </c>
      <c r="C456" t="s">
        <v>17</v>
      </c>
      <c r="D456" s="6" t="s">
        <v>22</v>
      </c>
      <c r="E456" t="s">
        <v>21</v>
      </c>
      <c r="G456" s="6" t="s">
        <v>968</v>
      </c>
      <c r="H456" s="59" t="s">
        <v>1019</v>
      </c>
      <c r="I456" s="58" t="s">
        <v>924</v>
      </c>
      <c r="J456" t="s">
        <v>829</v>
      </c>
      <c r="K456" t="s">
        <v>830</v>
      </c>
      <c r="L456" t="s">
        <v>25</v>
      </c>
      <c r="M456" t="s">
        <v>1163</v>
      </c>
      <c r="N456" s="57">
        <v>1200</v>
      </c>
      <c r="O456" t="s">
        <v>100</v>
      </c>
      <c r="P456" t="s">
        <v>93</v>
      </c>
      <c r="Q456" s="3">
        <v>44217</v>
      </c>
      <c r="R456" s="10">
        <f t="shared" ca="1" si="14"/>
        <v>46229</v>
      </c>
      <c r="S456" s="7">
        <f t="shared" ca="1" si="15"/>
        <v>5.5123287671232877</v>
      </c>
    </row>
    <row r="457" spans="1:19" x14ac:dyDescent="0.25">
      <c r="A457">
        <v>4032490</v>
      </c>
      <c r="B457" t="s">
        <v>447</v>
      </c>
      <c r="C457" t="s">
        <v>17</v>
      </c>
      <c r="D457" s="6" t="s">
        <v>22</v>
      </c>
      <c r="E457" t="s">
        <v>87</v>
      </c>
      <c r="G457" s="6" t="s">
        <v>968</v>
      </c>
      <c r="H457" s="59" t="s">
        <v>1019</v>
      </c>
      <c r="I457" s="58" t="s">
        <v>924</v>
      </c>
      <c r="J457" t="s">
        <v>829</v>
      </c>
      <c r="K457" t="s">
        <v>830</v>
      </c>
      <c r="L457" t="s">
        <v>25</v>
      </c>
      <c r="M457" t="s">
        <v>1163</v>
      </c>
      <c r="N457" s="57">
        <v>1200</v>
      </c>
      <c r="O457" t="s">
        <v>100</v>
      </c>
      <c r="P457" t="s">
        <v>93</v>
      </c>
      <c r="Q457" s="3">
        <v>44578</v>
      </c>
      <c r="R457" s="10">
        <f t="shared" ca="1" si="14"/>
        <v>46229</v>
      </c>
      <c r="S457" s="7">
        <f t="shared" ca="1" si="15"/>
        <v>4.5232876712328771</v>
      </c>
    </row>
    <row r="458" spans="1:19" x14ac:dyDescent="0.25">
      <c r="A458">
        <v>4057027</v>
      </c>
      <c r="B458" t="s">
        <v>1624</v>
      </c>
      <c r="C458" t="s">
        <v>1044</v>
      </c>
      <c r="D458" s="6" t="s">
        <v>22</v>
      </c>
      <c r="E458" t="s">
        <v>21</v>
      </c>
      <c r="G458" s="6" t="s">
        <v>968</v>
      </c>
      <c r="H458" s="59" t="s">
        <v>1019</v>
      </c>
      <c r="I458" s="58" t="s">
        <v>924</v>
      </c>
      <c r="J458" t="s">
        <v>829</v>
      </c>
      <c r="K458" t="s">
        <v>830</v>
      </c>
      <c r="L458" t="s">
        <v>25</v>
      </c>
      <c r="M458" t="s">
        <v>1163</v>
      </c>
      <c r="N458" s="57">
        <v>1200</v>
      </c>
      <c r="O458" t="s">
        <v>100</v>
      </c>
      <c r="P458" t="s">
        <v>93</v>
      </c>
      <c r="Q458" s="3">
        <v>46177</v>
      </c>
      <c r="R458" s="10">
        <f t="shared" ca="1" si="14"/>
        <v>46229</v>
      </c>
      <c r="S458" s="7">
        <f t="shared" ca="1" si="15"/>
        <v>0.14246575342465753</v>
      </c>
    </row>
    <row r="459" spans="1:19" x14ac:dyDescent="0.25">
      <c r="A459">
        <v>4058315</v>
      </c>
      <c r="B459" t="s">
        <v>496</v>
      </c>
      <c r="C459" t="s">
        <v>17</v>
      </c>
      <c r="D459" s="6" t="s">
        <v>22</v>
      </c>
      <c r="E459" t="s">
        <v>87</v>
      </c>
      <c r="G459" s="6" t="s">
        <v>968</v>
      </c>
      <c r="H459" s="59" t="s">
        <v>1019</v>
      </c>
      <c r="I459" s="58" t="s">
        <v>924</v>
      </c>
      <c r="J459" t="s">
        <v>829</v>
      </c>
      <c r="K459" t="s">
        <v>830</v>
      </c>
      <c r="L459" t="s">
        <v>25</v>
      </c>
      <c r="M459" t="s">
        <v>1163</v>
      </c>
      <c r="N459" s="57">
        <v>1200</v>
      </c>
      <c r="O459" t="s">
        <v>100</v>
      </c>
      <c r="P459" t="s">
        <v>93</v>
      </c>
      <c r="Q459" s="3">
        <v>45096</v>
      </c>
      <c r="R459" s="10">
        <f t="shared" ca="1" si="14"/>
        <v>46229</v>
      </c>
      <c r="S459" s="7">
        <f t="shared" ca="1" si="15"/>
        <v>3.1041095890410957</v>
      </c>
    </row>
    <row r="460" spans="1:19" x14ac:dyDescent="0.25">
      <c r="A460">
        <v>4084522</v>
      </c>
      <c r="B460" t="s">
        <v>555</v>
      </c>
      <c r="C460" t="s">
        <v>17</v>
      </c>
      <c r="D460" s="6" t="s">
        <v>22</v>
      </c>
      <c r="E460" t="s">
        <v>21</v>
      </c>
      <c r="G460" s="6" t="s">
        <v>968</v>
      </c>
      <c r="H460" s="59" t="s">
        <v>1019</v>
      </c>
      <c r="I460" s="58" t="s">
        <v>924</v>
      </c>
      <c r="J460" t="s">
        <v>829</v>
      </c>
      <c r="K460" t="s">
        <v>830</v>
      </c>
      <c r="L460" t="s">
        <v>25</v>
      </c>
      <c r="M460" t="s">
        <v>1163</v>
      </c>
      <c r="N460" s="57">
        <v>1200</v>
      </c>
      <c r="O460" t="s">
        <v>100</v>
      </c>
      <c r="P460" t="s">
        <v>93</v>
      </c>
      <c r="Q460" s="3">
        <v>45001</v>
      </c>
      <c r="R460" s="10">
        <f t="shared" ca="1" si="14"/>
        <v>46229</v>
      </c>
      <c r="S460" s="7">
        <f t="shared" ca="1" si="15"/>
        <v>3.3643835616438356</v>
      </c>
    </row>
    <row r="461" spans="1:19" x14ac:dyDescent="0.25">
      <c r="A461">
        <v>4096607</v>
      </c>
      <c r="B461" t="s">
        <v>585</v>
      </c>
      <c r="C461" t="s">
        <v>17</v>
      </c>
      <c r="D461" s="6" t="s">
        <v>22</v>
      </c>
      <c r="E461" t="s">
        <v>21</v>
      </c>
      <c r="G461" s="6" t="s">
        <v>968</v>
      </c>
      <c r="H461" s="59" t="s">
        <v>1019</v>
      </c>
      <c r="I461" s="58" t="s">
        <v>924</v>
      </c>
      <c r="J461" t="s">
        <v>829</v>
      </c>
      <c r="K461" t="s">
        <v>830</v>
      </c>
      <c r="L461" t="s">
        <v>25</v>
      </c>
      <c r="M461" t="s">
        <v>1163</v>
      </c>
      <c r="N461" s="57">
        <v>1200</v>
      </c>
      <c r="O461" t="s">
        <v>100</v>
      </c>
      <c r="P461" t="s">
        <v>93</v>
      </c>
      <c r="Q461" s="3">
        <v>45481</v>
      </c>
      <c r="R461" s="10">
        <f t="shared" ca="1" si="14"/>
        <v>46229</v>
      </c>
      <c r="S461" s="7">
        <f t="shared" ca="1" si="15"/>
        <v>2.0493150684931507</v>
      </c>
    </row>
    <row r="462" spans="1:19" x14ac:dyDescent="0.25">
      <c r="A462">
        <v>4105984</v>
      </c>
      <c r="B462" t="s">
        <v>657</v>
      </c>
      <c r="C462" t="s">
        <v>17</v>
      </c>
      <c r="D462" s="6" t="s">
        <v>22</v>
      </c>
      <c r="E462" t="s">
        <v>21</v>
      </c>
      <c r="G462" s="6" t="s">
        <v>968</v>
      </c>
      <c r="H462" s="59" t="s">
        <v>1019</v>
      </c>
      <c r="I462" s="58" t="s">
        <v>924</v>
      </c>
      <c r="J462" t="s">
        <v>829</v>
      </c>
      <c r="K462" t="s">
        <v>830</v>
      </c>
      <c r="L462" t="s">
        <v>25</v>
      </c>
      <c r="M462" t="s">
        <v>1163</v>
      </c>
      <c r="N462" s="57">
        <v>1200</v>
      </c>
      <c r="O462" t="s">
        <v>100</v>
      </c>
      <c r="P462" t="s">
        <v>93</v>
      </c>
      <c r="Q462" s="3">
        <v>45568</v>
      </c>
      <c r="R462" s="10">
        <f t="shared" ca="1" si="14"/>
        <v>46229</v>
      </c>
      <c r="S462" s="7">
        <f t="shared" ca="1" si="15"/>
        <v>1.810958904109589</v>
      </c>
    </row>
    <row r="463" spans="1:19" x14ac:dyDescent="0.25">
      <c r="A463">
        <v>4113312</v>
      </c>
      <c r="B463" t="s">
        <v>690</v>
      </c>
      <c r="C463" t="s">
        <v>17</v>
      </c>
      <c r="D463" s="6" t="s">
        <v>22</v>
      </c>
      <c r="E463" t="s">
        <v>21</v>
      </c>
      <c r="G463" s="6" t="s">
        <v>968</v>
      </c>
      <c r="H463" s="59" t="s">
        <v>1019</v>
      </c>
      <c r="I463" s="58" t="s">
        <v>924</v>
      </c>
      <c r="J463" t="s">
        <v>829</v>
      </c>
      <c r="K463" t="s">
        <v>830</v>
      </c>
      <c r="L463" t="s">
        <v>25</v>
      </c>
      <c r="M463" t="s">
        <v>1163</v>
      </c>
      <c r="N463" s="57">
        <v>1200</v>
      </c>
      <c r="O463" t="s">
        <v>100</v>
      </c>
      <c r="P463" t="s">
        <v>93</v>
      </c>
      <c r="Q463" s="3">
        <v>45734</v>
      </c>
      <c r="R463" s="10">
        <f t="shared" ca="1" si="14"/>
        <v>46229</v>
      </c>
      <c r="S463" s="7">
        <f t="shared" ca="1" si="15"/>
        <v>1.3561643835616439</v>
      </c>
    </row>
    <row r="464" spans="1:19" x14ac:dyDescent="0.25">
      <c r="A464">
        <v>4121674</v>
      </c>
      <c r="B464" t="s">
        <v>1137</v>
      </c>
      <c r="C464" t="s">
        <v>17</v>
      </c>
      <c r="D464" s="6" t="s">
        <v>22</v>
      </c>
      <c r="E464" t="s">
        <v>21</v>
      </c>
      <c r="G464" s="6" t="s">
        <v>968</v>
      </c>
      <c r="H464" s="59" t="s">
        <v>1019</v>
      </c>
      <c r="I464" s="58" t="s">
        <v>924</v>
      </c>
      <c r="J464" t="s">
        <v>829</v>
      </c>
      <c r="K464" t="s">
        <v>830</v>
      </c>
      <c r="L464" t="s">
        <v>25</v>
      </c>
      <c r="M464" t="s">
        <v>1163</v>
      </c>
      <c r="N464" s="57">
        <v>1200</v>
      </c>
      <c r="O464" t="s">
        <v>100</v>
      </c>
      <c r="P464" t="s">
        <v>93</v>
      </c>
      <c r="Q464" s="3">
        <v>46086</v>
      </c>
      <c r="R464" s="10">
        <f t="shared" ca="1" si="14"/>
        <v>46229</v>
      </c>
      <c r="S464" s="7">
        <f t="shared" ca="1" si="15"/>
        <v>0.39178082191780822</v>
      </c>
    </row>
    <row r="465" spans="1:19" x14ac:dyDescent="0.25">
      <c r="A465">
        <v>4121676</v>
      </c>
      <c r="B465" t="s">
        <v>1139</v>
      </c>
      <c r="C465" t="s">
        <v>17</v>
      </c>
      <c r="D465" s="6" t="s">
        <v>22</v>
      </c>
      <c r="E465" t="s">
        <v>21</v>
      </c>
      <c r="G465" s="6" t="s">
        <v>968</v>
      </c>
      <c r="H465" s="59" t="s">
        <v>1019</v>
      </c>
      <c r="I465" s="58" t="s">
        <v>924</v>
      </c>
      <c r="J465" t="s">
        <v>829</v>
      </c>
      <c r="K465" t="s">
        <v>830</v>
      </c>
      <c r="L465" t="s">
        <v>25</v>
      </c>
      <c r="M465" t="s">
        <v>1163</v>
      </c>
      <c r="N465" s="57">
        <v>1200</v>
      </c>
      <c r="O465" t="s">
        <v>100</v>
      </c>
      <c r="P465" t="s">
        <v>93</v>
      </c>
      <c r="Q465" s="3">
        <v>46086</v>
      </c>
      <c r="R465" s="10">
        <f t="shared" ca="1" si="14"/>
        <v>46229</v>
      </c>
      <c r="S465" s="7">
        <f t="shared" ca="1" si="15"/>
        <v>0.39178082191780822</v>
      </c>
    </row>
    <row r="466" spans="1:19" x14ac:dyDescent="0.25">
      <c r="A466">
        <v>4121720</v>
      </c>
      <c r="B466" t="s">
        <v>1143</v>
      </c>
      <c r="C466" t="s">
        <v>17</v>
      </c>
      <c r="D466" s="6" t="s">
        <v>22</v>
      </c>
      <c r="E466" t="s">
        <v>21</v>
      </c>
      <c r="G466" s="6" t="s">
        <v>968</v>
      </c>
      <c r="H466" s="59" t="s">
        <v>1019</v>
      </c>
      <c r="I466" s="58" t="s">
        <v>924</v>
      </c>
      <c r="J466" t="s">
        <v>829</v>
      </c>
      <c r="K466" t="s">
        <v>830</v>
      </c>
      <c r="L466" t="s">
        <v>25</v>
      </c>
      <c r="M466" t="s">
        <v>1163</v>
      </c>
      <c r="N466" s="57">
        <v>1200</v>
      </c>
      <c r="O466" t="s">
        <v>100</v>
      </c>
      <c r="P466" t="s">
        <v>93</v>
      </c>
      <c r="Q466" s="3">
        <v>46086</v>
      </c>
      <c r="R466" s="10">
        <f t="shared" ca="1" si="14"/>
        <v>46229</v>
      </c>
      <c r="S466" s="7">
        <f t="shared" ca="1" si="15"/>
        <v>0.39178082191780822</v>
      </c>
    </row>
    <row r="467" spans="1:19" x14ac:dyDescent="0.25">
      <c r="A467">
        <v>4121851</v>
      </c>
      <c r="B467" t="s">
        <v>1158</v>
      </c>
      <c r="C467" t="s">
        <v>17</v>
      </c>
      <c r="D467" s="6" t="s">
        <v>22</v>
      </c>
      <c r="E467" t="s">
        <v>21</v>
      </c>
      <c r="G467" s="6" t="s">
        <v>968</v>
      </c>
      <c r="H467" s="59" t="s">
        <v>1019</v>
      </c>
      <c r="I467" s="58" t="s">
        <v>924</v>
      </c>
      <c r="J467" t="s">
        <v>829</v>
      </c>
      <c r="K467" t="s">
        <v>830</v>
      </c>
      <c r="L467" t="s">
        <v>25</v>
      </c>
      <c r="M467" t="s">
        <v>1163</v>
      </c>
      <c r="N467" s="57">
        <v>1200</v>
      </c>
      <c r="O467" t="s">
        <v>100</v>
      </c>
      <c r="P467" t="s">
        <v>93</v>
      </c>
      <c r="Q467" s="3">
        <v>46090</v>
      </c>
      <c r="R467" s="10">
        <f t="shared" ca="1" si="14"/>
        <v>46229</v>
      </c>
      <c r="S467" s="7">
        <f t="shared" ca="1" si="15"/>
        <v>0.38082191780821917</v>
      </c>
    </row>
    <row r="468" spans="1:19" x14ac:dyDescent="0.25">
      <c r="A468">
        <v>4121852</v>
      </c>
      <c r="B468" t="s">
        <v>1159</v>
      </c>
      <c r="C468" t="s">
        <v>17</v>
      </c>
      <c r="D468" s="6" t="s">
        <v>22</v>
      </c>
      <c r="E468" t="s">
        <v>21</v>
      </c>
      <c r="G468" s="6" t="s">
        <v>968</v>
      </c>
      <c r="H468" s="59" t="s">
        <v>1019</v>
      </c>
      <c r="I468" s="58" t="s">
        <v>924</v>
      </c>
      <c r="J468" t="s">
        <v>829</v>
      </c>
      <c r="K468" t="s">
        <v>830</v>
      </c>
      <c r="L468" t="s">
        <v>25</v>
      </c>
      <c r="M468" t="s">
        <v>1163</v>
      </c>
      <c r="N468" s="57">
        <v>1200</v>
      </c>
      <c r="O468" t="s">
        <v>100</v>
      </c>
      <c r="P468" t="s">
        <v>93</v>
      </c>
      <c r="Q468" s="3">
        <v>46090</v>
      </c>
      <c r="R468" s="10">
        <f t="shared" ca="1" si="14"/>
        <v>46229</v>
      </c>
      <c r="S468" s="7">
        <f t="shared" ca="1" si="15"/>
        <v>0.38082191780821917</v>
      </c>
    </row>
    <row r="469" spans="1:19" x14ac:dyDescent="0.25">
      <c r="A469">
        <v>4122511</v>
      </c>
      <c r="B469" t="s">
        <v>1215</v>
      </c>
      <c r="C469" t="s">
        <v>1044</v>
      </c>
      <c r="D469" s="6" t="s">
        <v>22</v>
      </c>
      <c r="E469" t="s">
        <v>21</v>
      </c>
      <c r="G469" s="6" t="s">
        <v>968</v>
      </c>
      <c r="H469" s="59" t="s">
        <v>1019</v>
      </c>
      <c r="I469" s="58" t="s">
        <v>924</v>
      </c>
      <c r="J469" t="s">
        <v>829</v>
      </c>
      <c r="K469" t="s">
        <v>830</v>
      </c>
      <c r="L469" t="s">
        <v>25</v>
      </c>
      <c r="M469" t="s">
        <v>1163</v>
      </c>
      <c r="N469" s="57">
        <v>1200</v>
      </c>
      <c r="O469" t="s">
        <v>100</v>
      </c>
      <c r="P469" t="s">
        <v>93</v>
      </c>
      <c r="Q469" s="3">
        <v>46111</v>
      </c>
      <c r="R469" s="10">
        <f t="shared" ca="1" si="14"/>
        <v>46229</v>
      </c>
      <c r="S469" s="7">
        <f t="shared" ca="1" si="15"/>
        <v>0.32328767123287672</v>
      </c>
    </row>
    <row r="470" spans="1:19" x14ac:dyDescent="0.25">
      <c r="A470">
        <v>4122513</v>
      </c>
      <c r="B470" t="s">
        <v>1217</v>
      </c>
      <c r="C470" t="s">
        <v>1044</v>
      </c>
      <c r="D470" s="6" t="s">
        <v>22</v>
      </c>
      <c r="E470" t="s">
        <v>21</v>
      </c>
      <c r="G470" s="6" t="s">
        <v>968</v>
      </c>
      <c r="H470" s="59" t="s">
        <v>1019</v>
      </c>
      <c r="I470" s="58" t="s">
        <v>924</v>
      </c>
      <c r="J470" t="s">
        <v>829</v>
      </c>
      <c r="K470" t="s">
        <v>830</v>
      </c>
      <c r="L470" t="s">
        <v>25</v>
      </c>
      <c r="M470" t="s">
        <v>1163</v>
      </c>
      <c r="N470" s="57">
        <v>1200</v>
      </c>
      <c r="O470" t="s">
        <v>100</v>
      </c>
      <c r="P470" t="s">
        <v>93</v>
      </c>
      <c r="Q470" s="3">
        <v>46111</v>
      </c>
      <c r="R470" s="10">
        <f t="shared" ca="1" si="14"/>
        <v>46229</v>
      </c>
      <c r="S470" s="7">
        <f t="shared" ca="1" si="15"/>
        <v>0.32328767123287672</v>
      </c>
    </row>
    <row r="471" spans="1:19" x14ac:dyDescent="0.25">
      <c r="A471">
        <v>4122514</v>
      </c>
      <c r="B471" t="s">
        <v>1218</v>
      </c>
      <c r="C471" t="s">
        <v>1044</v>
      </c>
      <c r="D471" s="6" t="s">
        <v>22</v>
      </c>
      <c r="E471" t="s">
        <v>21</v>
      </c>
      <c r="G471" s="6" t="s">
        <v>968</v>
      </c>
      <c r="H471" s="59" t="s">
        <v>1019</v>
      </c>
      <c r="I471" s="58" t="s">
        <v>924</v>
      </c>
      <c r="J471" t="s">
        <v>829</v>
      </c>
      <c r="K471" t="s">
        <v>830</v>
      </c>
      <c r="L471" t="s">
        <v>25</v>
      </c>
      <c r="M471" t="s">
        <v>1163</v>
      </c>
      <c r="N471" s="57">
        <v>1200</v>
      </c>
      <c r="O471" t="s">
        <v>100</v>
      </c>
      <c r="P471" t="s">
        <v>93</v>
      </c>
      <c r="Q471" s="3">
        <v>46111</v>
      </c>
      <c r="R471" s="10">
        <f t="shared" ca="1" si="14"/>
        <v>46229</v>
      </c>
      <c r="S471" s="7">
        <f t="shared" ca="1" si="15"/>
        <v>0.32328767123287672</v>
      </c>
    </row>
    <row r="472" spans="1:19" x14ac:dyDescent="0.25">
      <c r="A472">
        <v>4122562</v>
      </c>
      <c r="B472" t="s">
        <v>1269</v>
      </c>
      <c r="C472" t="s">
        <v>1044</v>
      </c>
      <c r="D472" s="6" t="s">
        <v>22</v>
      </c>
      <c r="E472" t="s">
        <v>21</v>
      </c>
      <c r="G472" s="6" t="s">
        <v>968</v>
      </c>
      <c r="H472" s="59" t="s">
        <v>1019</v>
      </c>
      <c r="I472" s="58" t="s">
        <v>924</v>
      </c>
      <c r="J472" t="s">
        <v>829</v>
      </c>
      <c r="K472" t="s">
        <v>830</v>
      </c>
      <c r="L472" t="s">
        <v>25</v>
      </c>
      <c r="M472" t="s">
        <v>1163</v>
      </c>
      <c r="N472" s="57">
        <v>1200</v>
      </c>
      <c r="O472" t="s">
        <v>100</v>
      </c>
      <c r="P472" t="s">
        <v>93</v>
      </c>
      <c r="Q472" s="3">
        <v>46118</v>
      </c>
      <c r="R472" s="10">
        <f t="shared" ca="1" si="14"/>
        <v>46229</v>
      </c>
      <c r="S472" s="7">
        <f t="shared" ca="1" si="15"/>
        <v>0.30410958904109592</v>
      </c>
    </row>
    <row r="473" spans="1:19" x14ac:dyDescent="0.25">
      <c r="A473">
        <v>4122760</v>
      </c>
      <c r="B473" t="s">
        <v>1298</v>
      </c>
      <c r="C473" t="s">
        <v>1044</v>
      </c>
      <c r="D473" s="6" t="s">
        <v>22</v>
      </c>
      <c r="E473" t="s">
        <v>21</v>
      </c>
      <c r="G473" s="6" t="s">
        <v>968</v>
      </c>
      <c r="H473" s="59" t="s">
        <v>1019</v>
      </c>
      <c r="I473" s="58" t="s">
        <v>924</v>
      </c>
      <c r="J473" t="s">
        <v>829</v>
      </c>
      <c r="K473" t="s">
        <v>830</v>
      </c>
      <c r="L473" t="s">
        <v>25</v>
      </c>
      <c r="M473" t="s">
        <v>1163</v>
      </c>
      <c r="N473" s="57">
        <v>1200</v>
      </c>
      <c r="O473" t="s">
        <v>100</v>
      </c>
      <c r="P473" t="s">
        <v>93</v>
      </c>
      <c r="Q473" s="3">
        <v>46121</v>
      </c>
      <c r="R473" s="10">
        <f t="shared" ca="1" si="14"/>
        <v>46229</v>
      </c>
      <c r="S473" s="7">
        <f t="shared" ca="1" si="15"/>
        <v>0.29589041095890412</v>
      </c>
    </row>
    <row r="474" spans="1:19" x14ac:dyDescent="0.25">
      <c r="A474">
        <v>4122763</v>
      </c>
      <c r="B474" t="s">
        <v>1301</v>
      </c>
      <c r="C474" t="s">
        <v>1044</v>
      </c>
      <c r="D474" s="6" t="s">
        <v>22</v>
      </c>
      <c r="E474" t="s">
        <v>21</v>
      </c>
      <c r="G474" s="6" t="s">
        <v>968</v>
      </c>
      <c r="H474" s="59" t="s">
        <v>1019</v>
      </c>
      <c r="I474" s="58" t="s">
        <v>924</v>
      </c>
      <c r="J474" t="s">
        <v>829</v>
      </c>
      <c r="K474" t="s">
        <v>830</v>
      </c>
      <c r="L474" t="s">
        <v>25</v>
      </c>
      <c r="M474" t="s">
        <v>1163</v>
      </c>
      <c r="N474" s="57">
        <v>1200</v>
      </c>
      <c r="O474" t="s">
        <v>100</v>
      </c>
      <c r="P474" t="s">
        <v>93</v>
      </c>
      <c r="Q474" s="3">
        <v>46121</v>
      </c>
      <c r="R474" s="10">
        <f t="shared" ca="1" si="14"/>
        <v>46229</v>
      </c>
      <c r="S474" s="7">
        <f t="shared" ca="1" si="15"/>
        <v>0.29589041095890412</v>
      </c>
    </row>
    <row r="475" spans="1:19" x14ac:dyDescent="0.25">
      <c r="A475">
        <v>4122801</v>
      </c>
      <c r="B475" t="s">
        <v>1325</v>
      </c>
      <c r="C475" t="s">
        <v>1044</v>
      </c>
      <c r="D475" s="6" t="s">
        <v>22</v>
      </c>
      <c r="E475" t="s">
        <v>21</v>
      </c>
      <c r="G475" s="6" t="s">
        <v>968</v>
      </c>
      <c r="H475" s="59" t="s">
        <v>1019</v>
      </c>
      <c r="I475" s="58" t="s">
        <v>924</v>
      </c>
      <c r="J475" t="s">
        <v>829</v>
      </c>
      <c r="K475" t="s">
        <v>830</v>
      </c>
      <c r="L475" t="s">
        <v>25</v>
      </c>
      <c r="M475" t="s">
        <v>1163</v>
      </c>
      <c r="N475" s="57">
        <v>1200</v>
      </c>
      <c r="O475" t="s">
        <v>100</v>
      </c>
      <c r="P475" t="s">
        <v>93</v>
      </c>
      <c r="Q475" s="3">
        <v>46121</v>
      </c>
      <c r="R475" s="10">
        <f t="shared" ca="1" si="14"/>
        <v>46229</v>
      </c>
      <c r="S475" s="7">
        <f t="shared" ca="1" si="15"/>
        <v>0.29589041095890412</v>
      </c>
    </row>
    <row r="476" spans="1:19" x14ac:dyDescent="0.25">
      <c r="A476">
        <v>4122883</v>
      </c>
      <c r="B476" t="s">
        <v>1382</v>
      </c>
      <c r="C476" t="s">
        <v>1044</v>
      </c>
      <c r="D476" s="6" t="s">
        <v>22</v>
      </c>
      <c r="E476" t="s">
        <v>21</v>
      </c>
      <c r="G476" s="6" t="s">
        <v>968</v>
      </c>
      <c r="H476" s="59" t="s">
        <v>1019</v>
      </c>
      <c r="I476" s="58" t="s">
        <v>924</v>
      </c>
      <c r="J476" t="s">
        <v>829</v>
      </c>
      <c r="K476" t="s">
        <v>830</v>
      </c>
      <c r="L476" t="s">
        <v>25</v>
      </c>
      <c r="M476" t="s">
        <v>1163</v>
      </c>
      <c r="N476" s="57">
        <v>1200</v>
      </c>
      <c r="O476" t="s">
        <v>100</v>
      </c>
      <c r="P476" t="s">
        <v>93</v>
      </c>
      <c r="Q476" s="3">
        <v>46125</v>
      </c>
      <c r="R476" s="10">
        <f t="shared" ca="1" si="14"/>
        <v>46229</v>
      </c>
      <c r="S476" s="7">
        <f t="shared" ca="1" si="15"/>
        <v>0.28493150684931506</v>
      </c>
    </row>
    <row r="477" spans="1:19" x14ac:dyDescent="0.25">
      <c r="A477">
        <v>4122908</v>
      </c>
      <c r="B477" t="s">
        <v>1389</v>
      </c>
      <c r="C477" t="s">
        <v>1044</v>
      </c>
      <c r="D477" s="6" t="s">
        <v>22</v>
      </c>
      <c r="E477" t="s">
        <v>21</v>
      </c>
      <c r="G477" s="6" t="s">
        <v>968</v>
      </c>
      <c r="H477" s="59" t="s">
        <v>1019</v>
      </c>
      <c r="I477" s="58" t="s">
        <v>924</v>
      </c>
      <c r="J477" t="s">
        <v>829</v>
      </c>
      <c r="K477" t="s">
        <v>830</v>
      </c>
      <c r="L477" t="s">
        <v>25</v>
      </c>
      <c r="M477" t="s">
        <v>1163</v>
      </c>
      <c r="N477" s="57">
        <v>1200</v>
      </c>
      <c r="O477" t="s">
        <v>100</v>
      </c>
      <c r="P477" t="s">
        <v>93</v>
      </c>
      <c r="Q477" s="3">
        <v>46125</v>
      </c>
      <c r="R477" s="10">
        <f t="shared" ca="1" si="14"/>
        <v>46229</v>
      </c>
      <c r="S477" s="7">
        <f t="shared" ca="1" si="15"/>
        <v>0.28493150684931506</v>
      </c>
    </row>
    <row r="478" spans="1:19" x14ac:dyDescent="0.25">
      <c r="A478">
        <v>4122910</v>
      </c>
      <c r="B478" t="s">
        <v>1391</v>
      </c>
      <c r="C478" t="s">
        <v>1044</v>
      </c>
      <c r="D478" s="6" t="s">
        <v>22</v>
      </c>
      <c r="E478" t="s">
        <v>21</v>
      </c>
      <c r="G478" s="6" t="s">
        <v>968</v>
      </c>
      <c r="H478" s="59" t="s">
        <v>1019</v>
      </c>
      <c r="I478" s="58" t="s">
        <v>924</v>
      </c>
      <c r="J478" t="s">
        <v>829</v>
      </c>
      <c r="K478" t="s">
        <v>830</v>
      </c>
      <c r="L478" t="s">
        <v>25</v>
      </c>
      <c r="M478" t="s">
        <v>1163</v>
      </c>
      <c r="N478" s="57">
        <v>1200</v>
      </c>
      <c r="O478" t="s">
        <v>100</v>
      </c>
      <c r="P478" t="s">
        <v>93</v>
      </c>
      <c r="Q478" s="3">
        <v>46125</v>
      </c>
      <c r="R478" s="10">
        <f t="shared" ca="1" si="14"/>
        <v>46229</v>
      </c>
      <c r="S478" s="7">
        <f t="shared" ca="1" si="15"/>
        <v>0.28493150684931506</v>
      </c>
    </row>
    <row r="479" spans="1:19" x14ac:dyDescent="0.25">
      <c r="A479">
        <v>4122913</v>
      </c>
      <c r="B479" t="s">
        <v>1393</v>
      </c>
      <c r="C479" t="s">
        <v>1044</v>
      </c>
      <c r="D479" s="6" t="s">
        <v>22</v>
      </c>
      <c r="E479" t="s">
        <v>21</v>
      </c>
      <c r="G479" s="6" t="s">
        <v>968</v>
      </c>
      <c r="H479" s="59" t="s">
        <v>1019</v>
      </c>
      <c r="I479" s="58" t="s">
        <v>924</v>
      </c>
      <c r="J479" t="s">
        <v>829</v>
      </c>
      <c r="K479" t="s">
        <v>830</v>
      </c>
      <c r="L479" t="s">
        <v>25</v>
      </c>
      <c r="M479" t="s">
        <v>1163</v>
      </c>
      <c r="N479" s="57">
        <v>1200</v>
      </c>
      <c r="O479" t="s">
        <v>100</v>
      </c>
      <c r="P479" t="s">
        <v>93</v>
      </c>
      <c r="Q479" s="3">
        <v>46125</v>
      </c>
      <c r="R479" s="10">
        <f t="shared" ca="1" si="14"/>
        <v>46229</v>
      </c>
      <c r="S479" s="7">
        <f t="shared" ca="1" si="15"/>
        <v>0.28493150684931506</v>
      </c>
    </row>
    <row r="480" spans="1:19" x14ac:dyDescent="0.25">
      <c r="A480">
        <v>4122993</v>
      </c>
      <c r="B480" t="s">
        <v>1397</v>
      </c>
      <c r="C480" t="s">
        <v>1044</v>
      </c>
      <c r="D480" s="6" t="s">
        <v>22</v>
      </c>
      <c r="E480" t="s">
        <v>21</v>
      </c>
      <c r="G480" s="6" t="s">
        <v>968</v>
      </c>
      <c r="H480" s="59" t="s">
        <v>1019</v>
      </c>
      <c r="I480" s="58" t="s">
        <v>924</v>
      </c>
      <c r="J480" t="s">
        <v>829</v>
      </c>
      <c r="K480" t="s">
        <v>830</v>
      </c>
      <c r="L480" t="s">
        <v>25</v>
      </c>
      <c r="M480" t="s">
        <v>1163</v>
      </c>
      <c r="N480" s="57">
        <v>1200</v>
      </c>
      <c r="O480" t="s">
        <v>100</v>
      </c>
      <c r="P480" t="s">
        <v>93</v>
      </c>
      <c r="Q480" s="3">
        <v>46128</v>
      </c>
      <c r="R480" s="10">
        <f t="shared" ca="1" si="14"/>
        <v>46229</v>
      </c>
      <c r="S480" s="7">
        <f t="shared" ca="1" si="15"/>
        <v>0.27671232876712326</v>
      </c>
    </row>
    <row r="481" spans="1:19" x14ac:dyDescent="0.25">
      <c r="A481">
        <v>4123024</v>
      </c>
      <c r="B481" t="s">
        <v>1402</v>
      </c>
      <c r="C481" t="s">
        <v>1044</v>
      </c>
      <c r="D481" s="6" t="s">
        <v>22</v>
      </c>
      <c r="E481" t="s">
        <v>21</v>
      </c>
      <c r="G481" s="6" t="s">
        <v>968</v>
      </c>
      <c r="H481" s="59" t="s">
        <v>1019</v>
      </c>
      <c r="I481" s="58" t="s">
        <v>924</v>
      </c>
      <c r="J481" t="s">
        <v>829</v>
      </c>
      <c r="K481" t="s">
        <v>830</v>
      </c>
      <c r="L481" t="s">
        <v>25</v>
      </c>
      <c r="M481" t="s">
        <v>1163</v>
      </c>
      <c r="N481" s="57">
        <v>1200</v>
      </c>
      <c r="O481" t="s">
        <v>100</v>
      </c>
      <c r="P481" t="s">
        <v>93</v>
      </c>
      <c r="Q481" s="3">
        <v>46128</v>
      </c>
      <c r="R481" s="10">
        <f t="shared" ca="1" si="14"/>
        <v>46229</v>
      </c>
      <c r="S481" s="7">
        <f t="shared" ca="1" si="15"/>
        <v>0.27671232876712326</v>
      </c>
    </row>
    <row r="482" spans="1:19" x14ac:dyDescent="0.25">
      <c r="A482">
        <v>4124371</v>
      </c>
      <c r="B482" t="s">
        <v>1731</v>
      </c>
      <c r="C482" t="s">
        <v>1044</v>
      </c>
      <c r="D482" s="6" t="s">
        <v>22</v>
      </c>
      <c r="E482" t="s">
        <v>21</v>
      </c>
      <c r="G482" s="6" t="s">
        <v>968</v>
      </c>
      <c r="H482" s="59" t="s">
        <v>1019</v>
      </c>
      <c r="I482" s="58" t="s">
        <v>924</v>
      </c>
      <c r="J482" t="s">
        <v>829</v>
      </c>
      <c r="K482" t="s">
        <v>830</v>
      </c>
      <c r="L482" t="s">
        <v>25</v>
      </c>
      <c r="M482" t="s">
        <v>1163</v>
      </c>
      <c r="N482" s="57">
        <v>1200</v>
      </c>
      <c r="O482" t="s">
        <v>100</v>
      </c>
      <c r="P482" t="s">
        <v>93</v>
      </c>
      <c r="Q482" s="3">
        <v>46174</v>
      </c>
      <c r="R482" s="10">
        <f t="shared" ca="1" si="14"/>
        <v>46229</v>
      </c>
      <c r="S482" s="7">
        <f t="shared" ca="1" si="15"/>
        <v>0.15068493150684931</v>
      </c>
    </row>
    <row r="483" spans="1:19" x14ac:dyDescent="0.25">
      <c r="A483">
        <v>4124373</v>
      </c>
      <c r="B483" t="s">
        <v>1732</v>
      </c>
      <c r="C483" t="s">
        <v>1044</v>
      </c>
      <c r="D483" s="6" t="s">
        <v>22</v>
      </c>
      <c r="E483" t="s">
        <v>21</v>
      </c>
      <c r="G483" s="6" t="s">
        <v>968</v>
      </c>
      <c r="H483" s="59" t="s">
        <v>1019</v>
      </c>
      <c r="I483" s="58" t="s">
        <v>924</v>
      </c>
      <c r="J483" t="s">
        <v>829</v>
      </c>
      <c r="K483" t="s">
        <v>830</v>
      </c>
      <c r="L483" t="s">
        <v>25</v>
      </c>
      <c r="M483" t="s">
        <v>1163</v>
      </c>
      <c r="N483" s="57">
        <v>1200</v>
      </c>
      <c r="O483" t="s">
        <v>100</v>
      </c>
      <c r="P483" t="s">
        <v>93</v>
      </c>
      <c r="Q483" s="3">
        <v>46174</v>
      </c>
      <c r="R483" s="10">
        <f t="shared" ca="1" si="14"/>
        <v>46229</v>
      </c>
      <c r="S483" s="7">
        <f t="shared" ca="1" si="15"/>
        <v>0.15068493150684931</v>
      </c>
    </row>
    <row r="484" spans="1:19" x14ac:dyDescent="0.25">
      <c r="A484">
        <v>4124379</v>
      </c>
      <c r="B484" t="s">
        <v>1736</v>
      </c>
      <c r="C484" t="s">
        <v>1044</v>
      </c>
      <c r="D484" s="6" t="s">
        <v>22</v>
      </c>
      <c r="E484" t="s">
        <v>21</v>
      </c>
      <c r="G484" s="6" t="s">
        <v>968</v>
      </c>
      <c r="H484" s="59" t="s">
        <v>1019</v>
      </c>
      <c r="I484" s="58" t="s">
        <v>924</v>
      </c>
      <c r="J484" t="s">
        <v>829</v>
      </c>
      <c r="K484" t="s">
        <v>830</v>
      </c>
      <c r="L484" t="s">
        <v>25</v>
      </c>
      <c r="M484" t="s">
        <v>1163</v>
      </c>
      <c r="N484" s="57">
        <v>1200</v>
      </c>
      <c r="O484" t="s">
        <v>100</v>
      </c>
      <c r="P484" t="s">
        <v>93</v>
      </c>
      <c r="Q484" s="3">
        <v>46174</v>
      </c>
      <c r="R484" s="10">
        <f t="shared" ca="1" si="14"/>
        <v>46229</v>
      </c>
      <c r="S484" s="7">
        <f t="shared" ca="1" si="15"/>
        <v>0.15068493150684931</v>
      </c>
    </row>
    <row r="485" spans="1:19" x14ac:dyDescent="0.25">
      <c r="A485">
        <v>4124382</v>
      </c>
      <c r="B485" t="s">
        <v>1739</v>
      </c>
      <c r="C485" t="s">
        <v>1044</v>
      </c>
      <c r="D485" s="6" t="s">
        <v>22</v>
      </c>
      <c r="E485" t="s">
        <v>21</v>
      </c>
      <c r="G485" s="6" t="s">
        <v>968</v>
      </c>
      <c r="H485" s="59" t="s">
        <v>1019</v>
      </c>
      <c r="I485" s="58" t="s">
        <v>924</v>
      </c>
      <c r="J485" t="s">
        <v>829</v>
      </c>
      <c r="K485" t="s">
        <v>830</v>
      </c>
      <c r="L485" t="s">
        <v>25</v>
      </c>
      <c r="M485" t="s">
        <v>1163</v>
      </c>
      <c r="N485" s="57">
        <v>1200</v>
      </c>
      <c r="O485" t="s">
        <v>100</v>
      </c>
      <c r="P485" t="s">
        <v>93</v>
      </c>
      <c r="Q485" s="3">
        <v>46174</v>
      </c>
      <c r="R485" s="10">
        <f t="shared" ca="1" si="14"/>
        <v>46229</v>
      </c>
      <c r="S485" s="7">
        <f t="shared" ca="1" si="15"/>
        <v>0.15068493150684931</v>
      </c>
    </row>
    <row r="486" spans="1:19" x14ac:dyDescent="0.25">
      <c r="A486">
        <v>4124392</v>
      </c>
      <c r="B486" t="s">
        <v>1746</v>
      </c>
      <c r="C486" t="s">
        <v>1044</v>
      </c>
      <c r="D486" s="6" t="s">
        <v>22</v>
      </c>
      <c r="E486" t="s">
        <v>21</v>
      </c>
      <c r="G486" s="6" t="s">
        <v>968</v>
      </c>
      <c r="H486" s="59" t="s">
        <v>1019</v>
      </c>
      <c r="I486" s="58" t="s">
        <v>924</v>
      </c>
      <c r="J486" t="s">
        <v>829</v>
      </c>
      <c r="K486" t="s">
        <v>830</v>
      </c>
      <c r="L486" t="s">
        <v>25</v>
      </c>
      <c r="M486" t="s">
        <v>1163</v>
      </c>
      <c r="N486" s="57">
        <v>1200</v>
      </c>
      <c r="O486" t="s">
        <v>100</v>
      </c>
      <c r="P486" t="s">
        <v>93</v>
      </c>
      <c r="Q486" s="3">
        <v>46174</v>
      </c>
      <c r="R486" s="10">
        <f t="shared" ca="1" si="14"/>
        <v>46229</v>
      </c>
      <c r="S486" s="7">
        <f t="shared" ca="1" si="15"/>
        <v>0.15068493150684931</v>
      </c>
    </row>
    <row r="487" spans="1:19" x14ac:dyDescent="0.25">
      <c r="A487">
        <v>4124528</v>
      </c>
      <c r="B487" t="s">
        <v>1770</v>
      </c>
      <c r="C487" t="s">
        <v>1044</v>
      </c>
      <c r="D487" s="6" t="s">
        <v>22</v>
      </c>
      <c r="E487" t="s">
        <v>21</v>
      </c>
      <c r="G487" s="6" t="s">
        <v>968</v>
      </c>
      <c r="H487" s="59" t="s">
        <v>1019</v>
      </c>
      <c r="I487" s="58" t="s">
        <v>924</v>
      </c>
      <c r="J487" t="s">
        <v>829</v>
      </c>
      <c r="K487" t="s">
        <v>830</v>
      </c>
      <c r="L487" t="s">
        <v>25</v>
      </c>
      <c r="M487" t="s">
        <v>1163</v>
      </c>
      <c r="N487" s="57">
        <v>1200</v>
      </c>
      <c r="O487" t="s">
        <v>100</v>
      </c>
      <c r="P487" t="s">
        <v>93</v>
      </c>
      <c r="Q487" s="3">
        <v>46177</v>
      </c>
      <c r="R487" s="10">
        <f t="shared" ca="1" si="14"/>
        <v>46229</v>
      </c>
      <c r="S487" s="7">
        <f t="shared" ca="1" si="15"/>
        <v>0.14246575342465753</v>
      </c>
    </row>
    <row r="488" spans="1:19" x14ac:dyDescent="0.25">
      <c r="A488">
        <v>4124529</v>
      </c>
      <c r="B488" t="s">
        <v>1771</v>
      </c>
      <c r="C488" t="s">
        <v>1044</v>
      </c>
      <c r="D488" s="6" t="s">
        <v>22</v>
      </c>
      <c r="E488" t="s">
        <v>21</v>
      </c>
      <c r="G488" s="6" t="s">
        <v>968</v>
      </c>
      <c r="H488" s="59" t="s">
        <v>1019</v>
      </c>
      <c r="I488" s="58" t="s">
        <v>924</v>
      </c>
      <c r="J488" t="s">
        <v>829</v>
      </c>
      <c r="K488" t="s">
        <v>830</v>
      </c>
      <c r="L488" t="s">
        <v>25</v>
      </c>
      <c r="M488" t="s">
        <v>1163</v>
      </c>
      <c r="N488" s="57">
        <v>1200</v>
      </c>
      <c r="O488" t="s">
        <v>100</v>
      </c>
      <c r="P488" t="s">
        <v>93</v>
      </c>
      <c r="Q488" s="3">
        <v>46177</v>
      </c>
      <c r="R488" s="10">
        <f t="shared" ca="1" si="14"/>
        <v>46229</v>
      </c>
      <c r="S488" s="7">
        <f t="shared" ca="1" si="15"/>
        <v>0.14246575342465753</v>
      </c>
    </row>
    <row r="489" spans="1:19" x14ac:dyDescent="0.25">
      <c r="A489">
        <v>4124530</v>
      </c>
      <c r="B489" t="s">
        <v>1772</v>
      </c>
      <c r="C489" t="s">
        <v>1044</v>
      </c>
      <c r="D489" s="6" t="s">
        <v>22</v>
      </c>
      <c r="E489" t="s">
        <v>21</v>
      </c>
      <c r="G489" s="6" t="s">
        <v>968</v>
      </c>
      <c r="H489" s="59" t="s">
        <v>1019</v>
      </c>
      <c r="I489" s="58" t="s">
        <v>924</v>
      </c>
      <c r="J489" t="s">
        <v>829</v>
      </c>
      <c r="K489" t="s">
        <v>830</v>
      </c>
      <c r="L489" t="s">
        <v>25</v>
      </c>
      <c r="M489" t="s">
        <v>1163</v>
      </c>
      <c r="N489" s="57">
        <v>1200</v>
      </c>
      <c r="O489" t="s">
        <v>100</v>
      </c>
      <c r="P489" t="s">
        <v>93</v>
      </c>
      <c r="Q489" s="3">
        <v>46177</v>
      </c>
      <c r="R489" s="10">
        <f t="shared" ca="1" si="14"/>
        <v>46229</v>
      </c>
      <c r="S489" s="7">
        <f t="shared" ca="1" si="15"/>
        <v>0.14246575342465753</v>
      </c>
    </row>
    <row r="490" spans="1:19" x14ac:dyDescent="0.25">
      <c r="A490">
        <v>4124531</v>
      </c>
      <c r="B490" t="s">
        <v>1773</v>
      </c>
      <c r="C490" t="s">
        <v>1044</v>
      </c>
      <c r="D490" s="6" t="s">
        <v>22</v>
      </c>
      <c r="E490" t="s">
        <v>21</v>
      </c>
      <c r="G490" s="6" t="s">
        <v>968</v>
      </c>
      <c r="H490" s="59" t="s">
        <v>1019</v>
      </c>
      <c r="I490" s="58" t="s">
        <v>924</v>
      </c>
      <c r="J490" t="s">
        <v>829</v>
      </c>
      <c r="K490" t="s">
        <v>830</v>
      </c>
      <c r="L490" t="s">
        <v>25</v>
      </c>
      <c r="M490" t="s">
        <v>1163</v>
      </c>
      <c r="N490" s="57">
        <v>1200</v>
      </c>
      <c r="O490" t="s">
        <v>100</v>
      </c>
      <c r="P490" t="s">
        <v>93</v>
      </c>
      <c r="Q490" s="3">
        <v>46177</v>
      </c>
      <c r="R490" s="10">
        <f t="shared" ca="1" si="14"/>
        <v>46229</v>
      </c>
      <c r="S490" s="7">
        <f t="shared" ca="1" si="15"/>
        <v>0.14246575342465753</v>
      </c>
    </row>
    <row r="491" spans="1:19" x14ac:dyDescent="0.25">
      <c r="A491">
        <v>4124532</v>
      </c>
      <c r="B491" t="s">
        <v>1774</v>
      </c>
      <c r="C491" t="s">
        <v>1044</v>
      </c>
      <c r="D491" s="6" t="s">
        <v>22</v>
      </c>
      <c r="E491" t="s">
        <v>21</v>
      </c>
      <c r="G491" s="6" t="s">
        <v>968</v>
      </c>
      <c r="H491" s="59" t="s">
        <v>1019</v>
      </c>
      <c r="I491" s="58" t="s">
        <v>924</v>
      </c>
      <c r="J491" t="s">
        <v>829</v>
      </c>
      <c r="K491" t="s">
        <v>830</v>
      </c>
      <c r="L491" t="s">
        <v>25</v>
      </c>
      <c r="M491" t="s">
        <v>1163</v>
      </c>
      <c r="N491" s="57">
        <v>1200</v>
      </c>
      <c r="O491" t="s">
        <v>100</v>
      </c>
      <c r="P491" t="s">
        <v>93</v>
      </c>
      <c r="Q491" s="3">
        <v>46177</v>
      </c>
      <c r="R491" s="10">
        <f t="shared" ca="1" si="14"/>
        <v>46229</v>
      </c>
      <c r="S491" s="7">
        <f t="shared" ca="1" si="15"/>
        <v>0.14246575342465753</v>
      </c>
    </row>
    <row r="492" spans="1:19" x14ac:dyDescent="0.25">
      <c r="A492">
        <v>4124533</v>
      </c>
      <c r="B492" t="s">
        <v>1775</v>
      </c>
      <c r="C492" t="s">
        <v>1044</v>
      </c>
      <c r="D492" s="6" t="s">
        <v>22</v>
      </c>
      <c r="E492" t="s">
        <v>21</v>
      </c>
      <c r="G492" s="6" t="s">
        <v>968</v>
      </c>
      <c r="H492" s="59" t="s">
        <v>1019</v>
      </c>
      <c r="I492" s="58" t="s">
        <v>924</v>
      </c>
      <c r="J492" t="s">
        <v>829</v>
      </c>
      <c r="K492" t="s">
        <v>830</v>
      </c>
      <c r="L492" t="s">
        <v>25</v>
      </c>
      <c r="M492" t="s">
        <v>1163</v>
      </c>
      <c r="N492" s="57">
        <v>1200</v>
      </c>
      <c r="O492" t="s">
        <v>100</v>
      </c>
      <c r="P492" t="s">
        <v>93</v>
      </c>
      <c r="Q492" s="3">
        <v>46177</v>
      </c>
      <c r="R492" s="10">
        <f t="shared" ca="1" si="14"/>
        <v>46229</v>
      </c>
      <c r="S492" s="7">
        <f t="shared" ca="1" si="15"/>
        <v>0.14246575342465753</v>
      </c>
    </row>
    <row r="493" spans="1:19" x14ac:dyDescent="0.25">
      <c r="A493">
        <v>4124535</v>
      </c>
      <c r="B493" t="s">
        <v>1776</v>
      </c>
      <c r="C493" t="s">
        <v>1044</v>
      </c>
      <c r="D493" s="6" t="s">
        <v>22</v>
      </c>
      <c r="E493" t="s">
        <v>21</v>
      </c>
      <c r="G493" s="6" t="s">
        <v>968</v>
      </c>
      <c r="H493" s="59" t="s">
        <v>1019</v>
      </c>
      <c r="I493" s="58" t="s">
        <v>924</v>
      </c>
      <c r="J493" t="s">
        <v>829</v>
      </c>
      <c r="K493" t="s">
        <v>830</v>
      </c>
      <c r="L493" t="s">
        <v>25</v>
      </c>
      <c r="M493" t="s">
        <v>1163</v>
      </c>
      <c r="N493" s="57">
        <v>1200</v>
      </c>
      <c r="O493" t="s">
        <v>100</v>
      </c>
      <c r="P493" t="s">
        <v>93</v>
      </c>
      <c r="Q493" s="3">
        <v>46177</v>
      </c>
      <c r="R493" s="10">
        <f t="shared" ca="1" si="14"/>
        <v>46229</v>
      </c>
      <c r="S493" s="7">
        <f t="shared" ca="1" si="15"/>
        <v>0.14246575342465753</v>
      </c>
    </row>
    <row r="494" spans="1:19" x14ac:dyDescent="0.25">
      <c r="A494">
        <v>1172051</v>
      </c>
      <c r="B494" t="s">
        <v>205</v>
      </c>
      <c r="C494" t="s">
        <v>17</v>
      </c>
      <c r="D494" s="6" t="s">
        <v>22</v>
      </c>
      <c r="E494" t="s">
        <v>66</v>
      </c>
      <c r="G494" s="6" t="s">
        <v>970</v>
      </c>
      <c r="H494" s="59" t="s">
        <v>1030</v>
      </c>
      <c r="I494" s="58" t="s">
        <v>854</v>
      </c>
      <c r="J494" t="s">
        <v>855</v>
      </c>
      <c r="K494" t="s">
        <v>837</v>
      </c>
      <c r="L494" t="s">
        <v>1038</v>
      </c>
      <c r="M494" t="s">
        <v>1163</v>
      </c>
      <c r="N494" s="57">
        <v>1400</v>
      </c>
      <c r="O494" t="s">
        <v>100</v>
      </c>
      <c r="P494" t="s">
        <v>93</v>
      </c>
      <c r="Q494" s="3">
        <v>44921</v>
      </c>
      <c r="R494" s="10">
        <f t="shared" ca="1" si="14"/>
        <v>46229</v>
      </c>
      <c r="S494" s="7">
        <f t="shared" ca="1" si="15"/>
        <v>3.5835616438356164</v>
      </c>
    </row>
    <row r="495" spans="1:19" x14ac:dyDescent="0.25">
      <c r="A495">
        <v>1228151</v>
      </c>
      <c r="B495" t="s">
        <v>1127</v>
      </c>
      <c r="C495" t="s">
        <v>17</v>
      </c>
      <c r="D495" s="6" t="s">
        <v>22</v>
      </c>
      <c r="E495" t="s">
        <v>66</v>
      </c>
      <c r="G495" s="6" t="s">
        <v>970</v>
      </c>
      <c r="H495" s="59" t="s">
        <v>1030</v>
      </c>
      <c r="I495" s="58" t="s">
        <v>854</v>
      </c>
      <c r="J495" t="s">
        <v>855</v>
      </c>
      <c r="K495" t="s">
        <v>837</v>
      </c>
      <c r="L495" t="s">
        <v>25</v>
      </c>
      <c r="M495" t="s">
        <v>1163</v>
      </c>
      <c r="N495" s="57">
        <v>1400</v>
      </c>
      <c r="O495" t="s">
        <v>100</v>
      </c>
      <c r="P495" t="s">
        <v>93</v>
      </c>
      <c r="Q495" s="3">
        <v>46090</v>
      </c>
      <c r="R495" s="10">
        <f t="shared" ca="1" si="14"/>
        <v>46229</v>
      </c>
      <c r="S495" s="7">
        <f t="shared" ca="1" si="15"/>
        <v>0.38082191780821917</v>
      </c>
    </row>
    <row r="496" spans="1:19" x14ac:dyDescent="0.25">
      <c r="A496">
        <v>1232561</v>
      </c>
      <c r="B496" t="s">
        <v>1478</v>
      </c>
      <c r="C496" t="s">
        <v>17</v>
      </c>
      <c r="D496" s="6" t="s">
        <v>22</v>
      </c>
      <c r="E496" t="s">
        <v>66</v>
      </c>
      <c r="G496" s="6" t="s">
        <v>970</v>
      </c>
      <c r="H496" s="59" t="s">
        <v>1030</v>
      </c>
      <c r="I496" s="58" t="s">
        <v>854</v>
      </c>
      <c r="J496" t="s">
        <v>855</v>
      </c>
      <c r="K496" t="s">
        <v>837</v>
      </c>
      <c r="L496" t="s">
        <v>1038</v>
      </c>
      <c r="M496" t="s">
        <v>1163</v>
      </c>
      <c r="N496" s="57">
        <v>1400</v>
      </c>
      <c r="O496" t="s">
        <v>100</v>
      </c>
      <c r="P496" t="s">
        <v>93</v>
      </c>
      <c r="Q496" s="3">
        <v>46160</v>
      </c>
      <c r="R496" s="10">
        <f t="shared" ca="1" si="14"/>
        <v>46229</v>
      </c>
      <c r="S496" s="7">
        <f t="shared" ca="1" si="15"/>
        <v>0.18904109589041096</v>
      </c>
    </row>
    <row r="497" spans="1:19" x14ac:dyDescent="0.25">
      <c r="A497">
        <v>3007469</v>
      </c>
      <c r="B497" t="s">
        <v>368</v>
      </c>
      <c r="C497" t="s">
        <v>17</v>
      </c>
      <c r="D497" s="6" t="s">
        <v>22</v>
      </c>
      <c r="E497" t="s">
        <v>66</v>
      </c>
      <c r="G497" s="6" t="s">
        <v>970</v>
      </c>
      <c r="H497" s="59" t="s">
        <v>1030</v>
      </c>
      <c r="I497" s="58" t="s">
        <v>854</v>
      </c>
      <c r="J497" t="s">
        <v>855</v>
      </c>
      <c r="K497" t="s">
        <v>837</v>
      </c>
      <c r="L497" t="s">
        <v>25</v>
      </c>
      <c r="M497" t="s">
        <v>1163</v>
      </c>
      <c r="N497" s="57">
        <v>1400</v>
      </c>
      <c r="O497" t="s">
        <v>100</v>
      </c>
      <c r="P497" t="s">
        <v>93</v>
      </c>
      <c r="Q497" s="3">
        <v>43339</v>
      </c>
      <c r="R497" s="10">
        <f t="shared" ca="1" si="14"/>
        <v>46229</v>
      </c>
      <c r="S497" s="7">
        <f t="shared" ca="1" si="15"/>
        <v>7.9178082191780819</v>
      </c>
    </row>
    <row r="498" spans="1:19" x14ac:dyDescent="0.25">
      <c r="A498">
        <v>33183</v>
      </c>
      <c r="B498" t="s">
        <v>394</v>
      </c>
      <c r="C498" t="s">
        <v>17</v>
      </c>
      <c r="D498" s="6" t="s">
        <v>22</v>
      </c>
      <c r="E498" t="s">
        <v>66</v>
      </c>
      <c r="G498" s="6" t="s">
        <v>970</v>
      </c>
      <c r="H498" s="59" t="s">
        <v>1030</v>
      </c>
      <c r="I498" s="58" t="s">
        <v>854</v>
      </c>
      <c r="J498" t="s">
        <v>855</v>
      </c>
      <c r="K498" t="s">
        <v>837</v>
      </c>
      <c r="L498" t="s">
        <v>91</v>
      </c>
      <c r="M498" t="s">
        <v>1163</v>
      </c>
      <c r="N498" s="57">
        <v>1400</v>
      </c>
      <c r="O498" t="s">
        <v>100</v>
      </c>
      <c r="P498" t="s">
        <v>93</v>
      </c>
      <c r="Q498" s="3">
        <v>39034</v>
      </c>
      <c r="R498" s="10">
        <f t="shared" ca="1" si="14"/>
        <v>46229</v>
      </c>
      <c r="S498" s="7">
        <f t="shared" ca="1" si="15"/>
        <v>19.712328767123289</v>
      </c>
    </row>
    <row r="499" spans="1:19" x14ac:dyDescent="0.25">
      <c r="A499">
        <v>4009618</v>
      </c>
      <c r="B499" t="s">
        <v>426</v>
      </c>
      <c r="C499" t="s">
        <v>17</v>
      </c>
      <c r="D499" s="6" t="s">
        <v>22</v>
      </c>
      <c r="E499" t="s">
        <v>66</v>
      </c>
      <c r="G499" s="6" t="s">
        <v>970</v>
      </c>
      <c r="H499" s="59" t="s">
        <v>1030</v>
      </c>
      <c r="I499" s="58" t="s">
        <v>854</v>
      </c>
      <c r="J499" t="s">
        <v>855</v>
      </c>
      <c r="K499" t="s">
        <v>837</v>
      </c>
      <c r="L499" t="s">
        <v>1038</v>
      </c>
      <c r="M499" t="s">
        <v>1163</v>
      </c>
      <c r="N499" s="57">
        <v>1400</v>
      </c>
      <c r="O499" t="s">
        <v>100</v>
      </c>
      <c r="P499" t="s">
        <v>38</v>
      </c>
      <c r="Q499" s="3">
        <v>43685</v>
      </c>
      <c r="R499" s="10">
        <f t="shared" ca="1" si="14"/>
        <v>46229</v>
      </c>
      <c r="S499" s="7">
        <f t="shared" ca="1" si="15"/>
        <v>6.9698630136986299</v>
      </c>
    </row>
    <row r="500" spans="1:19" x14ac:dyDescent="0.25">
      <c r="A500">
        <v>4031790</v>
      </c>
      <c r="B500" t="s">
        <v>1361</v>
      </c>
      <c r="C500" t="s">
        <v>17</v>
      </c>
      <c r="D500" s="6" t="s">
        <v>22</v>
      </c>
      <c r="E500" t="s">
        <v>66</v>
      </c>
      <c r="G500" s="6" t="s">
        <v>970</v>
      </c>
      <c r="H500" s="59" t="s">
        <v>1030</v>
      </c>
      <c r="I500" s="58" t="s">
        <v>854</v>
      </c>
      <c r="J500" t="s">
        <v>855</v>
      </c>
      <c r="K500" t="s">
        <v>837</v>
      </c>
      <c r="L500" t="s">
        <v>91</v>
      </c>
      <c r="M500" t="s">
        <v>1163</v>
      </c>
      <c r="N500" s="57">
        <v>1400</v>
      </c>
      <c r="O500" t="s">
        <v>100</v>
      </c>
      <c r="P500" t="s">
        <v>93</v>
      </c>
      <c r="Q500" s="3">
        <v>44207</v>
      </c>
      <c r="R500" s="10">
        <f t="shared" ca="1" si="14"/>
        <v>46229</v>
      </c>
      <c r="S500" s="7">
        <f t="shared" ca="1" si="15"/>
        <v>5.5397260273972604</v>
      </c>
    </row>
    <row r="501" spans="1:19" x14ac:dyDescent="0.25">
      <c r="A501">
        <v>4084894</v>
      </c>
      <c r="B501" t="s">
        <v>557</v>
      </c>
      <c r="C501" t="s">
        <v>17</v>
      </c>
      <c r="D501" s="6" t="s">
        <v>22</v>
      </c>
      <c r="E501" t="s">
        <v>66</v>
      </c>
      <c r="G501" s="6" t="s">
        <v>970</v>
      </c>
      <c r="H501" s="59" t="s">
        <v>1030</v>
      </c>
      <c r="I501" s="58" t="s">
        <v>854</v>
      </c>
      <c r="J501" t="s">
        <v>855</v>
      </c>
      <c r="K501" t="s">
        <v>837</v>
      </c>
      <c r="L501" t="s">
        <v>91</v>
      </c>
      <c r="M501" t="s">
        <v>1163</v>
      </c>
      <c r="N501" s="57">
        <v>1400</v>
      </c>
      <c r="O501" t="s">
        <v>100</v>
      </c>
      <c r="P501" t="s">
        <v>38</v>
      </c>
      <c r="Q501" s="3">
        <v>45006</v>
      </c>
      <c r="R501" s="10">
        <f t="shared" ca="1" si="14"/>
        <v>46229</v>
      </c>
      <c r="S501" s="7">
        <f t="shared" ca="1" si="15"/>
        <v>3.3506849315068492</v>
      </c>
    </row>
    <row r="502" spans="1:19" x14ac:dyDescent="0.25">
      <c r="A502">
        <v>4099804</v>
      </c>
      <c r="B502" t="s">
        <v>1515</v>
      </c>
      <c r="C502" t="s">
        <v>17</v>
      </c>
      <c r="D502" s="6" t="s">
        <v>22</v>
      </c>
      <c r="E502" t="s">
        <v>66</v>
      </c>
      <c r="G502" s="6" t="s">
        <v>970</v>
      </c>
      <c r="H502" s="59" t="s">
        <v>1030</v>
      </c>
      <c r="I502" s="58" t="s">
        <v>854</v>
      </c>
      <c r="J502" t="s">
        <v>855</v>
      </c>
      <c r="K502" t="s">
        <v>837</v>
      </c>
      <c r="L502" t="s">
        <v>25</v>
      </c>
      <c r="M502" t="s">
        <v>1163</v>
      </c>
      <c r="N502" s="57">
        <v>1400</v>
      </c>
      <c r="O502" t="s">
        <v>100</v>
      </c>
      <c r="P502" t="s">
        <v>1536</v>
      </c>
      <c r="Q502" s="3">
        <v>45407</v>
      </c>
      <c r="R502" s="10">
        <f t="shared" ca="1" si="14"/>
        <v>46229</v>
      </c>
      <c r="S502" s="7">
        <f t="shared" ca="1" si="15"/>
        <v>2.2520547945205478</v>
      </c>
    </row>
    <row r="503" spans="1:19" x14ac:dyDescent="0.25">
      <c r="A503">
        <v>981828</v>
      </c>
      <c r="B503" t="s">
        <v>801</v>
      </c>
      <c r="C503" t="s">
        <v>17</v>
      </c>
      <c r="D503" s="6" t="s">
        <v>22</v>
      </c>
      <c r="E503" t="s">
        <v>66</v>
      </c>
      <c r="G503" s="6" t="s">
        <v>970</v>
      </c>
      <c r="H503" s="59" t="s">
        <v>1030</v>
      </c>
      <c r="I503" s="58" t="s">
        <v>854</v>
      </c>
      <c r="J503" t="s">
        <v>855</v>
      </c>
      <c r="K503" t="s">
        <v>837</v>
      </c>
      <c r="L503" t="s">
        <v>1038</v>
      </c>
      <c r="M503" t="s">
        <v>1163</v>
      </c>
      <c r="N503" s="57">
        <v>1400</v>
      </c>
      <c r="O503" t="s">
        <v>100</v>
      </c>
      <c r="P503" t="s">
        <v>93</v>
      </c>
      <c r="Q503" s="3">
        <v>42695</v>
      </c>
      <c r="R503" s="10">
        <f t="shared" ca="1" si="14"/>
        <v>46229</v>
      </c>
      <c r="S503" s="7">
        <f t="shared" ca="1" si="15"/>
        <v>9.6821917808219187</v>
      </c>
    </row>
    <row r="504" spans="1:19" x14ac:dyDescent="0.25">
      <c r="A504">
        <v>990259</v>
      </c>
      <c r="B504" t="s">
        <v>808</v>
      </c>
      <c r="C504" t="s">
        <v>17</v>
      </c>
      <c r="D504" s="6" t="s">
        <v>22</v>
      </c>
      <c r="E504" t="s">
        <v>66</v>
      </c>
      <c r="G504" s="6" t="s">
        <v>970</v>
      </c>
      <c r="H504" s="59" t="s">
        <v>1030</v>
      </c>
      <c r="I504" s="58" t="s">
        <v>854</v>
      </c>
      <c r="J504" t="s">
        <v>855</v>
      </c>
      <c r="K504" t="s">
        <v>837</v>
      </c>
      <c r="L504" t="s">
        <v>91</v>
      </c>
      <c r="M504" t="s">
        <v>1163</v>
      </c>
      <c r="N504" s="57">
        <v>1400</v>
      </c>
      <c r="O504" t="s">
        <v>100</v>
      </c>
      <c r="P504" t="s">
        <v>93</v>
      </c>
      <c r="Q504" s="3">
        <v>42702</v>
      </c>
      <c r="R504" s="10">
        <f t="shared" ca="1" si="14"/>
        <v>46229</v>
      </c>
      <c r="S504" s="7">
        <f t="shared" ca="1" si="15"/>
        <v>9.6630136986301363</v>
      </c>
    </row>
    <row r="505" spans="1:19" x14ac:dyDescent="0.25">
      <c r="A505">
        <v>4118006</v>
      </c>
      <c r="B505" t="s">
        <v>1550</v>
      </c>
      <c r="C505" t="s">
        <v>1044</v>
      </c>
      <c r="D505" s="6" t="s">
        <v>22</v>
      </c>
      <c r="E505" t="s">
        <v>21</v>
      </c>
      <c r="F505" s="58" t="s">
        <v>1475</v>
      </c>
      <c r="G505" s="6" t="s">
        <v>968</v>
      </c>
      <c r="H505" s="59" t="s">
        <v>1039</v>
      </c>
      <c r="I505" s="58" t="s">
        <v>35</v>
      </c>
      <c r="J505" t="s">
        <v>36</v>
      </c>
      <c r="K505" t="s">
        <v>37</v>
      </c>
      <c r="L505" t="s">
        <v>91</v>
      </c>
      <c r="M505" t="s">
        <v>1163</v>
      </c>
      <c r="N505" s="57">
        <v>1200</v>
      </c>
      <c r="O505" t="s">
        <v>100</v>
      </c>
      <c r="P505" t="s">
        <v>93</v>
      </c>
      <c r="Q505" s="3">
        <v>46167</v>
      </c>
      <c r="R505" s="10">
        <f t="shared" ca="1" si="14"/>
        <v>46229</v>
      </c>
      <c r="S505" s="7">
        <f t="shared" ca="1" si="15"/>
        <v>0.16986301369863013</v>
      </c>
    </row>
    <row r="506" spans="1:19" x14ac:dyDescent="0.25">
      <c r="A506">
        <v>4122563</v>
      </c>
      <c r="B506" t="s">
        <v>1270</v>
      </c>
      <c r="C506" t="s">
        <v>1044</v>
      </c>
      <c r="D506" s="6" t="s">
        <v>22</v>
      </c>
      <c r="E506" t="s">
        <v>21</v>
      </c>
      <c r="F506" s="58" t="s">
        <v>1475</v>
      </c>
      <c r="G506" s="6" t="s">
        <v>968</v>
      </c>
      <c r="H506" s="59" t="s">
        <v>1039</v>
      </c>
      <c r="I506" s="58" t="s">
        <v>35</v>
      </c>
      <c r="J506" t="s">
        <v>36</v>
      </c>
      <c r="K506" t="s">
        <v>37</v>
      </c>
      <c r="L506" t="s">
        <v>25</v>
      </c>
      <c r="M506" t="s">
        <v>1163</v>
      </c>
      <c r="N506" s="57">
        <v>1200</v>
      </c>
      <c r="O506" t="s">
        <v>100</v>
      </c>
      <c r="P506" t="s">
        <v>93</v>
      </c>
      <c r="Q506" s="3">
        <v>46118</v>
      </c>
      <c r="R506" s="10">
        <f t="shared" ca="1" si="14"/>
        <v>46229</v>
      </c>
      <c r="S506" s="7">
        <f t="shared" ca="1" si="15"/>
        <v>0.30410958904109592</v>
      </c>
    </row>
    <row r="507" spans="1:19" x14ac:dyDescent="0.25">
      <c r="A507">
        <v>4124402</v>
      </c>
      <c r="B507" t="s">
        <v>1754</v>
      </c>
      <c r="C507" t="s">
        <v>1044</v>
      </c>
      <c r="D507" s="6" t="s">
        <v>22</v>
      </c>
      <c r="E507" t="s">
        <v>21</v>
      </c>
      <c r="F507" s="58" t="s">
        <v>1475</v>
      </c>
      <c r="G507" s="6" t="s">
        <v>968</v>
      </c>
      <c r="H507" s="59" t="s">
        <v>1039</v>
      </c>
      <c r="I507" s="58" t="s">
        <v>35</v>
      </c>
      <c r="J507" t="s">
        <v>36</v>
      </c>
      <c r="K507" t="s">
        <v>37</v>
      </c>
      <c r="L507" t="s">
        <v>91</v>
      </c>
      <c r="M507" t="s">
        <v>1163</v>
      </c>
      <c r="N507" s="57">
        <v>1200</v>
      </c>
      <c r="O507" t="s">
        <v>100</v>
      </c>
      <c r="P507" t="s">
        <v>93</v>
      </c>
      <c r="Q507" s="3">
        <v>46174</v>
      </c>
      <c r="R507" s="10">
        <f t="shared" ca="1" si="14"/>
        <v>46229</v>
      </c>
      <c r="S507" s="7">
        <f t="shared" ca="1" si="15"/>
        <v>0.15068493150684931</v>
      </c>
    </row>
    <row r="508" spans="1:19" x14ac:dyDescent="0.25">
      <c r="A508">
        <v>4083679</v>
      </c>
      <c r="B508" t="s">
        <v>552</v>
      </c>
      <c r="C508" t="s">
        <v>17</v>
      </c>
      <c r="D508" s="6" t="s">
        <v>22</v>
      </c>
      <c r="E508" t="s">
        <v>55</v>
      </c>
      <c r="F508" s="58" t="s">
        <v>1475</v>
      </c>
      <c r="G508" s="6" t="s">
        <v>968</v>
      </c>
      <c r="H508" s="59" t="s">
        <v>1039</v>
      </c>
      <c r="I508" s="58" t="s">
        <v>35</v>
      </c>
      <c r="J508" t="s">
        <v>36</v>
      </c>
      <c r="K508" t="s">
        <v>37</v>
      </c>
      <c r="L508" t="s">
        <v>25</v>
      </c>
      <c r="M508" t="s">
        <v>1163</v>
      </c>
      <c r="N508" s="57">
        <v>1200</v>
      </c>
      <c r="O508" t="s">
        <v>100</v>
      </c>
      <c r="P508" t="s">
        <v>93</v>
      </c>
      <c r="Q508" s="3">
        <v>44994</v>
      </c>
      <c r="R508" s="10">
        <f t="shared" ca="1" si="14"/>
        <v>46229</v>
      </c>
      <c r="S508" s="7">
        <f t="shared" ca="1" si="15"/>
        <v>3.3835616438356166</v>
      </c>
    </row>
    <row r="509" spans="1:19" x14ac:dyDescent="0.25">
      <c r="A509">
        <v>4124267</v>
      </c>
      <c r="B509" t="s">
        <v>1718</v>
      </c>
      <c r="C509" t="s">
        <v>1044</v>
      </c>
      <c r="D509" s="6" t="s">
        <v>22</v>
      </c>
      <c r="E509" t="s">
        <v>21</v>
      </c>
      <c r="F509" s="58" t="s">
        <v>1475</v>
      </c>
      <c r="G509" s="6" t="s">
        <v>968</v>
      </c>
      <c r="H509" s="59" t="s">
        <v>1039</v>
      </c>
      <c r="I509" s="58" t="s">
        <v>35</v>
      </c>
      <c r="J509" t="s">
        <v>36</v>
      </c>
      <c r="K509" t="s">
        <v>37</v>
      </c>
      <c r="L509" t="s">
        <v>91</v>
      </c>
      <c r="M509" t="s">
        <v>1163</v>
      </c>
      <c r="N509" s="57">
        <v>1200</v>
      </c>
      <c r="O509" t="s">
        <v>100</v>
      </c>
      <c r="P509" t="s">
        <v>93</v>
      </c>
      <c r="Q509" s="3">
        <v>46170</v>
      </c>
      <c r="R509" s="10">
        <f t="shared" ca="1" si="14"/>
        <v>46229</v>
      </c>
      <c r="S509" s="7">
        <f t="shared" ca="1" si="15"/>
        <v>0.16164383561643836</v>
      </c>
    </row>
    <row r="510" spans="1:19" x14ac:dyDescent="0.25">
      <c r="A510">
        <v>4124374</v>
      </c>
      <c r="B510" t="s">
        <v>1733</v>
      </c>
      <c r="C510" t="s">
        <v>1044</v>
      </c>
      <c r="D510" s="6" t="s">
        <v>22</v>
      </c>
      <c r="E510" t="s">
        <v>21</v>
      </c>
      <c r="F510" s="58" t="s">
        <v>1475</v>
      </c>
      <c r="G510" s="6" t="s">
        <v>968</v>
      </c>
      <c r="H510" s="59" t="s">
        <v>1039</v>
      </c>
      <c r="I510" s="58" t="s">
        <v>35</v>
      </c>
      <c r="J510" t="s">
        <v>36</v>
      </c>
      <c r="K510" t="s">
        <v>37</v>
      </c>
      <c r="L510" t="s">
        <v>25</v>
      </c>
      <c r="M510" t="s">
        <v>1163</v>
      </c>
      <c r="N510" s="57">
        <v>1200</v>
      </c>
      <c r="O510" t="s">
        <v>100</v>
      </c>
      <c r="P510" t="s">
        <v>93</v>
      </c>
      <c r="Q510" s="3">
        <v>46174</v>
      </c>
      <c r="R510" s="10">
        <f t="shared" ca="1" si="14"/>
        <v>46229</v>
      </c>
      <c r="S510" s="7">
        <f t="shared" ca="1" si="15"/>
        <v>0.15068493150684931</v>
      </c>
    </row>
    <row r="511" spans="1:19" x14ac:dyDescent="0.25">
      <c r="A511">
        <v>4075732</v>
      </c>
      <c r="B511" t="s">
        <v>1633</v>
      </c>
      <c r="C511" t="s">
        <v>1044</v>
      </c>
      <c r="D511" s="6" t="s">
        <v>22</v>
      </c>
      <c r="E511" t="s">
        <v>21</v>
      </c>
      <c r="F511" s="58" t="s">
        <v>1475</v>
      </c>
      <c r="G511" s="6" t="s">
        <v>968</v>
      </c>
      <c r="H511" s="59" t="s">
        <v>1039</v>
      </c>
      <c r="I511" s="58" t="s">
        <v>35</v>
      </c>
      <c r="J511" t="s">
        <v>36</v>
      </c>
      <c r="K511" t="s">
        <v>37</v>
      </c>
      <c r="L511" t="s">
        <v>91</v>
      </c>
      <c r="M511" t="s">
        <v>1163</v>
      </c>
      <c r="N511" s="57">
        <v>1200</v>
      </c>
      <c r="O511" t="s">
        <v>100</v>
      </c>
      <c r="P511" t="s">
        <v>93</v>
      </c>
      <c r="Q511" s="3">
        <v>46174</v>
      </c>
      <c r="R511" s="10">
        <f t="shared" ca="1" si="14"/>
        <v>46229</v>
      </c>
      <c r="S511" s="7">
        <f t="shared" ca="1" si="15"/>
        <v>0.15068493150684931</v>
      </c>
    </row>
    <row r="512" spans="1:19" x14ac:dyDescent="0.25">
      <c r="A512">
        <v>1012178</v>
      </c>
      <c r="B512" t="s">
        <v>125</v>
      </c>
      <c r="C512" t="s">
        <v>17</v>
      </c>
      <c r="D512" s="6" t="s">
        <v>22</v>
      </c>
      <c r="E512" t="s">
        <v>67</v>
      </c>
      <c r="G512" s="6" t="s">
        <v>968</v>
      </c>
      <c r="H512" s="59" t="s">
        <v>1011</v>
      </c>
      <c r="I512" s="58" t="s">
        <v>35</v>
      </c>
      <c r="J512" t="s">
        <v>36</v>
      </c>
      <c r="K512" t="s">
        <v>37</v>
      </c>
      <c r="L512" t="s">
        <v>91</v>
      </c>
      <c r="M512" t="s">
        <v>1163</v>
      </c>
      <c r="N512" s="57">
        <v>1200</v>
      </c>
      <c r="O512" t="s">
        <v>100</v>
      </c>
      <c r="P512" t="s">
        <v>93</v>
      </c>
      <c r="Q512" s="3">
        <v>42852</v>
      </c>
      <c r="R512" s="10">
        <f t="shared" ca="1" si="14"/>
        <v>46229</v>
      </c>
      <c r="S512" s="7">
        <f t="shared" ca="1" si="15"/>
        <v>9.2520547945205482</v>
      </c>
    </row>
    <row r="513" spans="1:19" x14ac:dyDescent="0.25">
      <c r="A513">
        <v>26565</v>
      </c>
      <c r="B513" t="s">
        <v>328</v>
      </c>
      <c r="C513" t="s">
        <v>17</v>
      </c>
      <c r="D513" s="6" t="s">
        <v>22</v>
      </c>
      <c r="E513" t="s">
        <v>52</v>
      </c>
      <c r="G513" s="6" t="s">
        <v>968</v>
      </c>
      <c r="H513" s="59" t="s">
        <v>1011</v>
      </c>
      <c r="I513" s="58" t="s">
        <v>35</v>
      </c>
      <c r="J513" t="s">
        <v>36</v>
      </c>
      <c r="K513" t="s">
        <v>37</v>
      </c>
      <c r="L513" t="s">
        <v>91</v>
      </c>
      <c r="M513" t="s">
        <v>1163</v>
      </c>
      <c r="N513" s="57">
        <v>1200</v>
      </c>
      <c r="O513" t="s">
        <v>100</v>
      </c>
      <c r="P513" t="s">
        <v>93</v>
      </c>
      <c r="Q513" s="3">
        <v>38985</v>
      </c>
      <c r="R513" s="10">
        <f t="shared" ca="1" si="14"/>
        <v>46229</v>
      </c>
      <c r="S513" s="7">
        <f t="shared" ca="1" si="15"/>
        <v>19.846575342465755</v>
      </c>
    </row>
    <row r="514" spans="1:19" x14ac:dyDescent="0.25">
      <c r="A514">
        <v>28032</v>
      </c>
      <c r="B514" t="s">
        <v>339</v>
      </c>
      <c r="C514" t="s">
        <v>17</v>
      </c>
      <c r="D514" s="6" t="s">
        <v>22</v>
      </c>
      <c r="E514" t="s">
        <v>52</v>
      </c>
      <c r="G514" s="6" t="s">
        <v>968</v>
      </c>
      <c r="H514" s="59" t="s">
        <v>1011</v>
      </c>
      <c r="I514" s="58" t="s">
        <v>35</v>
      </c>
      <c r="J514" t="s">
        <v>36</v>
      </c>
      <c r="K514" t="s">
        <v>37</v>
      </c>
      <c r="L514" t="s">
        <v>25</v>
      </c>
      <c r="M514" t="s">
        <v>1163</v>
      </c>
      <c r="N514" s="57">
        <v>1200</v>
      </c>
      <c r="O514" t="s">
        <v>100</v>
      </c>
      <c r="P514" t="s">
        <v>93</v>
      </c>
      <c r="Q514" s="3">
        <v>45565</v>
      </c>
      <c r="R514" s="10">
        <f t="shared" ca="1" si="14"/>
        <v>46229</v>
      </c>
      <c r="S514" s="7">
        <f t="shared" ca="1" si="15"/>
        <v>1.8191780821917809</v>
      </c>
    </row>
    <row r="515" spans="1:19" x14ac:dyDescent="0.25">
      <c r="A515">
        <v>3003155</v>
      </c>
      <c r="B515" t="s">
        <v>362</v>
      </c>
      <c r="C515" t="s">
        <v>17</v>
      </c>
      <c r="D515" s="6" t="s">
        <v>22</v>
      </c>
      <c r="E515" t="s">
        <v>52</v>
      </c>
      <c r="G515" s="6" t="s">
        <v>968</v>
      </c>
      <c r="H515" s="59" t="s">
        <v>1011</v>
      </c>
      <c r="I515" s="58" t="s">
        <v>35</v>
      </c>
      <c r="J515" t="s">
        <v>36</v>
      </c>
      <c r="K515" t="s">
        <v>37</v>
      </c>
      <c r="L515" t="s">
        <v>1038</v>
      </c>
      <c r="M515" t="s">
        <v>1163</v>
      </c>
      <c r="N515" s="57">
        <v>1200</v>
      </c>
      <c r="O515" t="s">
        <v>100</v>
      </c>
      <c r="P515" t="s">
        <v>93</v>
      </c>
      <c r="Q515" s="3">
        <v>45502</v>
      </c>
      <c r="R515" s="10">
        <f t="shared" ref="R515:R578" ca="1" si="16">TODAY()</f>
        <v>46229</v>
      </c>
      <c r="S515" s="7">
        <f t="shared" ref="S515:S578" ca="1" si="17">(R515-Q515)/365</f>
        <v>1.9917808219178081</v>
      </c>
    </row>
    <row r="516" spans="1:19" x14ac:dyDescent="0.25">
      <c r="A516">
        <v>3007864</v>
      </c>
      <c r="B516" t="s">
        <v>103</v>
      </c>
      <c r="C516" t="s">
        <v>17</v>
      </c>
      <c r="D516" s="6" t="s">
        <v>39</v>
      </c>
      <c r="E516" t="s">
        <v>67</v>
      </c>
      <c r="G516" s="6" t="s">
        <v>1011</v>
      </c>
      <c r="H516" s="59" t="s">
        <v>92</v>
      </c>
      <c r="I516" s="58" t="s">
        <v>35</v>
      </c>
      <c r="J516" t="s">
        <v>36</v>
      </c>
      <c r="K516" t="s">
        <v>37</v>
      </c>
      <c r="L516" t="s">
        <v>1038</v>
      </c>
      <c r="M516" t="s">
        <v>1163</v>
      </c>
      <c r="N516" s="57">
        <v>5700</v>
      </c>
      <c r="O516" t="s">
        <v>100</v>
      </c>
      <c r="P516" t="s">
        <v>93</v>
      </c>
      <c r="Q516" s="3">
        <v>44056</v>
      </c>
      <c r="R516" s="10">
        <f t="shared" ca="1" si="16"/>
        <v>46229</v>
      </c>
      <c r="S516" s="7">
        <f t="shared" ca="1" si="17"/>
        <v>5.9534246575342467</v>
      </c>
    </row>
    <row r="517" spans="1:19" x14ac:dyDescent="0.25">
      <c r="A517">
        <v>32775</v>
      </c>
      <c r="B517" t="s">
        <v>391</v>
      </c>
      <c r="C517" t="s">
        <v>17</v>
      </c>
      <c r="D517" s="6" t="s">
        <v>39</v>
      </c>
      <c r="E517" t="s">
        <v>948</v>
      </c>
      <c r="G517" s="6" t="s">
        <v>968</v>
      </c>
      <c r="H517" s="59" t="s">
        <v>1011</v>
      </c>
      <c r="I517" s="58" t="s">
        <v>35</v>
      </c>
      <c r="J517" t="s">
        <v>36</v>
      </c>
      <c r="K517" t="s">
        <v>37</v>
      </c>
      <c r="L517" t="s">
        <v>966</v>
      </c>
      <c r="M517" t="s">
        <v>1163</v>
      </c>
      <c r="N517" s="57">
        <v>5700</v>
      </c>
      <c r="O517" t="s">
        <v>100</v>
      </c>
      <c r="P517" t="s">
        <v>38</v>
      </c>
      <c r="Q517" s="3">
        <v>37592</v>
      </c>
      <c r="R517" s="10">
        <f t="shared" ca="1" si="16"/>
        <v>46229</v>
      </c>
      <c r="S517" s="7">
        <f t="shared" ca="1" si="17"/>
        <v>23.663013698630138</v>
      </c>
    </row>
    <row r="518" spans="1:19" x14ac:dyDescent="0.25">
      <c r="A518">
        <v>4031279</v>
      </c>
      <c r="B518" t="s">
        <v>444</v>
      </c>
      <c r="C518" t="s">
        <v>17</v>
      </c>
      <c r="D518" s="6" t="s">
        <v>22</v>
      </c>
      <c r="E518" t="s">
        <v>52</v>
      </c>
      <c r="G518" s="6" t="s">
        <v>968</v>
      </c>
      <c r="H518" s="59" t="s">
        <v>1011</v>
      </c>
      <c r="I518" s="58" t="s">
        <v>35</v>
      </c>
      <c r="J518" t="s">
        <v>36</v>
      </c>
      <c r="K518" t="s">
        <v>37</v>
      </c>
      <c r="L518" t="s">
        <v>1038</v>
      </c>
      <c r="M518" t="s">
        <v>1163</v>
      </c>
      <c r="N518" s="57">
        <v>1200</v>
      </c>
      <c r="O518" t="s">
        <v>100</v>
      </c>
      <c r="P518" t="s">
        <v>93</v>
      </c>
      <c r="Q518" s="3">
        <v>44186</v>
      </c>
      <c r="R518" s="10">
        <f t="shared" ca="1" si="16"/>
        <v>46229</v>
      </c>
      <c r="S518" s="7">
        <f t="shared" ca="1" si="17"/>
        <v>5.5972602739726032</v>
      </c>
    </row>
    <row r="519" spans="1:19" x14ac:dyDescent="0.25">
      <c r="A519">
        <v>4033976</v>
      </c>
      <c r="B519" t="s">
        <v>448</v>
      </c>
      <c r="C519" t="s">
        <v>17</v>
      </c>
      <c r="D519" s="6" t="s">
        <v>39</v>
      </c>
      <c r="E519" t="s">
        <v>956</v>
      </c>
      <c r="G519" s="6" t="s">
        <v>968</v>
      </c>
      <c r="H519" s="59" t="s">
        <v>1011</v>
      </c>
      <c r="I519" s="58" t="s">
        <v>35</v>
      </c>
      <c r="J519" t="s">
        <v>36</v>
      </c>
      <c r="K519" t="s">
        <v>37</v>
      </c>
      <c r="L519" t="s">
        <v>966</v>
      </c>
      <c r="M519" t="s">
        <v>1163</v>
      </c>
      <c r="N519" s="57">
        <v>5700</v>
      </c>
      <c r="O519" t="s">
        <v>100</v>
      </c>
      <c r="P519" t="s">
        <v>38</v>
      </c>
      <c r="Q519" s="3">
        <v>44238</v>
      </c>
      <c r="R519" s="10">
        <f t="shared" ca="1" si="16"/>
        <v>46229</v>
      </c>
      <c r="S519" s="7">
        <f t="shared" ca="1" si="17"/>
        <v>5.4547945205479449</v>
      </c>
    </row>
    <row r="520" spans="1:19" x14ac:dyDescent="0.25">
      <c r="A520">
        <v>4038451</v>
      </c>
      <c r="B520" t="s">
        <v>458</v>
      </c>
      <c r="C520" t="s">
        <v>17</v>
      </c>
      <c r="D520" s="6" t="s">
        <v>22</v>
      </c>
      <c r="E520" t="s">
        <v>101</v>
      </c>
      <c r="G520" s="6" t="s">
        <v>968</v>
      </c>
      <c r="H520" s="59" t="s">
        <v>1012</v>
      </c>
      <c r="I520" s="58" t="s">
        <v>35</v>
      </c>
      <c r="J520" t="s">
        <v>36</v>
      </c>
      <c r="K520" t="s">
        <v>37</v>
      </c>
      <c r="L520" t="s">
        <v>91</v>
      </c>
      <c r="M520" t="s">
        <v>1163</v>
      </c>
      <c r="N520" s="57">
        <v>1200</v>
      </c>
      <c r="O520" t="s">
        <v>100</v>
      </c>
      <c r="P520" t="s">
        <v>93</v>
      </c>
      <c r="Q520" s="3">
        <v>44350</v>
      </c>
      <c r="R520" s="10">
        <f t="shared" ca="1" si="16"/>
        <v>46229</v>
      </c>
      <c r="S520" s="7">
        <f t="shared" ca="1" si="17"/>
        <v>5.1479452054794521</v>
      </c>
    </row>
    <row r="521" spans="1:19" x14ac:dyDescent="0.25">
      <c r="A521">
        <v>4041843</v>
      </c>
      <c r="B521" t="s">
        <v>468</v>
      </c>
      <c r="C521" t="s">
        <v>17</v>
      </c>
      <c r="D521" s="6" t="s">
        <v>22</v>
      </c>
      <c r="E521" t="s">
        <v>52</v>
      </c>
      <c r="G521" s="6" t="s">
        <v>968</v>
      </c>
      <c r="H521" s="59" t="s">
        <v>1011</v>
      </c>
      <c r="I521" s="58" t="s">
        <v>35</v>
      </c>
      <c r="J521" t="s">
        <v>36</v>
      </c>
      <c r="K521" t="s">
        <v>37</v>
      </c>
      <c r="L521" t="s">
        <v>25</v>
      </c>
      <c r="M521" t="s">
        <v>1163</v>
      </c>
      <c r="N521" s="57">
        <v>1200</v>
      </c>
      <c r="O521" t="s">
        <v>100</v>
      </c>
      <c r="P521" t="s">
        <v>93</v>
      </c>
      <c r="Q521" s="3">
        <v>45302</v>
      </c>
      <c r="R521" s="10">
        <f t="shared" ca="1" si="16"/>
        <v>46229</v>
      </c>
      <c r="S521" s="7">
        <f t="shared" ca="1" si="17"/>
        <v>2.5397260273972604</v>
      </c>
    </row>
    <row r="522" spans="1:19" x14ac:dyDescent="0.25">
      <c r="A522">
        <v>4044946</v>
      </c>
      <c r="B522" t="s">
        <v>470</v>
      </c>
      <c r="C522" t="s">
        <v>17</v>
      </c>
      <c r="D522" s="6" t="s">
        <v>22</v>
      </c>
      <c r="E522" t="s">
        <v>52</v>
      </c>
      <c r="G522" s="6" t="s">
        <v>968</v>
      </c>
      <c r="H522" s="59" t="s">
        <v>1011</v>
      </c>
      <c r="I522" s="58" t="s">
        <v>35</v>
      </c>
      <c r="J522" t="s">
        <v>36</v>
      </c>
      <c r="K522" t="s">
        <v>37</v>
      </c>
      <c r="L522" t="s">
        <v>91</v>
      </c>
      <c r="M522" t="s">
        <v>1163</v>
      </c>
      <c r="N522" s="57">
        <v>1200</v>
      </c>
      <c r="O522" t="s">
        <v>100</v>
      </c>
      <c r="P522" t="s">
        <v>93</v>
      </c>
      <c r="Q522" s="3">
        <v>45757</v>
      </c>
      <c r="R522" s="10">
        <f t="shared" ca="1" si="16"/>
        <v>46229</v>
      </c>
      <c r="S522" s="7">
        <f t="shared" ca="1" si="17"/>
        <v>1.2931506849315069</v>
      </c>
    </row>
    <row r="523" spans="1:19" x14ac:dyDescent="0.25">
      <c r="A523">
        <v>4087609</v>
      </c>
      <c r="B523" t="s">
        <v>564</v>
      </c>
      <c r="C523" t="s">
        <v>17</v>
      </c>
      <c r="D523" s="6" t="s">
        <v>22</v>
      </c>
      <c r="E523" t="s">
        <v>52</v>
      </c>
      <c r="G523" s="6" t="s">
        <v>968</v>
      </c>
      <c r="H523" s="59" t="s">
        <v>1011</v>
      </c>
      <c r="I523" s="58" t="s">
        <v>35</v>
      </c>
      <c r="J523" t="s">
        <v>36</v>
      </c>
      <c r="K523" t="s">
        <v>37</v>
      </c>
      <c r="L523" t="s">
        <v>1038</v>
      </c>
      <c r="M523" t="s">
        <v>1163</v>
      </c>
      <c r="N523" s="57">
        <v>1400</v>
      </c>
      <c r="O523" t="s">
        <v>100</v>
      </c>
      <c r="P523" t="s">
        <v>38</v>
      </c>
      <c r="Q523" s="3">
        <v>45036</v>
      </c>
      <c r="R523" s="10">
        <f t="shared" ca="1" si="16"/>
        <v>46229</v>
      </c>
      <c r="S523" s="7">
        <f t="shared" ca="1" si="17"/>
        <v>3.2684931506849315</v>
      </c>
    </row>
    <row r="524" spans="1:19" x14ac:dyDescent="0.25">
      <c r="A524">
        <v>4109282</v>
      </c>
      <c r="B524" t="s">
        <v>666</v>
      </c>
      <c r="C524" t="s">
        <v>17</v>
      </c>
      <c r="D524" s="6" t="s">
        <v>22</v>
      </c>
      <c r="E524" t="s">
        <v>52</v>
      </c>
      <c r="G524" s="6" t="s">
        <v>968</v>
      </c>
      <c r="H524" s="59" t="s">
        <v>1011</v>
      </c>
      <c r="I524" s="58" t="s">
        <v>35</v>
      </c>
      <c r="J524" t="s">
        <v>36</v>
      </c>
      <c r="K524" t="s">
        <v>37</v>
      </c>
      <c r="L524" t="s">
        <v>91</v>
      </c>
      <c r="M524" t="s">
        <v>1163</v>
      </c>
      <c r="N524" s="57">
        <v>1200</v>
      </c>
      <c r="O524" t="s">
        <v>100</v>
      </c>
      <c r="P524" t="s">
        <v>93</v>
      </c>
      <c r="Q524" s="3">
        <v>45663</v>
      </c>
      <c r="R524" s="10">
        <f t="shared" ca="1" si="16"/>
        <v>46229</v>
      </c>
      <c r="S524" s="7">
        <f t="shared" ca="1" si="17"/>
        <v>1.5506849315068494</v>
      </c>
    </row>
    <row r="525" spans="1:19" x14ac:dyDescent="0.25">
      <c r="A525">
        <v>4110767</v>
      </c>
      <c r="B525" t="s">
        <v>1130</v>
      </c>
      <c r="C525" t="s">
        <v>17</v>
      </c>
      <c r="D525" s="6" t="s">
        <v>22</v>
      </c>
      <c r="E525" t="s">
        <v>101</v>
      </c>
      <c r="G525" s="6" t="s">
        <v>968</v>
      </c>
      <c r="H525" s="59" t="s">
        <v>1012</v>
      </c>
      <c r="I525" s="58" t="s">
        <v>35</v>
      </c>
      <c r="J525" t="s">
        <v>36</v>
      </c>
      <c r="K525" t="s">
        <v>37</v>
      </c>
      <c r="L525" t="s">
        <v>25</v>
      </c>
      <c r="M525" t="s">
        <v>1163</v>
      </c>
      <c r="N525" s="57">
        <v>1200</v>
      </c>
      <c r="O525" t="s">
        <v>100</v>
      </c>
      <c r="P525" t="s">
        <v>20</v>
      </c>
      <c r="Q525" s="3">
        <v>46041</v>
      </c>
      <c r="R525" s="10">
        <f t="shared" ca="1" si="16"/>
        <v>46229</v>
      </c>
      <c r="S525" s="7">
        <f t="shared" ca="1" si="17"/>
        <v>0.51506849315068493</v>
      </c>
    </row>
    <row r="526" spans="1:19" x14ac:dyDescent="0.25">
      <c r="A526">
        <v>579841</v>
      </c>
      <c r="B526" t="s">
        <v>711</v>
      </c>
      <c r="C526" t="s">
        <v>17</v>
      </c>
      <c r="D526" s="6" t="s">
        <v>22</v>
      </c>
      <c r="E526" t="s">
        <v>52</v>
      </c>
      <c r="G526" s="6" t="s">
        <v>968</v>
      </c>
      <c r="H526" s="59" t="s">
        <v>1011</v>
      </c>
      <c r="I526" s="58" t="s">
        <v>35</v>
      </c>
      <c r="J526" t="s">
        <v>36</v>
      </c>
      <c r="K526" t="s">
        <v>37</v>
      </c>
      <c r="L526" t="s">
        <v>25</v>
      </c>
      <c r="M526" t="s">
        <v>1163</v>
      </c>
      <c r="N526" s="57">
        <v>1200</v>
      </c>
      <c r="O526" t="s">
        <v>100</v>
      </c>
      <c r="P526" t="s">
        <v>93</v>
      </c>
      <c r="Q526" s="3">
        <v>40882</v>
      </c>
      <c r="R526" s="10">
        <f t="shared" ca="1" si="16"/>
        <v>46229</v>
      </c>
      <c r="S526" s="7">
        <f t="shared" ca="1" si="17"/>
        <v>14.64931506849315</v>
      </c>
    </row>
    <row r="527" spans="1:19" x14ac:dyDescent="0.25">
      <c r="A527">
        <v>835786</v>
      </c>
      <c r="B527" t="s">
        <v>734</v>
      </c>
      <c r="C527" t="s">
        <v>17</v>
      </c>
      <c r="D527" s="6" t="s">
        <v>22</v>
      </c>
      <c r="E527" t="s">
        <v>52</v>
      </c>
      <c r="G527" s="6" t="s">
        <v>968</v>
      </c>
      <c r="H527" s="59" t="s">
        <v>1011</v>
      </c>
      <c r="I527" s="58" t="s">
        <v>35</v>
      </c>
      <c r="J527" t="s">
        <v>36</v>
      </c>
      <c r="K527" t="s">
        <v>37</v>
      </c>
      <c r="L527" t="s">
        <v>1038</v>
      </c>
      <c r="M527" t="s">
        <v>1163</v>
      </c>
      <c r="N527" s="57">
        <v>1200</v>
      </c>
      <c r="O527" t="s">
        <v>100</v>
      </c>
      <c r="P527" t="s">
        <v>93</v>
      </c>
      <c r="Q527" s="3">
        <v>42065</v>
      </c>
      <c r="R527" s="10">
        <f t="shared" ca="1" si="16"/>
        <v>46229</v>
      </c>
      <c r="S527" s="7">
        <f t="shared" ca="1" si="17"/>
        <v>11.408219178082192</v>
      </c>
    </row>
    <row r="528" spans="1:19" x14ac:dyDescent="0.25">
      <c r="A528">
        <v>867680</v>
      </c>
      <c r="B528" t="s">
        <v>749</v>
      </c>
      <c r="C528" t="s">
        <v>17</v>
      </c>
      <c r="D528" s="6" t="s">
        <v>39</v>
      </c>
      <c r="E528" t="s">
        <v>956</v>
      </c>
      <c r="G528" s="6" t="s">
        <v>968</v>
      </c>
      <c r="H528" s="59" t="s">
        <v>1011</v>
      </c>
      <c r="I528" s="58" t="s">
        <v>35</v>
      </c>
      <c r="J528" t="s">
        <v>36</v>
      </c>
      <c r="K528" t="s">
        <v>37</v>
      </c>
      <c r="L528" t="s">
        <v>25</v>
      </c>
      <c r="M528" t="s">
        <v>1163</v>
      </c>
      <c r="N528" s="57">
        <v>5700</v>
      </c>
      <c r="O528" t="s">
        <v>100</v>
      </c>
      <c r="P528" t="s">
        <v>38</v>
      </c>
      <c r="Q528" s="3">
        <v>42331</v>
      </c>
      <c r="R528" s="10">
        <f t="shared" ca="1" si="16"/>
        <v>46229</v>
      </c>
      <c r="S528" s="7">
        <f t="shared" ca="1" si="17"/>
        <v>10.67945205479452</v>
      </c>
    </row>
    <row r="529" spans="1:19" x14ac:dyDescent="0.25">
      <c r="A529">
        <v>1011486</v>
      </c>
      <c r="B529" t="s">
        <v>1453</v>
      </c>
      <c r="C529" t="s">
        <v>17</v>
      </c>
      <c r="D529" s="6" t="s">
        <v>22</v>
      </c>
      <c r="E529" t="s">
        <v>79</v>
      </c>
      <c r="G529" s="6" t="s">
        <v>971</v>
      </c>
      <c r="H529" s="59" t="s">
        <v>973</v>
      </c>
      <c r="I529" s="58" t="s">
        <v>1430</v>
      </c>
      <c r="J529" t="s">
        <v>882</v>
      </c>
      <c r="K529" t="s">
        <v>883</v>
      </c>
      <c r="L529" t="s">
        <v>966</v>
      </c>
      <c r="M529" t="s">
        <v>1163</v>
      </c>
      <c r="N529" s="57">
        <v>1300</v>
      </c>
      <c r="O529" t="s">
        <v>100</v>
      </c>
      <c r="P529" t="s">
        <v>93</v>
      </c>
      <c r="Q529" s="3">
        <v>46146</v>
      </c>
      <c r="R529" s="10">
        <f t="shared" ca="1" si="16"/>
        <v>46229</v>
      </c>
      <c r="S529" s="7">
        <f t="shared" ca="1" si="17"/>
        <v>0.22739726027397261</v>
      </c>
    </row>
    <row r="530" spans="1:19" x14ac:dyDescent="0.25">
      <c r="A530">
        <v>21726</v>
      </c>
      <c r="B530" t="s">
        <v>307</v>
      </c>
      <c r="C530" t="s">
        <v>17</v>
      </c>
      <c r="D530" s="6" t="s">
        <v>39</v>
      </c>
      <c r="E530" t="s">
        <v>47</v>
      </c>
      <c r="G530" s="6" t="s">
        <v>971</v>
      </c>
      <c r="H530" s="59" t="s">
        <v>973</v>
      </c>
      <c r="I530" s="58" t="s">
        <v>1430</v>
      </c>
      <c r="J530" t="s">
        <v>882</v>
      </c>
      <c r="K530" t="s">
        <v>883</v>
      </c>
      <c r="L530" t="s">
        <v>966</v>
      </c>
      <c r="M530" t="s">
        <v>1163</v>
      </c>
      <c r="N530" s="57">
        <v>6900</v>
      </c>
      <c r="O530" t="s">
        <v>100</v>
      </c>
      <c r="P530" t="s">
        <v>38</v>
      </c>
      <c r="Q530" s="3">
        <v>46006</v>
      </c>
      <c r="R530" s="10">
        <f t="shared" ca="1" si="16"/>
        <v>46229</v>
      </c>
      <c r="S530" s="7">
        <f t="shared" ca="1" si="17"/>
        <v>0.61095890410958908</v>
      </c>
    </row>
    <row r="531" spans="1:19" x14ac:dyDescent="0.25">
      <c r="A531">
        <v>1180608</v>
      </c>
      <c r="B531" t="s">
        <v>988</v>
      </c>
      <c r="C531" t="s">
        <v>17</v>
      </c>
      <c r="D531" s="6" t="s">
        <v>39</v>
      </c>
      <c r="E531" t="s">
        <v>47</v>
      </c>
      <c r="G531" s="6" t="s">
        <v>971</v>
      </c>
      <c r="H531" s="59" t="s">
        <v>92</v>
      </c>
      <c r="I531" s="58" t="s">
        <v>857</v>
      </c>
      <c r="J531" t="s">
        <v>845</v>
      </c>
      <c r="K531" t="s">
        <v>31</v>
      </c>
      <c r="L531" t="s">
        <v>966</v>
      </c>
      <c r="M531" t="s">
        <v>1163</v>
      </c>
      <c r="N531" s="57">
        <v>6900</v>
      </c>
      <c r="O531" t="s">
        <v>100</v>
      </c>
      <c r="P531" t="s">
        <v>38</v>
      </c>
      <c r="Q531" s="3">
        <v>45131</v>
      </c>
      <c r="R531" s="10">
        <f t="shared" ca="1" si="16"/>
        <v>46229</v>
      </c>
      <c r="S531" s="7">
        <f t="shared" ca="1" si="17"/>
        <v>3.0082191780821916</v>
      </c>
    </row>
    <row r="532" spans="1:19" x14ac:dyDescent="0.25">
      <c r="A532">
        <v>1210749</v>
      </c>
      <c r="B532" t="s">
        <v>289</v>
      </c>
      <c r="C532" t="s">
        <v>17</v>
      </c>
      <c r="D532" s="6" t="s">
        <v>39</v>
      </c>
      <c r="E532" t="s">
        <v>47</v>
      </c>
      <c r="G532" s="6" t="s">
        <v>971</v>
      </c>
      <c r="H532" s="59" t="s">
        <v>92</v>
      </c>
      <c r="I532" s="58" t="s">
        <v>857</v>
      </c>
      <c r="J532" t="s">
        <v>845</v>
      </c>
      <c r="K532" t="s">
        <v>31</v>
      </c>
      <c r="L532" t="s">
        <v>966</v>
      </c>
      <c r="M532" t="s">
        <v>1163</v>
      </c>
      <c r="N532" s="57">
        <v>6900</v>
      </c>
      <c r="O532" t="s">
        <v>100</v>
      </c>
      <c r="P532" t="s">
        <v>38</v>
      </c>
      <c r="Q532" s="3">
        <v>45831</v>
      </c>
      <c r="R532" s="10">
        <f t="shared" ca="1" si="16"/>
        <v>46229</v>
      </c>
      <c r="S532" s="7">
        <f t="shared" ca="1" si="17"/>
        <v>1.0904109589041096</v>
      </c>
    </row>
    <row r="533" spans="1:19" x14ac:dyDescent="0.25">
      <c r="A533">
        <v>584970</v>
      </c>
      <c r="B533" t="s">
        <v>717</v>
      </c>
      <c r="C533" t="s">
        <v>17</v>
      </c>
      <c r="D533" s="6" t="s">
        <v>39</v>
      </c>
      <c r="E533" t="s">
        <v>47</v>
      </c>
      <c r="G533" s="6" t="s">
        <v>971</v>
      </c>
      <c r="H533" s="59" t="s">
        <v>92</v>
      </c>
      <c r="I533" s="58" t="s">
        <v>857</v>
      </c>
      <c r="J533" t="s">
        <v>845</v>
      </c>
      <c r="K533" t="s">
        <v>31</v>
      </c>
      <c r="L533" t="s">
        <v>966</v>
      </c>
      <c r="M533" t="s">
        <v>1163</v>
      </c>
      <c r="N533" s="57">
        <v>6900</v>
      </c>
      <c r="O533" t="s">
        <v>100</v>
      </c>
      <c r="P533" t="s">
        <v>38</v>
      </c>
      <c r="Q533" s="3">
        <v>45194</v>
      </c>
      <c r="R533" s="10">
        <f t="shared" ca="1" si="16"/>
        <v>46229</v>
      </c>
      <c r="S533" s="7">
        <f t="shared" ca="1" si="17"/>
        <v>2.8356164383561642</v>
      </c>
    </row>
    <row r="534" spans="1:19" x14ac:dyDescent="0.25">
      <c r="A534">
        <v>1021184</v>
      </c>
      <c r="B534" t="s">
        <v>135</v>
      </c>
      <c r="C534" t="s">
        <v>17</v>
      </c>
      <c r="D534" s="6" t="s">
        <v>22</v>
      </c>
      <c r="E534" t="s">
        <v>77</v>
      </c>
      <c r="G534" s="6" t="s">
        <v>16</v>
      </c>
      <c r="H534" s="59" t="s">
        <v>1025</v>
      </c>
      <c r="I534" s="58" t="s">
        <v>865</v>
      </c>
      <c r="J534" t="s">
        <v>823</v>
      </c>
      <c r="K534" t="s">
        <v>824</v>
      </c>
      <c r="L534" t="s">
        <v>91</v>
      </c>
      <c r="M534" t="s">
        <v>1163</v>
      </c>
      <c r="N534" s="57">
        <v>1300</v>
      </c>
      <c r="O534" t="s">
        <v>100</v>
      </c>
      <c r="P534" t="s">
        <v>93</v>
      </c>
      <c r="Q534" s="3">
        <v>45040</v>
      </c>
      <c r="R534" s="10">
        <f t="shared" ca="1" si="16"/>
        <v>46229</v>
      </c>
      <c r="S534" s="7">
        <f t="shared" ca="1" si="17"/>
        <v>3.2575342465753425</v>
      </c>
    </row>
    <row r="535" spans="1:19" x14ac:dyDescent="0.25">
      <c r="A535">
        <v>1128762</v>
      </c>
      <c r="B535" t="s">
        <v>163</v>
      </c>
      <c r="C535" t="s">
        <v>17</v>
      </c>
      <c r="D535" s="6" t="s">
        <v>22</v>
      </c>
      <c r="E535" t="s">
        <v>56</v>
      </c>
      <c r="G535" s="6" t="s">
        <v>16</v>
      </c>
      <c r="H535" s="59" t="s">
        <v>1025</v>
      </c>
      <c r="I535" s="58" t="s">
        <v>865</v>
      </c>
      <c r="J535" t="s">
        <v>823</v>
      </c>
      <c r="K535" t="s">
        <v>824</v>
      </c>
      <c r="L535" t="s">
        <v>1038</v>
      </c>
      <c r="M535" t="s">
        <v>1163</v>
      </c>
      <c r="N535" s="57">
        <v>1300</v>
      </c>
      <c r="O535" t="s">
        <v>100</v>
      </c>
      <c r="P535" t="s">
        <v>93</v>
      </c>
      <c r="Q535" s="3">
        <v>44326</v>
      </c>
      <c r="R535" s="10">
        <f t="shared" ca="1" si="16"/>
        <v>46229</v>
      </c>
      <c r="S535" s="7">
        <f t="shared" ca="1" si="17"/>
        <v>5.2136986301369861</v>
      </c>
    </row>
    <row r="536" spans="1:19" x14ac:dyDescent="0.25">
      <c r="A536">
        <v>1151483</v>
      </c>
      <c r="B536" t="s">
        <v>173</v>
      </c>
      <c r="C536" t="s">
        <v>17</v>
      </c>
      <c r="D536" s="6" t="s">
        <v>22</v>
      </c>
      <c r="E536" t="s">
        <v>77</v>
      </c>
      <c r="G536" s="6" t="s">
        <v>16</v>
      </c>
      <c r="H536" s="59" t="s">
        <v>1025</v>
      </c>
      <c r="I536" s="58" t="s">
        <v>865</v>
      </c>
      <c r="J536" t="s">
        <v>823</v>
      </c>
      <c r="K536" t="s">
        <v>824</v>
      </c>
      <c r="L536" t="s">
        <v>25</v>
      </c>
      <c r="M536" t="s">
        <v>1163</v>
      </c>
      <c r="N536" s="57">
        <v>1300</v>
      </c>
      <c r="O536" t="s">
        <v>100</v>
      </c>
      <c r="P536" t="s">
        <v>93</v>
      </c>
      <c r="Q536" s="3">
        <v>44669</v>
      </c>
      <c r="R536" s="10">
        <f t="shared" ca="1" si="16"/>
        <v>46229</v>
      </c>
      <c r="S536" s="7">
        <f t="shared" ca="1" si="17"/>
        <v>4.2739726027397262</v>
      </c>
    </row>
    <row r="537" spans="1:19" x14ac:dyDescent="0.25">
      <c r="A537">
        <v>1152976</v>
      </c>
      <c r="B537" t="s">
        <v>1194</v>
      </c>
      <c r="C537" t="s">
        <v>17</v>
      </c>
      <c r="D537" s="6" t="s">
        <v>22</v>
      </c>
      <c r="E537" t="s">
        <v>77</v>
      </c>
      <c r="G537" s="6" t="s">
        <v>16</v>
      </c>
      <c r="H537" s="59" t="s">
        <v>1025</v>
      </c>
      <c r="I537" s="58" t="s">
        <v>865</v>
      </c>
      <c r="J537" t="s">
        <v>823</v>
      </c>
      <c r="K537" t="s">
        <v>824</v>
      </c>
      <c r="L537" t="s">
        <v>1038</v>
      </c>
      <c r="M537" t="s">
        <v>1163</v>
      </c>
      <c r="N537" s="57">
        <v>1300</v>
      </c>
      <c r="O537" t="s">
        <v>100</v>
      </c>
      <c r="P537" t="s">
        <v>93</v>
      </c>
      <c r="Q537" s="3">
        <v>44676</v>
      </c>
      <c r="R537" s="10">
        <f t="shared" ca="1" si="16"/>
        <v>46229</v>
      </c>
      <c r="S537" s="7">
        <f t="shared" ca="1" si="17"/>
        <v>4.2547945205479456</v>
      </c>
    </row>
    <row r="538" spans="1:19" x14ac:dyDescent="0.25">
      <c r="A538">
        <v>1152998</v>
      </c>
      <c r="B538" t="s">
        <v>175</v>
      </c>
      <c r="C538" t="s">
        <v>17</v>
      </c>
      <c r="D538" s="6" t="s">
        <v>22</v>
      </c>
      <c r="E538" t="s">
        <v>69</v>
      </c>
      <c r="G538" s="6" t="s">
        <v>16</v>
      </c>
      <c r="H538" s="59" t="s">
        <v>1025</v>
      </c>
      <c r="I538" s="58" t="s">
        <v>865</v>
      </c>
      <c r="J538" t="s">
        <v>823</v>
      </c>
      <c r="K538" t="s">
        <v>824</v>
      </c>
      <c r="L538" t="s">
        <v>1038</v>
      </c>
      <c r="M538" t="s">
        <v>1163</v>
      </c>
      <c r="N538" s="57">
        <v>1300</v>
      </c>
      <c r="O538" t="s">
        <v>100</v>
      </c>
      <c r="P538" t="s">
        <v>93</v>
      </c>
      <c r="Q538" s="3">
        <v>44676</v>
      </c>
      <c r="R538" s="10">
        <f t="shared" ca="1" si="16"/>
        <v>46229</v>
      </c>
      <c r="S538" s="7">
        <f t="shared" ca="1" si="17"/>
        <v>4.2547945205479456</v>
      </c>
    </row>
    <row r="539" spans="1:19" x14ac:dyDescent="0.25">
      <c r="A539">
        <v>1157757</v>
      </c>
      <c r="B539" t="s">
        <v>1590</v>
      </c>
      <c r="C539" t="s">
        <v>17</v>
      </c>
      <c r="D539" s="6" t="s">
        <v>22</v>
      </c>
      <c r="E539" t="s">
        <v>77</v>
      </c>
      <c r="G539" s="6" t="s">
        <v>16</v>
      </c>
      <c r="H539" s="59" t="s">
        <v>1025</v>
      </c>
      <c r="I539" s="58" t="s">
        <v>865</v>
      </c>
      <c r="J539" t="s">
        <v>823</v>
      </c>
      <c r="K539" t="s">
        <v>824</v>
      </c>
      <c r="L539" t="s">
        <v>91</v>
      </c>
      <c r="M539" t="s">
        <v>1163</v>
      </c>
      <c r="N539" s="57">
        <v>1300</v>
      </c>
      <c r="O539" t="s">
        <v>100</v>
      </c>
      <c r="P539" t="s">
        <v>38</v>
      </c>
      <c r="Q539" s="3">
        <v>44746</v>
      </c>
      <c r="R539" s="10">
        <f t="shared" ca="1" si="16"/>
        <v>46229</v>
      </c>
      <c r="S539" s="7">
        <f t="shared" ca="1" si="17"/>
        <v>4.0630136986301366</v>
      </c>
    </row>
    <row r="540" spans="1:19" x14ac:dyDescent="0.25">
      <c r="A540">
        <v>1158732</v>
      </c>
      <c r="B540" t="s">
        <v>184</v>
      </c>
      <c r="C540" t="s">
        <v>17</v>
      </c>
      <c r="D540" s="6" t="s">
        <v>22</v>
      </c>
      <c r="E540" t="s">
        <v>77</v>
      </c>
      <c r="G540" s="6" t="s">
        <v>16</v>
      </c>
      <c r="H540" s="59" t="s">
        <v>1025</v>
      </c>
      <c r="I540" s="58" t="s">
        <v>865</v>
      </c>
      <c r="J540" t="s">
        <v>823</v>
      </c>
      <c r="K540" t="s">
        <v>824</v>
      </c>
      <c r="L540" t="s">
        <v>1038</v>
      </c>
      <c r="M540" t="s">
        <v>1163</v>
      </c>
      <c r="N540" s="57">
        <v>1300</v>
      </c>
      <c r="O540" t="s">
        <v>100</v>
      </c>
      <c r="P540" t="s">
        <v>93</v>
      </c>
      <c r="Q540" s="3">
        <v>44760</v>
      </c>
      <c r="R540" s="10">
        <f t="shared" ca="1" si="16"/>
        <v>46229</v>
      </c>
      <c r="S540" s="7">
        <f t="shared" ca="1" si="17"/>
        <v>4.0246575342465754</v>
      </c>
    </row>
    <row r="541" spans="1:19" x14ac:dyDescent="0.25">
      <c r="A541">
        <v>1168350</v>
      </c>
      <c r="B541" t="s">
        <v>194</v>
      </c>
      <c r="C541" t="s">
        <v>17</v>
      </c>
      <c r="D541" s="6" t="s">
        <v>22</v>
      </c>
      <c r="E541" t="s">
        <v>77</v>
      </c>
      <c r="G541" s="6" t="s">
        <v>16</v>
      </c>
      <c r="H541" s="59" t="s">
        <v>1025</v>
      </c>
      <c r="I541" s="58" t="s">
        <v>865</v>
      </c>
      <c r="J541" t="s">
        <v>823</v>
      </c>
      <c r="K541" t="s">
        <v>824</v>
      </c>
      <c r="L541" t="s">
        <v>1038</v>
      </c>
      <c r="M541" t="s">
        <v>1163</v>
      </c>
      <c r="N541" s="57">
        <v>1300</v>
      </c>
      <c r="O541" t="s">
        <v>100</v>
      </c>
      <c r="P541" t="s">
        <v>93</v>
      </c>
      <c r="Q541" s="3">
        <v>44872</v>
      </c>
      <c r="R541" s="10">
        <f t="shared" ca="1" si="16"/>
        <v>46229</v>
      </c>
      <c r="S541" s="7">
        <f t="shared" ca="1" si="17"/>
        <v>3.7178082191780821</v>
      </c>
    </row>
    <row r="542" spans="1:19" x14ac:dyDescent="0.25">
      <c r="A542">
        <v>1172495</v>
      </c>
      <c r="B542" t="s">
        <v>1806</v>
      </c>
      <c r="C542" t="s">
        <v>17</v>
      </c>
      <c r="D542" s="6" t="s">
        <v>22</v>
      </c>
      <c r="E542" t="s">
        <v>77</v>
      </c>
      <c r="G542" s="6" t="s">
        <v>16</v>
      </c>
      <c r="H542" s="59" t="s">
        <v>1025</v>
      </c>
      <c r="I542" s="58" t="s">
        <v>865</v>
      </c>
      <c r="J542" t="s">
        <v>823</v>
      </c>
      <c r="K542" t="s">
        <v>824</v>
      </c>
      <c r="L542" t="s">
        <v>1038</v>
      </c>
      <c r="M542" t="s">
        <v>1163</v>
      </c>
      <c r="N542" s="57">
        <v>1300</v>
      </c>
      <c r="O542" t="s">
        <v>100</v>
      </c>
      <c r="P542" t="s">
        <v>93</v>
      </c>
      <c r="Q542" s="3">
        <v>44935</v>
      </c>
      <c r="R542" s="10">
        <f t="shared" ca="1" si="16"/>
        <v>46229</v>
      </c>
      <c r="S542" s="7">
        <f t="shared" ca="1" si="17"/>
        <v>3.5452054794520547</v>
      </c>
    </row>
    <row r="543" spans="1:19" x14ac:dyDescent="0.25">
      <c r="A543">
        <v>1173353</v>
      </c>
      <c r="B543" t="s">
        <v>1591</v>
      </c>
      <c r="C543" t="s">
        <v>17</v>
      </c>
      <c r="D543" s="6" t="s">
        <v>22</v>
      </c>
      <c r="E543" t="s">
        <v>77</v>
      </c>
      <c r="G543" s="6" t="s">
        <v>16</v>
      </c>
      <c r="H543" s="59" t="s">
        <v>1025</v>
      </c>
      <c r="I543" s="58" t="s">
        <v>865</v>
      </c>
      <c r="J543" t="s">
        <v>823</v>
      </c>
      <c r="K543" t="s">
        <v>824</v>
      </c>
      <c r="L543" t="s">
        <v>1038</v>
      </c>
      <c r="M543" t="s">
        <v>1163</v>
      </c>
      <c r="N543" s="57">
        <v>1300</v>
      </c>
      <c r="O543" t="s">
        <v>100</v>
      </c>
      <c r="P543" t="s">
        <v>93</v>
      </c>
      <c r="Q543" s="3">
        <v>44956</v>
      </c>
      <c r="R543" s="10">
        <f t="shared" ca="1" si="16"/>
        <v>46229</v>
      </c>
      <c r="S543" s="7">
        <f t="shared" ca="1" si="17"/>
        <v>3.4876712328767123</v>
      </c>
    </row>
    <row r="544" spans="1:19" x14ac:dyDescent="0.25">
      <c r="A544">
        <v>1179318</v>
      </c>
      <c r="B544" t="s">
        <v>1223</v>
      </c>
      <c r="C544" t="s">
        <v>17</v>
      </c>
      <c r="D544" s="6" t="s">
        <v>22</v>
      </c>
      <c r="E544" t="s">
        <v>77</v>
      </c>
      <c r="G544" s="6" t="s">
        <v>16</v>
      </c>
      <c r="H544" s="59" t="s">
        <v>1025</v>
      </c>
      <c r="I544" s="58" t="s">
        <v>865</v>
      </c>
      <c r="J544" t="s">
        <v>823</v>
      </c>
      <c r="K544" t="s">
        <v>824</v>
      </c>
      <c r="L544" t="s">
        <v>25</v>
      </c>
      <c r="M544" t="s">
        <v>1163</v>
      </c>
      <c r="N544" s="57">
        <v>1300</v>
      </c>
      <c r="O544" t="s">
        <v>100</v>
      </c>
      <c r="P544" t="s">
        <v>93</v>
      </c>
      <c r="Q544" s="3">
        <v>46125</v>
      </c>
      <c r="R544" s="10">
        <f t="shared" ca="1" si="16"/>
        <v>46229</v>
      </c>
      <c r="S544" s="7">
        <f t="shared" ca="1" si="17"/>
        <v>0.28493150684931506</v>
      </c>
    </row>
    <row r="545" spans="1:19" x14ac:dyDescent="0.25">
      <c r="A545">
        <v>1179509</v>
      </c>
      <c r="B545" t="s">
        <v>232</v>
      </c>
      <c r="C545" t="s">
        <v>17</v>
      </c>
      <c r="D545" s="6" t="s">
        <v>22</v>
      </c>
      <c r="E545" t="s">
        <v>77</v>
      </c>
      <c r="G545" s="6" t="s">
        <v>16</v>
      </c>
      <c r="H545" s="59" t="s">
        <v>1025</v>
      </c>
      <c r="I545" s="58" t="s">
        <v>865</v>
      </c>
      <c r="J545" t="s">
        <v>823</v>
      </c>
      <c r="K545" t="s">
        <v>824</v>
      </c>
      <c r="L545" t="s">
        <v>25</v>
      </c>
      <c r="M545" t="s">
        <v>1163</v>
      </c>
      <c r="N545" s="57">
        <v>1300</v>
      </c>
      <c r="O545" t="s">
        <v>100</v>
      </c>
      <c r="P545" t="s">
        <v>93</v>
      </c>
      <c r="Q545" s="3">
        <v>45103</v>
      </c>
      <c r="R545" s="10">
        <f t="shared" ca="1" si="16"/>
        <v>46229</v>
      </c>
      <c r="S545" s="7">
        <f t="shared" ca="1" si="17"/>
        <v>3.0849315068493151</v>
      </c>
    </row>
    <row r="546" spans="1:19" x14ac:dyDescent="0.25">
      <c r="A546">
        <v>1179625</v>
      </c>
      <c r="B546" t="s">
        <v>1108</v>
      </c>
      <c r="C546" t="s">
        <v>17</v>
      </c>
      <c r="D546" s="6" t="s">
        <v>22</v>
      </c>
      <c r="E546" t="s">
        <v>77</v>
      </c>
      <c r="G546" s="6" t="s">
        <v>16</v>
      </c>
      <c r="H546" s="59" t="s">
        <v>1025</v>
      </c>
      <c r="I546" s="58" t="s">
        <v>865</v>
      </c>
      <c r="J546" t="s">
        <v>823</v>
      </c>
      <c r="K546" t="s">
        <v>824</v>
      </c>
      <c r="L546" t="s">
        <v>25</v>
      </c>
      <c r="M546" t="s">
        <v>1163</v>
      </c>
      <c r="N546" s="57">
        <v>1300</v>
      </c>
      <c r="O546" t="s">
        <v>100</v>
      </c>
      <c r="P546" t="s">
        <v>945</v>
      </c>
      <c r="Q546" s="3">
        <v>46083</v>
      </c>
      <c r="R546" s="10">
        <f t="shared" ca="1" si="16"/>
        <v>46229</v>
      </c>
      <c r="S546" s="7">
        <f t="shared" ca="1" si="17"/>
        <v>0.4</v>
      </c>
    </row>
    <row r="547" spans="1:19" x14ac:dyDescent="0.25">
      <c r="A547">
        <v>1195687</v>
      </c>
      <c r="B547" t="s">
        <v>265</v>
      </c>
      <c r="C547" t="s">
        <v>17</v>
      </c>
      <c r="D547" s="6" t="s">
        <v>22</v>
      </c>
      <c r="E547" t="s">
        <v>77</v>
      </c>
      <c r="G547" s="6" t="s">
        <v>16</v>
      </c>
      <c r="H547" s="59" t="s">
        <v>1025</v>
      </c>
      <c r="I547" s="58" t="s">
        <v>865</v>
      </c>
      <c r="J547" t="s">
        <v>823</v>
      </c>
      <c r="K547" t="s">
        <v>824</v>
      </c>
      <c r="L547" t="s">
        <v>91</v>
      </c>
      <c r="M547" t="s">
        <v>1163</v>
      </c>
      <c r="N547" s="57">
        <v>1300</v>
      </c>
      <c r="O547" t="s">
        <v>100</v>
      </c>
      <c r="P547" t="s">
        <v>93</v>
      </c>
      <c r="Q547" s="3">
        <v>45552</v>
      </c>
      <c r="R547" s="10">
        <f t="shared" ca="1" si="16"/>
        <v>46229</v>
      </c>
      <c r="S547" s="7">
        <f t="shared" ca="1" si="17"/>
        <v>1.8547945205479452</v>
      </c>
    </row>
    <row r="548" spans="1:19" x14ac:dyDescent="0.25">
      <c r="A548">
        <v>1197288</v>
      </c>
      <c r="B548" t="s">
        <v>271</v>
      </c>
      <c r="C548" t="s">
        <v>17</v>
      </c>
      <c r="D548" s="6" t="s">
        <v>22</v>
      </c>
      <c r="E548" t="s">
        <v>77</v>
      </c>
      <c r="G548" s="6" t="s">
        <v>16</v>
      </c>
      <c r="H548" s="59" t="s">
        <v>1025</v>
      </c>
      <c r="I548" s="58" t="s">
        <v>865</v>
      </c>
      <c r="J548" t="s">
        <v>823</v>
      </c>
      <c r="K548" t="s">
        <v>824</v>
      </c>
      <c r="L548" t="s">
        <v>91</v>
      </c>
      <c r="M548" t="s">
        <v>1163</v>
      </c>
      <c r="N548" s="57">
        <v>1300</v>
      </c>
      <c r="O548" t="s">
        <v>100</v>
      </c>
      <c r="P548" t="s">
        <v>93</v>
      </c>
      <c r="Q548" s="3">
        <v>45586</v>
      </c>
      <c r="R548" s="10">
        <f t="shared" ca="1" si="16"/>
        <v>46229</v>
      </c>
      <c r="S548" s="7">
        <f t="shared" ca="1" si="17"/>
        <v>1.7616438356164383</v>
      </c>
    </row>
    <row r="549" spans="1:19" x14ac:dyDescent="0.25">
      <c r="A549">
        <v>1197289</v>
      </c>
      <c r="B549" t="s">
        <v>272</v>
      </c>
      <c r="C549" t="s">
        <v>17</v>
      </c>
      <c r="D549" s="6" t="s">
        <v>22</v>
      </c>
      <c r="E549" t="s">
        <v>77</v>
      </c>
      <c r="G549" s="6" t="s">
        <v>16</v>
      </c>
      <c r="H549" s="59" t="s">
        <v>1025</v>
      </c>
      <c r="I549" s="58" t="s">
        <v>865</v>
      </c>
      <c r="J549" t="s">
        <v>823</v>
      </c>
      <c r="K549" t="s">
        <v>824</v>
      </c>
      <c r="L549" t="s">
        <v>1038</v>
      </c>
      <c r="M549" t="s">
        <v>1163</v>
      </c>
      <c r="N549" s="57">
        <v>1300</v>
      </c>
      <c r="O549" t="s">
        <v>100</v>
      </c>
      <c r="P549" t="s">
        <v>93</v>
      </c>
      <c r="Q549" s="3">
        <v>45586</v>
      </c>
      <c r="R549" s="10">
        <f t="shared" ca="1" si="16"/>
        <v>46229</v>
      </c>
      <c r="S549" s="7">
        <f t="shared" ca="1" si="17"/>
        <v>1.7616438356164383</v>
      </c>
    </row>
    <row r="550" spans="1:19" x14ac:dyDescent="0.25">
      <c r="A550">
        <v>1197674</v>
      </c>
      <c r="B550" t="s">
        <v>274</v>
      </c>
      <c r="C550" t="s">
        <v>17</v>
      </c>
      <c r="D550" s="6" t="s">
        <v>22</v>
      </c>
      <c r="E550" t="s">
        <v>77</v>
      </c>
      <c r="G550" s="6" t="s">
        <v>16</v>
      </c>
      <c r="H550" s="59" t="s">
        <v>1025</v>
      </c>
      <c r="I550" s="58" t="s">
        <v>865</v>
      </c>
      <c r="J550" t="s">
        <v>823</v>
      </c>
      <c r="K550" t="s">
        <v>824</v>
      </c>
      <c r="L550" t="s">
        <v>91</v>
      </c>
      <c r="M550" t="s">
        <v>1163</v>
      </c>
      <c r="N550" s="57">
        <v>1300</v>
      </c>
      <c r="O550" t="s">
        <v>100</v>
      </c>
      <c r="P550" t="s">
        <v>93</v>
      </c>
      <c r="Q550" s="3">
        <v>45593</v>
      </c>
      <c r="R550" s="10">
        <f t="shared" ca="1" si="16"/>
        <v>46229</v>
      </c>
      <c r="S550" s="7">
        <f t="shared" ca="1" si="17"/>
        <v>1.7424657534246575</v>
      </c>
    </row>
    <row r="551" spans="1:19" x14ac:dyDescent="0.25">
      <c r="A551">
        <v>1227671</v>
      </c>
      <c r="B551" t="s">
        <v>1110</v>
      </c>
      <c r="C551" t="s">
        <v>17</v>
      </c>
      <c r="D551" s="6" t="s">
        <v>22</v>
      </c>
      <c r="E551" t="s">
        <v>77</v>
      </c>
      <c r="G551" s="6" t="s">
        <v>16</v>
      </c>
      <c r="H551" s="59" t="s">
        <v>1025</v>
      </c>
      <c r="I551" s="58" t="s">
        <v>865</v>
      </c>
      <c r="J551" t="s">
        <v>823</v>
      </c>
      <c r="K551" t="s">
        <v>824</v>
      </c>
      <c r="L551" t="s">
        <v>1038</v>
      </c>
      <c r="M551" t="s">
        <v>1163</v>
      </c>
      <c r="N551" s="57">
        <v>1300</v>
      </c>
      <c r="O551" t="s">
        <v>100</v>
      </c>
      <c r="P551" t="s">
        <v>945</v>
      </c>
      <c r="Q551" s="3">
        <v>46083</v>
      </c>
      <c r="R551" s="10">
        <f t="shared" ca="1" si="16"/>
        <v>46229</v>
      </c>
      <c r="S551" s="7">
        <f t="shared" ca="1" si="17"/>
        <v>0.4</v>
      </c>
    </row>
    <row r="552" spans="1:19" x14ac:dyDescent="0.25">
      <c r="A552">
        <v>1230399</v>
      </c>
      <c r="B552" t="s">
        <v>1356</v>
      </c>
      <c r="C552" t="s">
        <v>17</v>
      </c>
      <c r="D552" s="6" t="s">
        <v>22</v>
      </c>
      <c r="E552" t="s">
        <v>77</v>
      </c>
      <c r="G552" s="6" t="s">
        <v>16</v>
      </c>
      <c r="H552" s="59" t="s">
        <v>1025</v>
      </c>
      <c r="I552" s="58" t="s">
        <v>865</v>
      </c>
      <c r="J552" t="s">
        <v>823</v>
      </c>
      <c r="K552" t="s">
        <v>824</v>
      </c>
      <c r="L552" t="s">
        <v>1038</v>
      </c>
      <c r="M552" t="s">
        <v>1163</v>
      </c>
      <c r="N552" s="57">
        <v>1300</v>
      </c>
      <c r="O552" t="s">
        <v>100</v>
      </c>
      <c r="P552" t="s">
        <v>945</v>
      </c>
      <c r="Q552" s="3">
        <v>46132</v>
      </c>
      <c r="R552" s="10">
        <f t="shared" ca="1" si="16"/>
        <v>46229</v>
      </c>
      <c r="S552" s="7">
        <f t="shared" ca="1" si="17"/>
        <v>0.26575342465753427</v>
      </c>
    </row>
    <row r="553" spans="1:19" x14ac:dyDescent="0.25">
      <c r="A553">
        <v>1230401</v>
      </c>
      <c r="B553" t="s">
        <v>1357</v>
      </c>
      <c r="C553" t="s">
        <v>17</v>
      </c>
      <c r="D553" s="6" t="s">
        <v>22</v>
      </c>
      <c r="E553" t="s">
        <v>77</v>
      </c>
      <c r="G553" s="6" t="s">
        <v>16</v>
      </c>
      <c r="H553" s="59" t="s">
        <v>1025</v>
      </c>
      <c r="I553" s="58" t="s">
        <v>865</v>
      </c>
      <c r="J553" t="s">
        <v>823</v>
      </c>
      <c r="K553" t="s">
        <v>824</v>
      </c>
      <c r="L553" t="s">
        <v>25</v>
      </c>
      <c r="M553" t="s">
        <v>1163</v>
      </c>
      <c r="N553" s="57">
        <v>1300</v>
      </c>
      <c r="O553" t="s">
        <v>100</v>
      </c>
      <c r="P553" t="s">
        <v>93</v>
      </c>
      <c r="Q553" s="3">
        <v>46132</v>
      </c>
      <c r="R553" s="10">
        <f t="shared" ca="1" si="16"/>
        <v>46229</v>
      </c>
      <c r="S553" s="7">
        <f t="shared" ca="1" si="17"/>
        <v>0.26575342465753427</v>
      </c>
    </row>
    <row r="554" spans="1:19" x14ac:dyDescent="0.25">
      <c r="A554">
        <v>1127667</v>
      </c>
      <c r="B554" t="s">
        <v>1588</v>
      </c>
      <c r="C554" t="s">
        <v>17</v>
      </c>
      <c r="D554" s="6" t="s">
        <v>22</v>
      </c>
      <c r="E554" t="s">
        <v>56</v>
      </c>
      <c r="G554" s="6" t="s">
        <v>16</v>
      </c>
      <c r="H554" s="59" t="s">
        <v>1025</v>
      </c>
      <c r="I554" s="58" t="s">
        <v>865</v>
      </c>
      <c r="J554" t="s">
        <v>823</v>
      </c>
      <c r="K554" t="s">
        <v>824</v>
      </c>
      <c r="L554" t="s">
        <v>1038</v>
      </c>
      <c r="M554" t="s">
        <v>1163</v>
      </c>
      <c r="N554" s="57">
        <v>1300</v>
      </c>
      <c r="O554" t="s">
        <v>100</v>
      </c>
      <c r="P554" t="s">
        <v>93</v>
      </c>
      <c r="Q554" s="3">
        <v>44312</v>
      </c>
      <c r="R554" s="10">
        <f t="shared" ca="1" si="16"/>
        <v>46229</v>
      </c>
      <c r="S554" s="7">
        <f t="shared" ca="1" si="17"/>
        <v>5.2520547945205482</v>
      </c>
    </row>
    <row r="555" spans="1:19" x14ac:dyDescent="0.25">
      <c r="A555">
        <v>35419</v>
      </c>
      <c r="B555" t="s">
        <v>409</v>
      </c>
      <c r="C555" t="s">
        <v>17</v>
      </c>
      <c r="D555" s="6" t="s">
        <v>22</v>
      </c>
      <c r="E555" t="s">
        <v>77</v>
      </c>
      <c r="G555" s="6" t="s">
        <v>16</v>
      </c>
      <c r="H555" s="59" t="s">
        <v>1025</v>
      </c>
      <c r="I555" s="58" t="s">
        <v>865</v>
      </c>
      <c r="J555" t="s">
        <v>823</v>
      </c>
      <c r="K555" t="s">
        <v>824</v>
      </c>
      <c r="L555" t="s">
        <v>25</v>
      </c>
      <c r="M555" t="s">
        <v>1163</v>
      </c>
      <c r="N555" s="57">
        <v>1300</v>
      </c>
      <c r="O555" t="s">
        <v>100</v>
      </c>
      <c r="P555" t="s">
        <v>93</v>
      </c>
      <c r="Q555" s="3">
        <v>42128</v>
      </c>
      <c r="R555" s="10">
        <f t="shared" ca="1" si="16"/>
        <v>46229</v>
      </c>
      <c r="S555" s="7">
        <f t="shared" ca="1" si="17"/>
        <v>11.235616438356164</v>
      </c>
    </row>
    <row r="556" spans="1:19" x14ac:dyDescent="0.25">
      <c r="A556">
        <v>38582</v>
      </c>
      <c r="B556" t="s">
        <v>419</v>
      </c>
      <c r="C556" t="s">
        <v>17</v>
      </c>
      <c r="D556" s="6" t="s">
        <v>22</v>
      </c>
      <c r="E556" t="s">
        <v>77</v>
      </c>
      <c r="G556" s="6" t="s">
        <v>16</v>
      </c>
      <c r="H556" s="59" t="s">
        <v>1025</v>
      </c>
      <c r="I556" s="58" t="s">
        <v>865</v>
      </c>
      <c r="J556" t="s">
        <v>823</v>
      </c>
      <c r="K556" t="s">
        <v>824</v>
      </c>
      <c r="L556" t="s">
        <v>91</v>
      </c>
      <c r="M556" t="s">
        <v>1163</v>
      </c>
      <c r="N556" s="57">
        <v>1300</v>
      </c>
      <c r="O556" t="s">
        <v>100</v>
      </c>
      <c r="P556" t="s">
        <v>38</v>
      </c>
      <c r="Q556" s="3">
        <v>44585</v>
      </c>
      <c r="R556" s="10">
        <f t="shared" ca="1" si="16"/>
        <v>46229</v>
      </c>
      <c r="S556" s="7">
        <f t="shared" ca="1" si="17"/>
        <v>4.5041095890410956</v>
      </c>
    </row>
    <row r="557" spans="1:19" x14ac:dyDescent="0.25">
      <c r="A557">
        <v>4056301</v>
      </c>
      <c r="B557" t="s">
        <v>492</v>
      </c>
      <c r="C557" t="s">
        <v>17</v>
      </c>
      <c r="D557" s="6" t="s">
        <v>22</v>
      </c>
      <c r="E557" t="s">
        <v>77</v>
      </c>
      <c r="G557" s="6" t="s">
        <v>16</v>
      </c>
      <c r="H557" s="59" t="s">
        <v>1025</v>
      </c>
      <c r="I557" s="58" t="s">
        <v>865</v>
      </c>
      <c r="J557" t="s">
        <v>823</v>
      </c>
      <c r="K557" t="s">
        <v>824</v>
      </c>
      <c r="L557" t="s">
        <v>91</v>
      </c>
      <c r="M557" t="s">
        <v>1163</v>
      </c>
      <c r="N557" s="57">
        <v>1300</v>
      </c>
      <c r="O557" t="s">
        <v>100</v>
      </c>
      <c r="P557" t="s">
        <v>93</v>
      </c>
      <c r="Q557" s="3">
        <v>45586</v>
      </c>
      <c r="R557" s="10">
        <f t="shared" ca="1" si="16"/>
        <v>46229</v>
      </c>
      <c r="S557" s="7">
        <f t="shared" ca="1" si="17"/>
        <v>1.7616438356164383</v>
      </c>
    </row>
    <row r="558" spans="1:19" x14ac:dyDescent="0.25">
      <c r="A558">
        <v>4084130</v>
      </c>
      <c r="B558" t="s">
        <v>553</v>
      </c>
      <c r="C558" t="s">
        <v>17</v>
      </c>
      <c r="D558" s="6" t="s">
        <v>22</v>
      </c>
      <c r="E558" t="s">
        <v>77</v>
      </c>
      <c r="G558" s="6" t="s">
        <v>16</v>
      </c>
      <c r="H558" s="59" t="s">
        <v>1025</v>
      </c>
      <c r="I558" s="58" t="s">
        <v>865</v>
      </c>
      <c r="J558" t="s">
        <v>823</v>
      </c>
      <c r="K558" t="s">
        <v>824</v>
      </c>
      <c r="L558" t="s">
        <v>1038</v>
      </c>
      <c r="M558" t="s">
        <v>1163</v>
      </c>
      <c r="N558" s="57">
        <v>1300</v>
      </c>
      <c r="O558" t="s">
        <v>100</v>
      </c>
      <c r="P558" t="s">
        <v>93</v>
      </c>
      <c r="Q558" s="3">
        <v>44998</v>
      </c>
      <c r="R558" s="10">
        <f t="shared" ca="1" si="16"/>
        <v>46229</v>
      </c>
      <c r="S558" s="7">
        <f t="shared" ca="1" si="17"/>
        <v>3.3726027397260272</v>
      </c>
    </row>
    <row r="559" spans="1:19" x14ac:dyDescent="0.25">
      <c r="A559">
        <v>603445</v>
      </c>
      <c r="B559" t="s">
        <v>1121</v>
      </c>
      <c r="C559" t="s">
        <v>17</v>
      </c>
      <c r="D559" s="6" t="s">
        <v>22</v>
      </c>
      <c r="E559" t="s">
        <v>77</v>
      </c>
      <c r="G559" s="6" t="s">
        <v>16</v>
      </c>
      <c r="H559" s="59" t="s">
        <v>1025</v>
      </c>
      <c r="I559" s="58" t="s">
        <v>865</v>
      </c>
      <c r="J559" t="s">
        <v>823</v>
      </c>
      <c r="K559" t="s">
        <v>824</v>
      </c>
      <c r="L559" t="s">
        <v>25</v>
      </c>
      <c r="M559" t="s">
        <v>1163</v>
      </c>
      <c r="N559" s="57">
        <v>1300</v>
      </c>
      <c r="O559" t="s">
        <v>100</v>
      </c>
      <c r="P559" t="s">
        <v>93</v>
      </c>
      <c r="Q559" s="3">
        <v>46083</v>
      </c>
      <c r="R559" s="10">
        <f t="shared" ca="1" si="16"/>
        <v>46229</v>
      </c>
      <c r="S559" s="7">
        <f t="shared" ca="1" si="17"/>
        <v>0.4</v>
      </c>
    </row>
    <row r="560" spans="1:19" x14ac:dyDescent="0.25">
      <c r="A560">
        <v>922856</v>
      </c>
      <c r="B560" t="s">
        <v>1411</v>
      </c>
      <c r="C560" t="s">
        <v>17</v>
      </c>
      <c r="D560" s="6" t="s">
        <v>22</v>
      </c>
      <c r="E560" t="s">
        <v>77</v>
      </c>
      <c r="G560" s="6" t="s">
        <v>16</v>
      </c>
      <c r="H560" s="59" t="s">
        <v>1025</v>
      </c>
      <c r="I560" s="58" t="s">
        <v>865</v>
      </c>
      <c r="J560" t="s">
        <v>823</v>
      </c>
      <c r="K560" t="s">
        <v>824</v>
      </c>
      <c r="L560" t="s">
        <v>91</v>
      </c>
      <c r="M560" t="s">
        <v>1163</v>
      </c>
      <c r="N560" s="57">
        <v>1300</v>
      </c>
      <c r="O560" t="s">
        <v>100</v>
      </c>
      <c r="P560" t="s">
        <v>93</v>
      </c>
      <c r="Q560" s="3">
        <v>46132</v>
      </c>
      <c r="R560" s="10">
        <f t="shared" ca="1" si="16"/>
        <v>46229</v>
      </c>
      <c r="S560" s="7">
        <f t="shared" ca="1" si="17"/>
        <v>0.26575342465753427</v>
      </c>
    </row>
    <row r="561" spans="1:19" x14ac:dyDescent="0.25">
      <c r="A561">
        <v>977138</v>
      </c>
      <c r="B561" t="s">
        <v>798</v>
      </c>
      <c r="C561" t="s">
        <v>17</v>
      </c>
      <c r="D561" s="6" t="s">
        <v>22</v>
      </c>
      <c r="E561" t="s">
        <v>77</v>
      </c>
      <c r="G561" s="6" t="s">
        <v>16</v>
      </c>
      <c r="H561" s="59" t="s">
        <v>1025</v>
      </c>
      <c r="I561" s="58" t="s">
        <v>865</v>
      </c>
      <c r="J561" t="s">
        <v>823</v>
      </c>
      <c r="K561" t="s">
        <v>824</v>
      </c>
      <c r="L561" t="s">
        <v>1038</v>
      </c>
      <c r="M561" t="s">
        <v>1163</v>
      </c>
      <c r="N561" s="57">
        <v>1300</v>
      </c>
      <c r="O561" t="s">
        <v>100</v>
      </c>
      <c r="P561" t="s">
        <v>93</v>
      </c>
      <c r="Q561" s="3">
        <v>43528</v>
      </c>
      <c r="R561" s="10">
        <f t="shared" ca="1" si="16"/>
        <v>46229</v>
      </c>
      <c r="S561" s="7">
        <f t="shared" ca="1" si="17"/>
        <v>7.4</v>
      </c>
    </row>
    <row r="562" spans="1:19" x14ac:dyDescent="0.25">
      <c r="A562">
        <v>999641</v>
      </c>
      <c r="B562" t="s">
        <v>1497</v>
      </c>
      <c r="C562" t="s">
        <v>17</v>
      </c>
      <c r="D562" s="6" t="s">
        <v>22</v>
      </c>
      <c r="E562" t="s">
        <v>77</v>
      </c>
      <c r="G562" s="6" t="s">
        <v>16</v>
      </c>
      <c r="H562" s="59" t="s">
        <v>1025</v>
      </c>
      <c r="I562" s="58" t="s">
        <v>865</v>
      </c>
      <c r="J562" t="s">
        <v>823</v>
      </c>
      <c r="K562" t="s">
        <v>824</v>
      </c>
      <c r="L562" t="s">
        <v>91</v>
      </c>
      <c r="M562" t="s">
        <v>1163</v>
      </c>
      <c r="N562" s="57">
        <v>1300</v>
      </c>
      <c r="O562" t="s">
        <v>100</v>
      </c>
      <c r="P562" t="s">
        <v>93</v>
      </c>
      <c r="Q562" s="3">
        <v>44837</v>
      </c>
      <c r="R562" s="10">
        <f t="shared" ca="1" si="16"/>
        <v>46229</v>
      </c>
      <c r="S562" s="7">
        <f t="shared" ca="1" si="17"/>
        <v>3.8136986301369862</v>
      </c>
    </row>
    <row r="563" spans="1:19" x14ac:dyDescent="0.25">
      <c r="A563">
        <v>1014763</v>
      </c>
      <c r="B563" t="s">
        <v>130</v>
      </c>
      <c r="C563" t="s">
        <v>17</v>
      </c>
      <c r="D563" s="6" t="s">
        <v>39</v>
      </c>
      <c r="E563" t="s">
        <v>82</v>
      </c>
      <c r="G563" s="6" t="s">
        <v>1846</v>
      </c>
      <c r="H563" s="59" t="s">
        <v>92</v>
      </c>
      <c r="I563" s="58" t="s">
        <v>834</v>
      </c>
      <c r="J563" t="s">
        <v>94</v>
      </c>
      <c r="K563" t="s">
        <v>27</v>
      </c>
      <c r="L563" t="s">
        <v>966</v>
      </c>
      <c r="M563" t="s">
        <v>1163</v>
      </c>
      <c r="N563" s="57">
        <v>5300</v>
      </c>
      <c r="O563" t="s">
        <v>100</v>
      </c>
      <c r="P563" t="s">
        <v>38</v>
      </c>
      <c r="Q563" s="3">
        <v>45131</v>
      </c>
      <c r="R563" s="10">
        <f t="shared" ca="1" si="16"/>
        <v>46229</v>
      </c>
      <c r="S563" s="7">
        <f t="shared" ca="1" si="17"/>
        <v>3.0082191780821916</v>
      </c>
    </row>
    <row r="564" spans="1:19" x14ac:dyDescent="0.25">
      <c r="A564">
        <v>35279</v>
      </c>
      <c r="B564" t="s">
        <v>407</v>
      </c>
      <c r="C564" t="s">
        <v>17</v>
      </c>
      <c r="D564" s="6" t="s">
        <v>39</v>
      </c>
      <c r="E564" t="s">
        <v>82</v>
      </c>
      <c r="G564" s="6" t="s">
        <v>1846</v>
      </c>
      <c r="H564" s="59" t="s">
        <v>92</v>
      </c>
      <c r="I564" s="58" t="s">
        <v>834</v>
      </c>
      <c r="J564" t="s">
        <v>94</v>
      </c>
      <c r="K564" t="s">
        <v>27</v>
      </c>
      <c r="L564" t="s">
        <v>966</v>
      </c>
      <c r="M564" t="s">
        <v>1163</v>
      </c>
      <c r="N564" s="57">
        <v>5300</v>
      </c>
      <c r="O564" t="s">
        <v>100</v>
      </c>
      <c r="P564" t="s">
        <v>38</v>
      </c>
      <c r="Q564" s="3">
        <v>40112</v>
      </c>
      <c r="R564" s="10">
        <f t="shared" ca="1" si="16"/>
        <v>46229</v>
      </c>
      <c r="S564" s="7">
        <f t="shared" ca="1" si="17"/>
        <v>16.758904109589039</v>
      </c>
    </row>
    <row r="565" spans="1:19" x14ac:dyDescent="0.25">
      <c r="A565">
        <v>606709</v>
      </c>
      <c r="B565" t="s">
        <v>1447</v>
      </c>
      <c r="C565" t="s">
        <v>17</v>
      </c>
      <c r="D565" s="6" t="s">
        <v>39</v>
      </c>
      <c r="E565" t="s">
        <v>60</v>
      </c>
      <c r="G565" s="6" t="s">
        <v>1848</v>
      </c>
      <c r="H565" s="59" t="s">
        <v>92</v>
      </c>
      <c r="I565" s="58" t="s">
        <v>834</v>
      </c>
      <c r="J565" t="s">
        <v>94</v>
      </c>
      <c r="K565" t="s">
        <v>27</v>
      </c>
      <c r="L565" t="s">
        <v>966</v>
      </c>
      <c r="M565" t="s">
        <v>1163</v>
      </c>
      <c r="N565" s="57">
        <v>5300</v>
      </c>
      <c r="O565" t="s">
        <v>100</v>
      </c>
      <c r="P565" t="s">
        <v>38</v>
      </c>
      <c r="Q565" s="3">
        <v>42933</v>
      </c>
      <c r="R565" s="10">
        <f t="shared" ca="1" si="16"/>
        <v>46229</v>
      </c>
      <c r="S565" s="7">
        <f t="shared" ca="1" si="17"/>
        <v>9.0301369863013701</v>
      </c>
    </row>
    <row r="566" spans="1:19" x14ac:dyDescent="0.25">
      <c r="A566">
        <v>1071745</v>
      </c>
      <c r="B566" t="s">
        <v>140</v>
      </c>
      <c r="C566" t="s">
        <v>17</v>
      </c>
      <c r="D566" s="6" t="s">
        <v>39</v>
      </c>
      <c r="E566" t="s">
        <v>946</v>
      </c>
      <c r="G566" s="6" t="s">
        <v>1839</v>
      </c>
      <c r="H566" s="59" t="s">
        <v>92</v>
      </c>
      <c r="I566" s="58" t="s">
        <v>933</v>
      </c>
      <c r="J566" t="s">
        <v>866</v>
      </c>
      <c r="K566" t="s">
        <v>867</v>
      </c>
      <c r="L566" t="s">
        <v>1038</v>
      </c>
      <c r="M566" t="s">
        <v>1163</v>
      </c>
      <c r="N566" s="57">
        <v>7400</v>
      </c>
      <c r="O566" t="s">
        <v>100</v>
      </c>
      <c r="P566" t="s">
        <v>38</v>
      </c>
      <c r="Q566" s="3">
        <v>43297</v>
      </c>
      <c r="R566" s="10">
        <f t="shared" ca="1" si="16"/>
        <v>46229</v>
      </c>
      <c r="S566" s="7">
        <f t="shared" ca="1" si="17"/>
        <v>8.0328767123287665</v>
      </c>
    </row>
    <row r="567" spans="1:19" x14ac:dyDescent="0.25">
      <c r="A567">
        <v>1184100</v>
      </c>
      <c r="B567" t="s">
        <v>255</v>
      </c>
      <c r="C567" t="s">
        <v>17</v>
      </c>
      <c r="D567" s="6" t="s">
        <v>39</v>
      </c>
      <c r="E567" t="s">
        <v>946</v>
      </c>
      <c r="G567" s="6" t="s">
        <v>1839</v>
      </c>
      <c r="H567" s="59" t="s">
        <v>92</v>
      </c>
      <c r="I567" s="58" t="s">
        <v>933</v>
      </c>
      <c r="J567" t="s">
        <v>866</v>
      </c>
      <c r="K567" t="s">
        <v>867</v>
      </c>
      <c r="L567" t="s">
        <v>1038</v>
      </c>
      <c r="M567" t="s">
        <v>1163</v>
      </c>
      <c r="N567" s="57">
        <v>7400</v>
      </c>
      <c r="O567" t="s">
        <v>100</v>
      </c>
      <c r="P567" t="s">
        <v>38</v>
      </c>
      <c r="Q567" s="3">
        <v>45215</v>
      </c>
      <c r="R567" s="10">
        <f t="shared" ca="1" si="16"/>
        <v>46229</v>
      </c>
      <c r="S567" s="7">
        <f t="shared" ca="1" si="17"/>
        <v>2.7780821917808218</v>
      </c>
    </row>
    <row r="568" spans="1:19" x14ac:dyDescent="0.25">
      <c r="A568">
        <v>4001726</v>
      </c>
      <c r="B568" t="s">
        <v>421</v>
      </c>
      <c r="C568" t="s">
        <v>17</v>
      </c>
      <c r="D568" s="6" t="s">
        <v>22</v>
      </c>
      <c r="E568" t="s">
        <v>88</v>
      </c>
      <c r="G568" s="6" t="s">
        <v>967</v>
      </c>
      <c r="H568" s="59" t="s">
        <v>1023</v>
      </c>
      <c r="I568" s="58" t="s">
        <v>1123</v>
      </c>
      <c r="J568" t="s">
        <v>923</v>
      </c>
      <c r="K568" t="s">
        <v>826</v>
      </c>
      <c r="L568" t="s">
        <v>1038</v>
      </c>
      <c r="M568" t="s">
        <v>1163</v>
      </c>
      <c r="N568" s="57">
        <v>1500</v>
      </c>
      <c r="O568" t="s">
        <v>100</v>
      </c>
      <c r="P568" t="s">
        <v>93</v>
      </c>
      <c r="Q568" s="3">
        <v>44956</v>
      </c>
      <c r="R568" s="10">
        <f t="shared" ca="1" si="16"/>
        <v>46229</v>
      </c>
      <c r="S568" s="7">
        <f t="shared" ca="1" si="17"/>
        <v>3.4876712328767123</v>
      </c>
    </row>
    <row r="569" spans="1:19" x14ac:dyDescent="0.25">
      <c r="A569">
        <v>4088092</v>
      </c>
      <c r="B569" t="s">
        <v>1206</v>
      </c>
      <c r="C569" t="s">
        <v>1044</v>
      </c>
      <c r="D569" s="6" t="s">
        <v>22</v>
      </c>
      <c r="E569" t="s">
        <v>53</v>
      </c>
      <c r="G569" s="6" t="s">
        <v>967</v>
      </c>
      <c r="H569" s="59" t="s">
        <v>1023</v>
      </c>
      <c r="I569" s="58" t="s">
        <v>1123</v>
      </c>
      <c r="J569" t="s">
        <v>923</v>
      </c>
      <c r="K569" t="s">
        <v>826</v>
      </c>
      <c r="L569" t="s">
        <v>1038</v>
      </c>
      <c r="M569" t="s">
        <v>1163</v>
      </c>
      <c r="N569" s="57">
        <v>1500</v>
      </c>
      <c r="O569" t="s">
        <v>100</v>
      </c>
      <c r="P569" t="s">
        <v>93</v>
      </c>
      <c r="Q569" s="3">
        <v>46111</v>
      </c>
      <c r="R569" s="10">
        <f t="shared" ca="1" si="16"/>
        <v>46229</v>
      </c>
      <c r="S569" s="7">
        <f t="shared" ca="1" si="17"/>
        <v>0.32328767123287672</v>
      </c>
    </row>
    <row r="570" spans="1:19" x14ac:dyDescent="0.25">
      <c r="A570">
        <v>4088534</v>
      </c>
      <c r="B570" t="s">
        <v>568</v>
      </c>
      <c r="C570" t="s">
        <v>17</v>
      </c>
      <c r="D570" s="6" t="s">
        <v>22</v>
      </c>
      <c r="E570" t="s">
        <v>53</v>
      </c>
      <c r="G570" s="6" t="s">
        <v>967</v>
      </c>
      <c r="H570" s="59" t="s">
        <v>1023</v>
      </c>
      <c r="I570" s="58" t="s">
        <v>1123</v>
      </c>
      <c r="J570" t="s">
        <v>923</v>
      </c>
      <c r="K570" t="s">
        <v>826</v>
      </c>
      <c r="L570" t="s">
        <v>1038</v>
      </c>
      <c r="M570" t="s">
        <v>1163</v>
      </c>
      <c r="N570" s="57">
        <v>1500</v>
      </c>
      <c r="O570" t="s">
        <v>100</v>
      </c>
      <c r="P570" t="s">
        <v>93</v>
      </c>
      <c r="Q570" s="3">
        <v>45057</v>
      </c>
      <c r="R570" s="10">
        <f t="shared" ca="1" si="16"/>
        <v>46229</v>
      </c>
      <c r="S570" s="7">
        <f t="shared" ca="1" si="17"/>
        <v>3.2109589041095892</v>
      </c>
    </row>
    <row r="571" spans="1:19" x14ac:dyDescent="0.25">
      <c r="A571">
        <v>4110770</v>
      </c>
      <c r="B571" t="s">
        <v>673</v>
      </c>
      <c r="C571" t="s">
        <v>17</v>
      </c>
      <c r="D571" s="6" t="s">
        <v>22</v>
      </c>
      <c r="E571" t="s">
        <v>53</v>
      </c>
      <c r="G571" s="6" t="s">
        <v>967</v>
      </c>
      <c r="H571" s="59" t="s">
        <v>1023</v>
      </c>
      <c r="I571" s="58" t="s">
        <v>1123</v>
      </c>
      <c r="J571" t="s">
        <v>923</v>
      </c>
      <c r="K571" t="s">
        <v>826</v>
      </c>
      <c r="L571" t="s">
        <v>1038</v>
      </c>
      <c r="M571" t="s">
        <v>1163</v>
      </c>
      <c r="N571" s="57">
        <v>1200</v>
      </c>
      <c r="O571" t="s">
        <v>100</v>
      </c>
      <c r="P571" t="s">
        <v>93</v>
      </c>
      <c r="Q571" s="3">
        <v>45680</v>
      </c>
      <c r="R571" s="10">
        <f t="shared" ca="1" si="16"/>
        <v>46229</v>
      </c>
      <c r="S571" s="7">
        <f t="shared" ca="1" si="17"/>
        <v>1.5041095890410958</v>
      </c>
    </row>
    <row r="572" spans="1:19" x14ac:dyDescent="0.25">
      <c r="A572">
        <v>4122593</v>
      </c>
      <c r="B572" t="s">
        <v>1273</v>
      </c>
      <c r="C572" t="s">
        <v>1044</v>
      </c>
      <c r="D572" s="6" t="s">
        <v>22</v>
      </c>
      <c r="E572" t="s">
        <v>53</v>
      </c>
      <c r="G572" s="6" t="s">
        <v>967</v>
      </c>
      <c r="H572" s="59" t="s">
        <v>1023</v>
      </c>
      <c r="I572" s="58" t="s">
        <v>1123</v>
      </c>
      <c r="J572" t="s">
        <v>923</v>
      </c>
      <c r="K572" t="s">
        <v>826</v>
      </c>
      <c r="L572" t="s">
        <v>1038</v>
      </c>
      <c r="M572" t="s">
        <v>1163</v>
      </c>
      <c r="N572" s="57">
        <v>1500</v>
      </c>
      <c r="O572" t="s">
        <v>100</v>
      </c>
      <c r="P572" t="s">
        <v>93</v>
      </c>
      <c r="Q572" s="3">
        <v>46118</v>
      </c>
      <c r="R572" s="10">
        <f t="shared" ca="1" si="16"/>
        <v>46229</v>
      </c>
      <c r="S572" s="7">
        <f t="shared" ca="1" si="17"/>
        <v>0.30410958904109592</v>
      </c>
    </row>
    <row r="573" spans="1:19" x14ac:dyDescent="0.25">
      <c r="A573">
        <v>4122594</v>
      </c>
      <c r="B573" t="s">
        <v>1274</v>
      </c>
      <c r="C573" t="s">
        <v>1044</v>
      </c>
      <c r="D573" s="6" t="s">
        <v>22</v>
      </c>
      <c r="E573" t="s">
        <v>53</v>
      </c>
      <c r="G573" s="6" t="s">
        <v>967</v>
      </c>
      <c r="H573" s="59" t="s">
        <v>1023</v>
      </c>
      <c r="I573" s="58" t="s">
        <v>1123</v>
      </c>
      <c r="J573" t="s">
        <v>923</v>
      </c>
      <c r="K573" t="s">
        <v>826</v>
      </c>
      <c r="L573" t="s">
        <v>1038</v>
      </c>
      <c r="M573" t="s">
        <v>1163</v>
      </c>
      <c r="N573" s="57">
        <v>1500</v>
      </c>
      <c r="O573" t="s">
        <v>100</v>
      </c>
      <c r="P573" t="s">
        <v>93</v>
      </c>
      <c r="Q573" s="3">
        <v>46118</v>
      </c>
      <c r="R573" s="10">
        <f t="shared" ca="1" si="16"/>
        <v>46229</v>
      </c>
      <c r="S573" s="7">
        <f t="shared" ca="1" si="17"/>
        <v>0.30410958904109592</v>
      </c>
    </row>
    <row r="574" spans="1:19" x14ac:dyDescent="0.25">
      <c r="A574">
        <v>4122865</v>
      </c>
      <c r="B574" t="s">
        <v>1371</v>
      </c>
      <c r="C574" t="s">
        <v>1044</v>
      </c>
      <c r="D574" s="6" t="s">
        <v>22</v>
      </c>
      <c r="E574" t="s">
        <v>53</v>
      </c>
      <c r="G574" s="6" t="s">
        <v>967</v>
      </c>
      <c r="H574" s="59" t="s">
        <v>1023</v>
      </c>
      <c r="I574" s="58" t="s">
        <v>1123</v>
      </c>
      <c r="J574" t="s">
        <v>923</v>
      </c>
      <c r="K574" t="s">
        <v>826</v>
      </c>
      <c r="L574" t="s">
        <v>1038</v>
      </c>
      <c r="M574" t="s">
        <v>1163</v>
      </c>
      <c r="N574" s="57">
        <v>1500</v>
      </c>
      <c r="O574" t="s">
        <v>100</v>
      </c>
      <c r="P574" t="s">
        <v>93</v>
      </c>
      <c r="Q574" s="3">
        <v>46125</v>
      </c>
      <c r="R574" s="10">
        <f t="shared" ca="1" si="16"/>
        <v>46229</v>
      </c>
      <c r="S574" s="7">
        <f t="shared" ca="1" si="17"/>
        <v>0.28493150684931506</v>
      </c>
    </row>
    <row r="575" spans="1:19" x14ac:dyDescent="0.25">
      <c r="A575">
        <v>1125149</v>
      </c>
      <c r="B575" t="s">
        <v>985</v>
      </c>
      <c r="C575" t="s">
        <v>17</v>
      </c>
      <c r="D575" s="6" t="s">
        <v>22</v>
      </c>
      <c r="E575" t="s">
        <v>79</v>
      </c>
      <c r="G575" s="6" t="s">
        <v>971</v>
      </c>
      <c r="H575" s="59" t="s">
        <v>1021</v>
      </c>
      <c r="I575" s="58" t="s">
        <v>1008</v>
      </c>
      <c r="J575" t="s">
        <v>860</v>
      </c>
      <c r="K575" t="s">
        <v>845</v>
      </c>
      <c r="L575" t="s">
        <v>25</v>
      </c>
      <c r="M575" t="s">
        <v>1163</v>
      </c>
      <c r="N575" s="57">
        <v>1300</v>
      </c>
      <c r="O575" t="s">
        <v>100</v>
      </c>
      <c r="P575" t="s">
        <v>93</v>
      </c>
      <c r="Q575" s="3">
        <v>44271</v>
      </c>
      <c r="R575" s="10">
        <f t="shared" ca="1" si="16"/>
        <v>46229</v>
      </c>
      <c r="S575" s="7">
        <f t="shared" ca="1" si="17"/>
        <v>5.3643835616438356</v>
      </c>
    </row>
    <row r="576" spans="1:19" x14ac:dyDescent="0.25">
      <c r="A576">
        <v>1153011</v>
      </c>
      <c r="B576" t="s">
        <v>176</v>
      </c>
      <c r="C576" t="s">
        <v>17</v>
      </c>
      <c r="D576" s="6" t="s">
        <v>22</v>
      </c>
      <c r="E576" t="s">
        <v>79</v>
      </c>
      <c r="G576" s="6" t="s">
        <v>971</v>
      </c>
      <c r="H576" s="59" t="s">
        <v>1021</v>
      </c>
      <c r="I576" s="58" t="s">
        <v>1008</v>
      </c>
      <c r="J576" t="s">
        <v>860</v>
      </c>
      <c r="K576" t="s">
        <v>845</v>
      </c>
      <c r="L576" t="s">
        <v>1038</v>
      </c>
      <c r="M576" t="s">
        <v>1163</v>
      </c>
      <c r="N576" s="57">
        <v>1300</v>
      </c>
      <c r="O576" t="s">
        <v>100</v>
      </c>
      <c r="P576" t="s">
        <v>93</v>
      </c>
      <c r="Q576" s="3">
        <v>44676</v>
      </c>
      <c r="R576" s="10">
        <f t="shared" ca="1" si="16"/>
        <v>46229</v>
      </c>
      <c r="S576" s="7">
        <f t="shared" ca="1" si="17"/>
        <v>4.2547945205479456</v>
      </c>
    </row>
    <row r="577" spans="1:19" x14ac:dyDescent="0.25">
      <c r="A577">
        <v>1154625</v>
      </c>
      <c r="B577" t="s">
        <v>1179</v>
      </c>
      <c r="C577" t="s">
        <v>17</v>
      </c>
      <c r="D577" s="6" t="s">
        <v>22</v>
      </c>
      <c r="E577" t="s">
        <v>79</v>
      </c>
      <c r="G577" s="6" t="s">
        <v>971</v>
      </c>
      <c r="H577" s="59" t="s">
        <v>1021</v>
      </c>
      <c r="I577" s="58" t="s">
        <v>1008</v>
      </c>
      <c r="J577" t="s">
        <v>860</v>
      </c>
      <c r="K577" t="s">
        <v>845</v>
      </c>
      <c r="L577" t="s">
        <v>1038</v>
      </c>
      <c r="M577" t="s">
        <v>1163</v>
      </c>
      <c r="N577" s="57">
        <v>1300</v>
      </c>
      <c r="O577" t="s">
        <v>100</v>
      </c>
      <c r="P577" t="s">
        <v>93</v>
      </c>
      <c r="Q577" s="3">
        <v>46111</v>
      </c>
      <c r="R577" s="10">
        <f t="shared" ca="1" si="16"/>
        <v>46229</v>
      </c>
      <c r="S577" s="7">
        <f t="shared" ca="1" si="17"/>
        <v>0.32328767123287672</v>
      </c>
    </row>
    <row r="578" spans="1:19" x14ac:dyDescent="0.25">
      <c r="A578">
        <v>1192822</v>
      </c>
      <c r="B578" t="s">
        <v>991</v>
      </c>
      <c r="C578" t="s">
        <v>17</v>
      </c>
      <c r="D578" s="6" t="s">
        <v>22</v>
      </c>
      <c r="E578" t="s">
        <v>79</v>
      </c>
      <c r="G578" s="6" t="s">
        <v>971</v>
      </c>
      <c r="H578" s="59" t="s">
        <v>1021</v>
      </c>
      <c r="I578" s="58" t="s">
        <v>1008</v>
      </c>
      <c r="J578" t="s">
        <v>860</v>
      </c>
      <c r="K578" t="s">
        <v>845</v>
      </c>
      <c r="L578" t="s">
        <v>91</v>
      </c>
      <c r="M578" t="s">
        <v>1163</v>
      </c>
      <c r="N578" s="57">
        <v>1300</v>
      </c>
      <c r="O578" t="s">
        <v>100</v>
      </c>
      <c r="P578" t="s">
        <v>93</v>
      </c>
      <c r="Q578" s="3">
        <v>45495</v>
      </c>
      <c r="R578" s="10">
        <f t="shared" ca="1" si="16"/>
        <v>46229</v>
      </c>
      <c r="S578" s="7">
        <f t="shared" ca="1" si="17"/>
        <v>2.010958904109589</v>
      </c>
    </row>
    <row r="579" spans="1:19" x14ac:dyDescent="0.25">
      <c r="A579">
        <v>1202884</v>
      </c>
      <c r="B579" t="s">
        <v>280</v>
      </c>
      <c r="C579" t="s">
        <v>17</v>
      </c>
      <c r="D579" s="6" t="s">
        <v>22</v>
      </c>
      <c r="E579" t="s">
        <v>79</v>
      </c>
      <c r="G579" s="6" t="s">
        <v>971</v>
      </c>
      <c r="H579" s="59" t="s">
        <v>1021</v>
      </c>
      <c r="I579" s="58" t="s">
        <v>1008</v>
      </c>
      <c r="J579" t="s">
        <v>860</v>
      </c>
      <c r="K579" t="s">
        <v>845</v>
      </c>
      <c r="L579" t="s">
        <v>91</v>
      </c>
      <c r="M579" t="s">
        <v>1163</v>
      </c>
      <c r="N579" s="57">
        <v>1300</v>
      </c>
      <c r="O579" t="s">
        <v>100</v>
      </c>
      <c r="P579" t="s">
        <v>93</v>
      </c>
      <c r="Q579" s="3">
        <v>45719</v>
      </c>
      <c r="R579" s="10">
        <f t="shared" ref="R579:R642" ca="1" si="18">TODAY()</f>
        <v>46229</v>
      </c>
      <c r="S579" s="7">
        <f t="shared" ref="S579:S642" ca="1" si="19">(R579-Q579)/365</f>
        <v>1.3972602739726028</v>
      </c>
    </row>
    <row r="580" spans="1:19" x14ac:dyDescent="0.25">
      <c r="A580">
        <v>1226643</v>
      </c>
      <c r="B580" t="s">
        <v>1040</v>
      </c>
      <c r="C580" t="s">
        <v>17</v>
      </c>
      <c r="D580" s="6" t="s">
        <v>22</v>
      </c>
      <c r="E580" t="s">
        <v>79</v>
      </c>
      <c r="G580" s="6" t="s">
        <v>971</v>
      </c>
      <c r="H580" s="59" t="s">
        <v>1021</v>
      </c>
      <c r="I580" s="58" t="s">
        <v>1008</v>
      </c>
      <c r="J580" t="s">
        <v>860</v>
      </c>
      <c r="K580" t="s">
        <v>845</v>
      </c>
      <c r="L580" t="s">
        <v>1038</v>
      </c>
      <c r="M580" t="s">
        <v>1163</v>
      </c>
      <c r="N580" s="57">
        <v>1300</v>
      </c>
      <c r="O580" t="s">
        <v>100</v>
      </c>
      <c r="P580" t="s">
        <v>93</v>
      </c>
      <c r="Q580" s="3">
        <v>46069</v>
      </c>
      <c r="R580" s="10">
        <f t="shared" ca="1" si="18"/>
        <v>46229</v>
      </c>
      <c r="S580" s="7">
        <f t="shared" ca="1" si="19"/>
        <v>0.43835616438356162</v>
      </c>
    </row>
    <row r="581" spans="1:19" x14ac:dyDescent="0.25">
      <c r="A581">
        <v>1229552</v>
      </c>
      <c r="B581" t="s">
        <v>1182</v>
      </c>
      <c r="C581" t="s">
        <v>17</v>
      </c>
      <c r="D581" s="6" t="s">
        <v>22</v>
      </c>
      <c r="E581" t="s">
        <v>79</v>
      </c>
      <c r="G581" s="6" t="s">
        <v>971</v>
      </c>
      <c r="H581" s="59" t="s">
        <v>1021</v>
      </c>
      <c r="I581" s="58" t="s">
        <v>1008</v>
      </c>
      <c r="J581" t="s">
        <v>860</v>
      </c>
      <c r="K581" t="s">
        <v>845</v>
      </c>
      <c r="L581" t="s">
        <v>1038</v>
      </c>
      <c r="M581" t="s">
        <v>1163</v>
      </c>
      <c r="N581" s="57">
        <v>1300</v>
      </c>
      <c r="O581" t="s">
        <v>100</v>
      </c>
      <c r="P581" t="s">
        <v>93</v>
      </c>
      <c r="Q581" s="3">
        <v>46111</v>
      </c>
      <c r="R581" s="10">
        <f t="shared" ca="1" si="18"/>
        <v>46229</v>
      </c>
      <c r="S581" s="7">
        <f t="shared" ca="1" si="19"/>
        <v>0.32328767123287672</v>
      </c>
    </row>
    <row r="582" spans="1:19" x14ac:dyDescent="0.25">
      <c r="A582">
        <v>4020697</v>
      </c>
      <c r="B582" t="s">
        <v>996</v>
      </c>
      <c r="C582" t="s">
        <v>17</v>
      </c>
      <c r="D582" s="6" t="s">
        <v>22</v>
      </c>
      <c r="E582" t="s">
        <v>79</v>
      </c>
      <c r="G582" s="6" t="s">
        <v>971</v>
      </c>
      <c r="H582" s="59" t="s">
        <v>1021</v>
      </c>
      <c r="I582" s="58" t="s">
        <v>1008</v>
      </c>
      <c r="J582" t="s">
        <v>860</v>
      </c>
      <c r="K582" t="s">
        <v>845</v>
      </c>
      <c r="L582" t="s">
        <v>25</v>
      </c>
      <c r="M582" t="s">
        <v>1163</v>
      </c>
      <c r="N582" s="57">
        <v>1300</v>
      </c>
      <c r="O582" t="s">
        <v>100</v>
      </c>
      <c r="P582" t="s">
        <v>93</v>
      </c>
      <c r="Q582" s="3">
        <v>44042</v>
      </c>
      <c r="R582" s="10">
        <f t="shared" ca="1" si="18"/>
        <v>46229</v>
      </c>
      <c r="S582" s="7">
        <f t="shared" ca="1" si="19"/>
        <v>5.9917808219178079</v>
      </c>
    </row>
    <row r="583" spans="1:19" x14ac:dyDescent="0.25">
      <c r="A583">
        <v>4076793</v>
      </c>
      <c r="B583" t="s">
        <v>539</v>
      </c>
      <c r="C583" t="s">
        <v>17</v>
      </c>
      <c r="D583" s="6" t="s">
        <v>22</v>
      </c>
      <c r="E583" t="s">
        <v>79</v>
      </c>
      <c r="G583" s="6" t="s">
        <v>971</v>
      </c>
      <c r="H583" s="59" t="s">
        <v>1013</v>
      </c>
      <c r="I583" s="58" t="s">
        <v>1008</v>
      </c>
      <c r="J583" t="s">
        <v>860</v>
      </c>
      <c r="K583" t="s">
        <v>845</v>
      </c>
      <c r="L583" t="s">
        <v>91</v>
      </c>
      <c r="M583" t="s">
        <v>1163</v>
      </c>
      <c r="N583" s="57">
        <v>1300</v>
      </c>
      <c r="O583" t="s">
        <v>100</v>
      </c>
      <c r="P583" t="s">
        <v>93</v>
      </c>
      <c r="Q583" s="3">
        <v>45540</v>
      </c>
      <c r="R583" s="10">
        <f t="shared" ca="1" si="18"/>
        <v>46229</v>
      </c>
      <c r="S583" s="7">
        <f t="shared" ca="1" si="19"/>
        <v>1.8876712328767122</v>
      </c>
    </row>
    <row r="584" spans="1:19" x14ac:dyDescent="0.25">
      <c r="A584">
        <v>928390</v>
      </c>
      <c r="B584" t="s">
        <v>771</v>
      </c>
      <c r="C584" t="s">
        <v>17</v>
      </c>
      <c r="D584" s="6" t="s">
        <v>22</v>
      </c>
      <c r="E584" t="s">
        <v>79</v>
      </c>
      <c r="G584" s="6" t="s">
        <v>971</v>
      </c>
      <c r="H584" s="59" t="s">
        <v>1021</v>
      </c>
      <c r="I584" s="58" t="s">
        <v>1008</v>
      </c>
      <c r="J584" t="s">
        <v>860</v>
      </c>
      <c r="K584" t="s">
        <v>845</v>
      </c>
      <c r="L584" t="s">
        <v>25</v>
      </c>
      <c r="M584" t="s">
        <v>1163</v>
      </c>
      <c r="N584" s="57">
        <v>1300</v>
      </c>
      <c r="O584" t="s">
        <v>100</v>
      </c>
      <c r="P584" t="s">
        <v>93</v>
      </c>
      <c r="Q584" s="3">
        <v>45033</v>
      </c>
      <c r="R584" s="10">
        <f t="shared" ca="1" si="18"/>
        <v>46229</v>
      </c>
      <c r="S584" s="7">
        <f t="shared" ca="1" si="19"/>
        <v>3.2767123287671232</v>
      </c>
    </row>
    <row r="585" spans="1:19" x14ac:dyDescent="0.25">
      <c r="A585">
        <v>4094645</v>
      </c>
      <c r="B585" t="s">
        <v>578</v>
      </c>
      <c r="C585" t="s">
        <v>17</v>
      </c>
      <c r="D585" s="6" t="s">
        <v>22</v>
      </c>
      <c r="E585" t="s">
        <v>50</v>
      </c>
      <c r="G585" s="6" t="s">
        <v>970</v>
      </c>
      <c r="H585" s="59" t="s">
        <v>1030</v>
      </c>
      <c r="I585" s="58" t="s">
        <v>938</v>
      </c>
      <c r="J585" t="s">
        <v>854</v>
      </c>
      <c r="K585" t="s">
        <v>855</v>
      </c>
      <c r="L585" t="s">
        <v>25</v>
      </c>
      <c r="M585" t="s">
        <v>1163</v>
      </c>
      <c r="N585" s="57">
        <v>1400</v>
      </c>
      <c r="O585" t="s">
        <v>100</v>
      </c>
      <c r="P585" t="s">
        <v>93</v>
      </c>
      <c r="Q585" s="3">
        <v>45166</v>
      </c>
      <c r="R585" s="10">
        <f t="shared" ca="1" si="18"/>
        <v>46229</v>
      </c>
      <c r="S585" s="7">
        <f t="shared" ca="1" si="19"/>
        <v>2.9123287671232876</v>
      </c>
    </row>
    <row r="586" spans="1:19" x14ac:dyDescent="0.25">
      <c r="A586">
        <v>4100080</v>
      </c>
      <c r="B586" t="s">
        <v>605</v>
      </c>
      <c r="C586" t="s">
        <v>17</v>
      </c>
      <c r="D586" s="6" t="s">
        <v>22</v>
      </c>
      <c r="E586" t="s">
        <v>50</v>
      </c>
      <c r="G586" s="6" t="s">
        <v>970</v>
      </c>
      <c r="H586" s="59" t="s">
        <v>1030</v>
      </c>
      <c r="I586" s="58" t="s">
        <v>938</v>
      </c>
      <c r="J586" t="s">
        <v>854</v>
      </c>
      <c r="K586" t="s">
        <v>855</v>
      </c>
      <c r="L586" t="s">
        <v>25</v>
      </c>
      <c r="M586" t="s">
        <v>1163</v>
      </c>
      <c r="N586" s="57">
        <v>1400</v>
      </c>
      <c r="O586" t="s">
        <v>100</v>
      </c>
      <c r="P586" t="s">
        <v>93</v>
      </c>
      <c r="Q586" s="3">
        <v>45418</v>
      </c>
      <c r="R586" s="10">
        <f t="shared" ca="1" si="18"/>
        <v>46229</v>
      </c>
      <c r="S586" s="7">
        <f t="shared" ca="1" si="19"/>
        <v>2.2219178082191782</v>
      </c>
    </row>
    <row r="587" spans="1:19" x14ac:dyDescent="0.25">
      <c r="A587">
        <v>991798</v>
      </c>
      <c r="B587" t="s">
        <v>810</v>
      </c>
      <c r="C587" t="s">
        <v>17</v>
      </c>
      <c r="D587" s="6" t="s">
        <v>22</v>
      </c>
      <c r="E587" t="s">
        <v>50</v>
      </c>
      <c r="G587" s="6" t="s">
        <v>970</v>
      </c>
      <c r="H587" s="59" t="s">
        <v>1030</v>
      </c>
      <c r="I587" s="58" t="s">
        <v>938</v>
      </c>
      <c r="J587" t="s">
        <v>854</v>
      </c>
      <c r="K587" t="s">
        <v>855</v>
      </c>
      <c r="L587" t="s">
        <v>25</v>
      </c>
      <c r="M587" t="s">
        <v>1163</v>
      </c>
      <c r="N587" s="57">
        <v>1200</v>
      </c>
      <c r="O587" t="s">
        <v>100</v>
      </c>
      <c r="P587" t="s">
        <v>93</v>
      </c>
      <c r="Q587" s="3">
        <v>45537</v>
      </c>
      <c r="R587" s="10">
        <f t="shared" ca="1" si="18"/>
        <v>46229</v>
      </c>
      <c r="S587" s="7">
        <f t="shared" ca="1" si="19"/>
        <v>1.8958904109589041</v>
      </c>
    </row>
    <row r="588" spans="1:19" x14ac:dyDescent="0.25">
      <c r="A588">
        <v>1173854</v>
      </c>
      <c r="B588" t="s">
        <v>208</v>
      </c>
      <c r="C588" t="s">
        <v>17</v>
      </c>
      <c r="D588" s="6" t="s">
        <v>22</v>
      </c>
      <c r="E588" t="s">
        <v>102</v>
      </c>
      <c r="G588" s="6" t="s">
        <v>971</v>
      </c>
      <c r="H588" s="59" t="s">
        <v>1010</v>
      </c>
      <c r="I588" s="58" t="s">
        <v>903</v>
      </c>
      <c r="J588" t="s">
        <v>894</v>
      </c>
      <c r="K588" t="s">
        <v>845</v>
      </c>
      <c r="L588" t="s">
        <v>1038</v>
      </c>
      <c r="M588" t="s">
        <v>1163</v>
      </c>
      <c r="N588" s="57">
        <v>1200</v>
      </c>
      <c r="O588" t="s">
        <v>100</v>
      </c>
      <c r="P588" t="s">
        <v>93</v>
      </c>
      <c r="Q588" s="3">
        <v>45817</v>
      </c>
      <c r="R588" s="10">
        <f t="shared" ca="1" si="18"/>
        <v>46229</v>
      </c>
      <c r="S588" s="7">
        <f t="shared" ca="1" si="19"/>
        <v>1.1287671232876713</v>
      </c>
    </row>
    <row r="589" spans="1:19" x14ac:dyDescent="0.25">
      <c r="A589">
        <v>1202878</v>
      </c>
      <c r="B589" t="s">
        <v>279</v>
      </c>
      <c r="C589" t="s">
        <v>17</v>
      </c>
      <c r="D589" s="6" t="s">
        <v>22</v>
      </c>
      <c r="E589" t="s">
        <v>102</v>
      </c>
      <c r="G589" s="6" t="s">
        <v>971</v>
      </c>
      <c r="H589" s="59" t="s">
        <v>1010</v>
      </c>
      <c r="I589" s="58" t="s">
        <v>903</v>
      </c>
      <c r="J589" t="s">
        <v>894</v>
      </c>
      <c r="K589" t="s">
        <v>845</v>
      </c>
      <c r="L589" t="s">
        <v>1038</v>
      </c>
      <c r="M589" t="s">
        <v>1163</v>
      </c>
      <c r="N589" s="57">
        <v>1200</v>
      </c>
      <c r="O589" t="s">
        <v>100</v>
      </c>
      <c r="P589" t="s">
        <v>38</v>
      </c>
      <c r="Q589" s="3">
        <v>45719</v>
      </c>
      <c r="R589" s="10">
        <f t="shared" ca="1" si="18"/>
        <v>46229</v>
      </c>
      <c r="S589" s="7">
        <f t="shared" ca="1" si="19"/>
        <v>1.3972602739726028</v>
      </c>
    </row>
    <row r="590" spans="1:19" x14ac:dyDescent="0.25">
      <c r="A590">
        <v>1204857</v>
      </c>
      <c r="B590" t="s">
        <v>283</v>
      </c>
      <c r="C590" t="s">
        <v>17</v>
      </c>
      <c r="D590" s="6" t="s">
        <v>22</v>
      </c>
      <c r="E590" t="s">
        <v>102</v>
      </c>
      <c r="G590" s="6" t="s">
        <v>971</v>
      </c>
      <c r="H590" s="59" t="s">
        <v>1010</v>
      </c>
      <c r="I590" s="58" t="s">
        <v>903</v>
      </c>
      <c r="J590" t="s">
        <v>894</v>
      </c>
      <c r="K590" t="s">
        <v>845</v>
      </c>
      <c r="L590" t="s">
        <v>1038</v>
      </c>
      <c r="M590" t="s">
        <v>1163</v>
      </c>
      <c r="N590" s="57">
        <v>1200</v>
      </c>
      <c r="O590" t="s">
        <v>100</v>
      </c>
      <c r="P590" t="s">
        <v>93</v>
      </c>
      <c r="Q590" s="3">
        <v>45747</v>
      </c>
      <c r="R590" s="10">
        <f t="shared" ca="1" si="18"/>
        <v>46229</v>
      </c>
      <c r="S590" s="7">
        <f t="shared" ca="1" si="19"/>
        <v>1.3205479452054794</v>
      </c>
    </row>
    <row r="591" spans="1:19" x14ac:dyDescent="0.25">
      <c r="A591">
        <v>1210753</v>
      </c>
      <c r="B591" t="s">
        <v>290</v>
      </c>
      <c r="C591" t="s">
        <v>17</v>
      </c>
      <c r="D591" s="6" t="s">
        <v>22</v>
      </c>
      <c r="E591" t="s">
        <v>102</v>
      </c>
      <c r="G591" s="6" t="s">
        <v>971</v>
      </c>
      <c r="H591" s="59" t="s">
        <v>1010</v>
      </c>
      <c r="I591" s="58" t="s">
        <v>903</v>
      </c>
      <c r="J591" t="s">
        <v>894</v>
      </c>
      <c r="K591" t="s">
        <v>845</v>
      </c>
      <c r="L591" t="s">
        <v>1038</v>
      </c>
      <c r="M591" t="s">
        <v>1163</v>
      </c>
      <c r="N591" s="57">
        <v>1200</v>
      </c>
      <c r="O591" t="s">
        <v>100</v>
      </c>
      <c r="P591" t="s">
        <v>93</v>
      </c>
      <c r="Q591" s="3">
        <v>45831</v>
      </c>
      <c r="R591" s="10">
        <f t="shared" ca="1" si="18"/>
        <v>46229</v>
      </c>
      <c r="S591" s="7">
        <f t="shared" ca="1" si="19"/>
        <v>1.0904109589041096</v>
      </c>
    </row>
    <row r="592" spans="1:19" x14ac:dyDescent="0.25">
      <c r="A592">
        <v>1232864</v>
      </c>
      <c r="B592" t="s">
        <v>1509</v>
      </c>
      <c r="C592" t="s">
        <v>17</v>
      </c>
      <c r="D592" s="6" t="s">
        <v>22</v>
      </c>
      <c r="E592" t="s">
        <v>102</v>
      </c>
      <c r="G592" s="6" t="s">
        <v>971</v>
      </c>
      <c r="H592" s="59" t="s">
        <v>1010</v>
      </c>
      <c r="I592" s="58" t="s">
        <v>903</v>
      </c>
      <c r="J592" t="s">
        <v>894</v>
      </c>
      <c r="K592" t="s">
        <v>845</v>
      </c>
      <c r="L592" t="s">
        <v>1038</v>
      </c>
      <c r="M592" t="s">
        <v>1163</v>
      </c>
      <c r="N592" s="57">
        <v>1300</v>
      </c>
      <c r="O592" t="s">
        <v>100</v>
      </c>
      <c r="P592" t="s">
        <v>93</v>
      </c>
      <c r="Q592" s="3">
        <v>46167</v>
      </c>
      <c r="R592" s="10">
        <f t="shared" ca="1" si="18"/>
        <v>46229</v>
      </c>
      <c r="S592" s="7">
        <f t="shared" ca="1" si="19"/>
        <v>0.16986301369863013</v>
      </c>
    </row>
    <row r="593" spans="1:19" x14ac:dyDescent="0.25">
      <c r="A593">
        <v>20590</v>
      </c>
      <c r="B593" t="s">
        <v>299</v>
      </c>
      <c r="C593" t="s">
        <v>17</v>
      </c>
      <c r="D593" s="6" t="s">
        <v>22</v>
      </c>
      <c r="E593" t="s">
        <v>102</v>
      </c>
      <c r="G593" s="6" t="s">
        <v>971</v>
      </c>
      <c r="H593" s="59" t="s">
        <v>1010</v>
      </c>
      <c r="I593" s="58" t="s">
        <v>903</v>
      </c>
      <c r="J593" t="s">
        <v>894</v>
      </c>
      <c r="K593" t="s">
        <v>845</v>
      </c>
      <c r="L593" t="s">
        <v>1038</v>
      </c>
      <c r="M593" t="s">
        <v>1163</v>
      </c>
      <c r="N593" s="57">
        <v>1200</v>
      </c>
      <c r="O593" t="s">
        <v>100</v>
      </c>
      <c r="P593" t="s">
        <v>93</v>
      </c>
      <c r="Q593" s="3">
        <v>45615</v>
      </c>
      <c r="R593" s="10">
        <f t="shared" ca="1" si="18"/>
        <v>46229</v>
      </c>
      <c r="S593" s="7">
        <f t="shared" ca="1" si="19"/>
        <v>1.6821917808219178</v>
      </c>
    </row>
    <row r="594" spans="1:19" x14ac:dyDescent="0.25">
      <c r="A594">
        <v>21720</v>
      </c>
      <c r="B594" t="s">
        <v>306</v>
      </c>
      <c r="C594" t="s">
        <v>17</v>
      </c>
      <c r="D594" s="6" t="s">
        <v>22</v>
      </c>
      <c r="E594" t="s">
        <v>102</v>
      </c>
      <c r="G594" s="6" t="s">
        <v>971</v>
      </c>
      <c r="H594" s="59" t="s">
        <v>1010</v>
      </c>
      <c r="I594" s="58" t="s">
        <v>903</v>
      </c>
      <c r="J594" t="s">
        <v>894</v>
      </c>
      <c r="K594" t="s">
        <v>845</v>
      </c>
      <c r="L594" t="s">
        <v>1038</v>
      </c>
      <c r="M594" t="s">
        <v>1163</v>
      </c>
      <c r="N594" s="57">
        <v>1300</v>
      </c>
      <c r="O594" t="s">
        <v>100</v>
      </c>
      <c r="P594" t="s">
        <v>38</v>
      </c>
      <c r="Q594" s="3">
        <v>38978</v>
      </c>
      <c r="R594" s="10">
        <f t="shared" ca="1" si="18"/>
        <v>46229</v>
      </c>
      <c r="S594" s="7">
        <f t="shared" ca="1" si="19"/>
        <v>19.865753424657534</v>
      </c>
    </row>
    <row r="595" spans="1:19" x14ac:dyDescent="0.25">
      <c r="A595">
        <v>27278</v>
      </c>
      <c r="B595" t="s">
        <v>334</v>
      </c>
      <c r="C595" t="s">
        <v>17</v>
      </c>
      <c r="D595" s="6" t="s">
        <v>22</v>
      </c>
      <c r="E595" t="s">
        <v>102</v>
      </c>
      <c r="G595" s="6" t="s">
        <v>971</v>
      </c>
      <c r="H595" s="59" t="s">
        <v>1010</v>
      </c>
      <c r="I595" s="58" t="s">
        <v>903</v>
      </c>
      <c r="J595" t="s">
        <v>894</v>
      </c>
      <c r="K595" t="s">
        <v>845</v>
      </c>
      <c r="L595" t="s">
        <v>1038</v>
      </c>
      <c r="M595" t="s">
        <v>1163</v>
      </c>
      <c r="N595" s="57">
        <v>1200</v>
      </c>
      <c r="O595" t="s">
        <v>100</v>
      </c>
      <c r="P595" t="s">
        <v>38</v>
      </c>
      <c r="Q595" s="3">
        <v>45761</v>
      </c>
      <c r="R595" s="10">
        <f t="shared" ca="1" si="18"/>
        <v>46229</v>
      </c>
      <c r="S595" s="7">
        <f t="shared" ca="1" si="19"/>
        <v>1.2821917808219179</v>
      </c>
    </row>
    <row r="596" spans="1:19" x14ac:dyDescent="0.25">
      <c r="A596">
        <v>27447</v>
      </c>
      <c r="B596" t="s">
        <v>336</v>
      </c>
      <c r="C596" t="s">
        <v>17</v>
      </c>
      <c r="D596" s="6" t="s">
        <v>22</v>
      </c>
      <c r="E596" t="s">
        <v>102</v>
      </c>
      <c r="G596" s="6" t="s">
        <v>971</v>
      </c>
      <c r="H596" s="59" t="s">
        <v>1010</v>
      </c>
      <c r="I596" s="58" t="s">
        <v>903</v>
      </c>
      <c r="J596" t="s">
        <v>894</v>
      </c>
      <c r="K596" t="s">
        <v>845</v>
      </c>
      <c r="L596" t="s">
        <v>1038</v>
      </c>
      <c r="M596" t="s">
        <v>1163</v>
      </c>
      <c r="N596" s="57">
        <v>1200</v>
      </c>
      <c r="O596" t="s">
        <v>100</v>
      </c>
      <c r="P596" t="s">
        <v>93</v>
      </c>
      <c r="Q596" s="3">
        <v>45628</v>
      </c>
      <c r="R596" s="10">
        <f t="shared" ca="1" si="18"/>
        <v>46229</v>
      </c>
      <c r="S596" s="7">
        <f t="shared" ca="1" si="19"/>
        <v>1.6465753424657534</v>
      </c>
    </row>
    <row r="597" spans="1:19" x14ac:dyDescent="0.25">
      <c r="A597">
        <v>28956</v>
      </c>
      <c r="B597" t="s">
        <v>350</v>
      </c>
      <c r="C597" t="s">
        <v>17</v>
      </c>
      <c r="D597" s="6" t="s">
        <v>22</v>
      </c>
      <c r="E597" t="s">
        <v>102</v>
      </c>
      <c r="G597" s="6" t="s">
        <v>971</v>
      </c>
      <c r="H597" s="59" t="s">
        <v>1010</v>
      </c>
      <c r="I597" s="58" t="s">
        <v>903</v>
      </c>
      <c r="J597" t="s">
        <v>894</v>
      </c>
      <c r="K597" t="s">
        <v>845</v>
      </c>
      <c r="L597" t="s">
        <v>1038</v>
      </c>
      <c r="M597" t="s">
        <v>1163</v>
      </c>
      <c r="N597" s="57">
        <v>1200</v>
      </c>
      <c r="O597" t="s">
        <v>100</v>
      </c>
      <c r="P597" t="s">
        <v>93</v>
      </c>
      <c r="Q597" s="3">
        <v>39594</v>
      </c>
      <c r="R597" s="10">
        <f t="shared" ca="1" si="18"/>
        <v>46229</v>
      </c>
      <c r="S597" s="7">
        <f t="shared" ca="1" si="19"/>
        <v>18.17808219178082</v>
      </c>
    </row>
    <row r="598" spans="1:19" x14ac:dyDescent="0.25">
      <c r="A598">
        <v>4009885</v>
      </c>
      <c r="B598" t="s">
        <v>427</v>
      </c>
      <c r="C598" t="s">
        <v>17</v>
      </c>
      <c r="D598" s="6" t="s">
        <v>22</v>
      </c>
      <c r="E598" t="s">
        <v>102</v>
      </c>
      <c r="G598" s="6" t="s">
        <v>971</v>
      </c>
      <c r="H598" s="59" t="s">
        <v>1010</v>
      </c>
      <c r="I598" s="58" t="s">
        <v>903</v>
      </c>
      <c r="J598" t="s">
        <v>894</v>
      </c>
      <c r="K598" t="s">
        <v>845</v>
      </c>
      <c r="L598" t="s">
        <v>1038</v>
      </c>
      <c r="M598" t="s">
        <v>1163</v>
      </c>
      <c r="N598" s="57">
        <v>1300</v>
      </c>
      <c r="O598" t="s">
        <v>100</v>
      </c>
      <c r="P598" t="s">
        <v>93</v>
      </c>
      <c r="Q598" s="3">
        <v>44998</v>
      </c>
      <c r="R598" s="10">
        <f t="shared" ca="1" si="18"/>
        <v>46229</v>
      </c>
      <c r="S598" s="7">
        <f t="shared" ca="1" si="19"/>
        <v>3.3726027397260272</v>
      </c>
    </row>
    <row r="599" spans="1:19" x14ac:dyDescent="0.25">
      <c r="A599">
        <v>4022432</v>
      </c>
      <c r="B599" t="s">
        <v>438</v>
      </c>
      <c r="C599" t="s">
        <v>17</v>
      </c>
      <c r="D599" s="6" t="s">
        <v>22</v>
      </c>
      <c r="E599" t="s">
        <v>102</v>
      </c>
      <c r="G599" s="6" t="s">
        <v>971</v>
      </c>
      <c r="H599" s="59" t="s">
        <v>1010</v>
      </c>
      <c r="I599" s="58" t="s">
        <v>903</v>
      </c>
      <c r="J599" t="s">
        <v>894</v>
      </c>
      <c r="K599" t="s">
        <v>845</v>
      </c>
      <c r="L599" t="s">
        <v>25</v>
      </c>
      <c r="M599" t="s">
        <v>1163</v>
      </c>
      <c r="N599" s="57">
        <v>1200</v>
      </c>
      <c r="O599" t="s">
        <v>100</v>
      </c>
      <c r="P599" t="s">
        <v>93</v>
      </c>
      <c r="Q599" s="3">
        <v>45488</v>
      </c>
      <c r="R599" s="10">
        <f t="shared" ca="1" si="18"/>
        <v>46229</v>
      </c>
      <c r="S599" s="7">
        <f t="shared" ca="1" si="19"/>
        <v>2.0301369863013701</v>
      </c>
    </row>
    <row r="600" spans="1:19" x14ac:dyDescent="0.25">
      <c r="A600">
        <v>4041165</v>
      </c>
      <c r="B600" t="s">
        <v>465</v>
      </c>
      <c r="C600" t="s">
        <v>17</v>
      </c>
      <c r="D600" s="6" t="s">
        <v>22</v>
      </c>
      <c r="E600" t="s">
        <v>54</v>
      </c>
      <c r="G600" s="6" t="s">
        <v>971</v>
      </c>
      <c r="H600" s="59" t="s">
        <v>1010</v>
      </c>
      <c r="I600" s="58" t="s">
        <v>903</v>
      </c>
      <c r="J600" t="s">
        <v>894</v>
      </c>
      <c r="K600" t="s">
        <v>845</v>
      </c>
      <c r="L600" t="s">
        <v>1038</v>
      </c>
      <c r="M600" t="s">
        <v>1163</v>
      </c>
      <c r="N600" s="57">
        <v>1500</v>
      </c>
      <c r="O600" t="s">
        <v>100</v>
      </c>
      <c r="P600" t="s">
        <v>93</v>
      </c>
      <c r="Q600" s="3">
        <v>44452</v>
      </c>
      <c r="R600" s="10">
        <f t="shared" ca="1" si="18"/>
        <v>46229</v>
      </c>
      <c r="S600" s="7">
        <f t="shared" ca="1" si="19"/>
        <v>4.8684931506849312</v>
      </c>
    </row>
    <row r="601" spans="1:19" x14ac:dyDescent="0.25">
      <c r="A601">
        <v>4041278</v>
      </c>
      <c r="B601" t="s">
        <v>1618</v>
      </c>
      <c r="C601" t="s">
        <v>1044</v>
      </c>
      <c r="D601" s="6" t="s">
        <v>22</v>
      </c>
      <c r="E601" t="s">
        <v>21</v>
      </c>
      <c r="G601" s="6" t="s">
        <v>971</v>
      </c>
      <c r="H601" s="59" t="s">
        <v>1010</v>
      </c>
      <c r="I601" s="58" t="s">
        <v>903</v>
      </c>
      <c r="J601" t="s">
        <v>894</v>
      </c>
      <c r="K601" t="s">
        <v>845</v>
      </c>
      <c r="L601" t="s">
        <v>1038</v>
      </c>
      <c r="M601" t="s">
        <v>1163</v>
      </c>
      <c r="N601" s="57">
        <v>1200</v>
      </c>
      <c r="O601" t="s">
        <v>100</v>
      </c>
      <c r="P601" t="s">
        <v>93</v>
      </c>
      <c r="Q601" s="3">
        <v>46170</v>
      </c>
      <c r="R601" s="10">
        <f t="shared" ca="1" si="18"/>
        <v>46229</v>
      </c>
      <c r="S601" s="7">
        <f t="shared" ca="1" si="19"/>
        <v>0.16164383561643836</v>
      </c>
    </row>
    <row r="602" spans="1:19" x14ac:dyDescent="0.25">
      <c r="A602">
        <v>4124197</v>
      </c>
      <c r="B602" t="s">
        <v>1662</v>
      </c>
      <c r="C602" t="s">
        <v>1044</v>
      </c>
      <c r="D602" s="6" t="s">
        <v>22</v>
      </c>
      <c r="E602" t="s">
        <v>21</v>
      </c>
      <c r="G602" s="6" t="s">
        <v>971</v>
      </c>
      <c r="H602" s="59" t="s">
        <v>1010</v>
      </c>
      <c r="I602" s="58" t="s">
        <v>903</v>
      </c>
      <c r="J602" t="s">
        <v>894</v>
      </c>
      <c r="K602" t="s">
        <v>845</v>
      </c>
      <c r="L602" t="s">
        <v>1038</v>
      </c>
      <c r="M602" t="s">
        <v>1163</v>
      </c>
      <c r="N602" s="57">
        <v>1200</v>
      </c>
      <c r="O602" t="s">
        <v>100</v>
      </c>
      <c r="P602" t="s">
        <v>93</v>
      </c>
      <c r="Q602" s="3">
        <v>46170</v>
      </c>
      <c r="R602" s="10">
        <f t="shared" ca="1" si="18"/>
        <v>46229</v>
      </c>
      <c r="S602" s="7">
        <f t="shared" ca="1" si="19"/>
        <v>0.16164383561643836</v>
      </c>
    </row>
    <row r="603" spans="1:19" x14ac:dyDescent="0.25">
      <c r="A603">
        <v>580266</v>
      </c>
      <c r="B603" t="s">
        <v>713</v>
      </c>
      <c r="C603" t="s">
        <v>17</v>
      </c>
      <c r="D603" s="6" t="s">
        <v>22</v>
      </c>
      <c r="E603" t="s">
        <v>102</v>
      </c>
      <c r="G603" s="6" t="s">
        <v>971</v>
      </c>
      <c r="H603" s="59" t="s">
        <v>1010</v>
      </c>
      <c r="I603" s="58" t="s">
        <v>903</v>
      </c>
      <c r="J603" t="s">
        <v>894</v>
      </c>
      <c r="K603" t="s">
        <v>845</v>
      </c>
      <c r="L603" t="s">
        <v>1038</v>
      </c>
      <c r="M603" t="s">
        <v>1163</v>
      </c>
      <c r="N603" s="57">
        <v>1200</v>
      </c>
      <c r="O603" t="s">
        <v>100</v>
      </c>
      <c r="P603" t="s">
        <v>93</v>
      </c>
      <c r="Q603" s="3">
        <v>45615</v>
      </c>
      <c r="R603" s="10">
        <f t="shared" ca="1" si="18"/>
        <v>46229</v>
      </c>
      <c r="S603" s="7">
        <f t="shared" ca="1" si="19"/>
        <v>1.6821917808219178</v>
      </c>
    </row>
    <row r="604" spans="1:19" x14ac:dyDescent="0.25">
      <c r="A604">
        <v>988860</v>
      </c>
      <c r="B604" t="s">
        <v>807</v>
      </c>
      <c r="C604" t="s">
        <v>17</v>
      </c>
      <c r="D604" s="6" t="s">
        <v>22</v>
      </c>
      <c r="E604" t="s">
        <v>102</v>
      </c>
      <c r="G604" s="6" t="s">
        <v>971</v>
      </c>
      <c r="H604" s="59" t="s">
        <v>1010</v>
      </c>
      <c r="I604" s="58" t="s">
        <v>903</v>
      </c>
      <c r="J604" t="s">
        <v>894</v>
      </c>
      <c r="K604" t="s">
        <v>845</v>
      </c>
      <c r="L604" t="s">
        <v>1038</v>
      </c>
      <c r="M604" t="s">
        <v>1163</v>
      </c>
      <c r="N604" s="57">
        <v>1200</v>
      </c>
      <c r="O604" t="s">
        <v>100</v>
      </c>
      <c r="P604" t="s">
        <v>93</v>
      </c>
      <c r="Q604" s="3">
        <v>45238</v>
      </c>
      <c r="R604" s="10">
        <f t="shared" ca="1" si="18"/>
        <v>46229</v>
      </c>
      <c r="S604" s="7">
        <f t="shared" ca="1" si="19"/>
        <v>2.7150684931506848</v>
      </c>
    </row>
    <row r="605" spans="1:19" x14ac:dyDescent="0.25">
      <c r="A605">
        <v>1013759</v>
      </c>
      <c r="B605" t="s">
        <v>129</v>
      </c>
      <c r="C605" t="s">
        <v>17</v>
      </c>
      <c r="D605" s="6" t="s">
        <v>22</v>
      </c>
      <c r="E605" t="s">
        <v>72</v>
      </c>
      <c r="G605" s="6" t="s">
        <v>969</v>
      </c>
      <c r="H605" s="59" t="s">
        <v>1024</v>
      </c>
      <c r="I605" s="58" t="s">
        <v>861</v>
      </c>
      <c r="J605" t="s">
        <v>832</v>
      </c>
      <c r="K605" t="s">
        <v>31</v>
      </c>
      <c r="L605" t="s">
        <v>25</v>
      </c>
      <c r="M605" t="s">
        <v>1163</v>
      </c>
      <c r="N605" s="57">
        <v>1300</v>
      </c>
      <c r="O605" t="s">
        <v>100</v>
      </c>
      <c r="P605" t="s">
        <v>93</v>
      </c>
      <c r="Q605" s="3">
        <v>45586</v>
      </c>
      <c r="R605" s="10">
        <f t="shared" ca="1" si="18"/>
        <v>46229</v>
      </c>
      <c r="S605" s="7">
        <f t="shared" ca="1" si="19"/>
        <v>1.7616438356164383</v>
      </c>
    </row>
    <row r="606" spans="1:19" x14ac:dyDescent="0.25">
      <c r="A606">
        <v>1126195</v>
      </c>
      <c r="B606" t="s">
        <v>157</v>
      </c>
      <c r="C606" t="s">
        <v>17</v>
      </c>
      <c r="D606" s="6" t="s">
        <v>22</v>
      </c>
      <c r="E606" t="s">
        <v>72</v>
      </c>
      <c r="G606" s="6" t="s">
        <v>969</v>
      </c>
      <c r="H606" s="59" t="s">
        <v>1024</v>
      </c>
      <c r="I606" s="58" t="s">
        <v>861</v>
      </c>
      <c r="J606" t="s">
        <v>832</v>
      </c>
      <c r="K606" t="s">
        <v>31</v>
      </c>
      <c r="L606" t="s">
        <v>25</v>
      </c>
      <c r="M606" t="s">
        <v>1163</v>
      </c>
      <c r="N606" s="57">
        <v>1300</v>
      </c>
      <c r="O606" t="s">
        <v>100</v>
      </c>
      <c r="P606" t="s">
        <v>93</v>
      </c>
      <c r="Q606" s="3">
        <v>44291</v>
      </c>
      <c r="R606" s="10">
        <f t="shared" ca="1" si="18"/>
        <v>46229</v>
      </c>
      <c r="S606" s="7">
        <f t="shared" ca="1" si="19"/>
        <v>5.3095890410958901</v>
      </c>
    </row>
    <row r="607" spans="1:19" x14ac:dyDescent="0.25">
      <c r="A607">
        <v>3001680</v>
      </c>
      <c r="B607" t="s">
        <v>359</v>
      </c>
      <c r="C607" t="s">
        <v>17</v>
      </c>
      <c r="D607" s="6" t="s">
        <v>22</v>
      </c>
      <c r="E607" t="s">
        <v>72</v>
      </c>
      <c r="G607" s="6" t="s">
        <v>969</v>
      </c>
      <c r="H607" s="59" t="s">
        <v>1024</v>
      </c>
      <c r="I607" s="58" t="s">
        <v>861</v>
      </c>
      <c r="J607" t="s">
        <v>832</v>
      </c>
      <c r="K607" t="s">
        <v>31</v>
      </c>
      <c r="L607" t="s">
        <v>25</v>
      </c>
      <c r="M607" t="s">
        <v>1163</v>
      </c>
      <c r="N607" s="57">
        <v>1300</v>
      </c>
      <c r="O607" t="s">
        <v>100</v>
      </c>
      <c r="P607" t="s">
        <v>93</v>
      </c>
      <c r="Q607" s="3">
        <v>43003</v>
      </c>
      <c r="R607" s="10">
        <f t="shared" ca="1" si="18"/>
        <v>46229</v>
      </c>
      <c r="S607" s="7">
        <f t="shared" ca="1" si="19"/>
        <v>8.838356164383562</v>
      </c>
    </row>
    <row r="608" spans="1:19" x14ac:dyDescent="0.25">
      <c r="A608">
        <v>32419</v>
      </c>
      <c r="B608" t="s">
        <v>389</v>
      </c>
      <c r="C608" t="s">
        <v>17</v>
      </c>
      <c r="D608" s="6" t="s">
        <v>22</v>
      </c>
      <c r="E608" t="s">
        <v>72</v>
      </c>
      <c r="G608" s="6" t="s">
        <v>969</v>
      </c>
      <c r="H608" s="59" t="s">
        <v>1024</v>
      </c>
      <c r="I608" s="58" t="s">
        <v>861</v>
      </c>
      <c r="J608" t="s">
        <v>832</v>
      </c>
      <c r="K608" t="s">
        <v>31</v>
      </c>
      <c r="L608" t="s">
        <v>25</v>
      </c>
      <c r="M608" t="s">
        <v>1163</v>
      </c>
      <c r="N608" s="57">
        <v>1300</v>
      </c>
      <c r="O608" t="s">
        <v>100</v>
      </c>
      <c r="P608" t="s">
        <v>93</v>
      </c>
      <c r="Q608" s="3">
        <v>36493</v>
      </c>
      <c r="R608" s="10">
        <f t="shared" ca="1" si="18"/>
        <v>46229</v>
      </c>
      <c r="S608" s="7">
        <f t="shared" ca="1" si="19"/>
        <v>26.673972602739727</v>
      </c>
    </row>
    <row r="609" spans="1:19" x14ac:dyDescent="0.25">
      <c r="A609">
        <v>879171</v>
      </c>
      <c r="B609" t="s">
        <v>751</v>
      </c>
      <c r="C609" t="s">
        <v>17</v>
      </c>
      <c r="D609" s="6" t="s">
        <v>22</v>
      </c>
      <c r="E609" t="s">
        <v>72</v>
      </c>
      <c r="G609" s="6" t="s">
        <v>969</v>
      </c>
      <c r="H609" s="59" t="s">
        <v>1024</v>
      </c>
      <c r="I609" s="58" t="s">
        <v>861</v>
      </c>
      <c r="J609" t="s">
        <v>832</v>
      </c>
      <c r="K609" t="s">
        <v>31</v>
      </c>
      <c r="L609" t="s">
        <v>25</v>
      </c>
      <c r="M609" t="s">
        <v>1163</v>
      </c>
      <c r="N609" s="57">
        <v>1300</v>
      </c>
      <c r="O609" t="s">
        <v>100</v>
      </c>
      <c r="P609" t="s">
        <v>93</v>
      </c>
      <c r="Q609" s="3">
        <v>44888</v>
      </c>
      <c r="R609" s="10">
        <f t="shared" ca="1" si="18"/>
        <v>46229</v>
      </c>
      <c r="S609" s="7">
        <f t="shared" ca="1" si="19"/>
        <v>3.6739726027397261</v>
      </c>
    </row>
    <row r="610" spans="1:19" x14ac:dyDescent="0.25">
      <c r="A610">
        <v>926779</v>
      </c>
      <c r="B610" t="s">
        <v>768</v>
      </c>
      <c r="C610" t="s">
        <v>17</v>
      </c>
      <c r="D610" s="6" t="s">
        <v>22</v>
      </c>
      <c r="E610" t="s">
        <v>72</v>
      </c>
      <c r="G610" s="6" t="s">
        <v>969</v>
      </c>
      <c r="H610" s="59" t="s">
        <v>1024</v>
      </c>
      <c r="I610" s="58" t="s">
        <v>861</v>
      </c>
      <c r="J610" t="s">
        <v>832</v>
      </c>
      <c r="K610" t="s">
        <v>31</v>
      </c>
      <c r="L610" t="s">
        <v>25</v>
      </c>
      <c r="M610" t="s">
        <v>1163</v>
      </c>
      <c r="N610" s="57">
        <v>1300</v>
      </c>
      <c r="O610" t="s">
        <v>100</v>
      </c>
      <c r="P610" t="s">
        <v>93</v>
      </c>
      <c r="Q610" s="3">
        <v>43318</v>
      </c>
      <c r="R610" s="10">
        <f t="shared" ca="1" si="18"/>
        <v>46229</v>
      </c>
      <c r="S610" s="7">
        <f t="shared" ca="1" si="19"/>
        <v>7.9753424657534246</v>
      </c>
    </row>
    <row r="611" spans="1:19" x14ac:dyDescent="0.25">
      <c r="A611">
        <v>964525</v>
      </c>
      <c r="B611" t="s">
        <v>787</v>
      </c>
      <c r="C611" t="s">
        <v>17</v>
      </c>
      <c r="D611" s="6" t="s">
        <v>22</v>
      </c>
      <c r="E611" t="s">
        <v>72</v>
      </c>
      <c r="G611" s="6" t="s">
        <v>969</v>
      </c>
      <c r="H611" s="59" t="s">
        <v>1024</v>
      </c>
      <c r="I611" s="58" t="s">
        <v>861</v>
      </c>
      <c r="J611" t="s">
        <v>832</v>
      </c>
      <c r="K611" t="s">
        <v>31</v>
      </c>
      <c r="L611" t="s">
        <v>25</v>
      </c>
      <c r="M611" t="s">
        <v>1163</v>
      </c>
      <c r="N611" s="57">
        <v>1300</v>
      </c>
      <c r="O611" t="s">
        <v>100</v>
      </c>
      <c r="P611" t="s">
        <v>93</v>
      </c>
      <c r="Q611" s="3">
        <v>45593</v>
      </c>
      <c r="R611" s="10">
        <f t="shared" ca="1" si="18"/>
        <v>46229</v>
      </c>
      <c r="S611" s="7">
        <f t="shared" ca="1" si="19"/>
        <v>1.7424657534246575</v>
      </c>
    </row>
    <row r="612" spans="1:19" x14ac:dyDescent="0.25">
      <c r="A612">
        <v>4040340</v>
      </c>
      <c r="B612" t="s">
        <v>461</v>
      </c>
      <c r="C612" t="s">
        <v>17</v>
      </c>
      <c r="D612" s="6" t="s">
        <v>22</v>
      </c>
      <c r="E612" t="s">
        <v>21</v>
      </c>
      <c r="G612" s="6" t="s">
        <v>968</v>
      </c>
      <c r="H612" s="59" t="s">
        <v>1027</v>
      </c>
      <c r="I612" s="58" t="s">
        <v>905</v>
      </c>
      <c r="J612" t="s">
        <v>847</v>
      </c>
      <c r="K612" t="s">
        <v>830</v>
      </c>
      <c r="L612" t="s">
        <v>25</v>
      </c>
      <c r="M612" t="s">
        <v>1163</v>
      </c>
      <c r="N612" s="57">
        <v>1200</v>
      </c>
      <c r="O612" t="s">
        <v>100</v>
      </c>
      <c r="P612" t="s">
        <v>93</v>
      </c>
      <c r="Q612" s="3">
        <v>45561</v>
      </c>
      <c r="R612" s="10">
        <f t="shared" ca="1" si="18"/>
        <v>46229</v>
      </c>
      <c r="S612" s="7">
        <f t="shared" ca="1" si="19"/>
        <v>1.8301369863013699</v>
      </c>
    </row>
    <row r="613" spans="1:19" x14ac:dyDescent="0.25">
      <c r="A613">
        <v>4049189</v>
      </c>
      <c r="B613" t="s">
        <v>1112</v>
      </c>
      <c r="C613" t="s">
        <v>17</v>
      </c>
      <c r="D613" s="6" t="s">
        <v>22</v>
      </c>
      <c r="E613" t="s">
        <v>21</v>
      </c>
      <c r="G613" s="6" t="s">
        <v>968</v>
      </c>
      <c r="H613" s="59" t="s">
        <v>1027</v>
      </c>
      <c r="I613" s="58" t="s">
        <v>905</v>
      </c>
      <c r="J613" t="s">
        <v>847</v>
      </c>
      <c r="K613" t="s">
        <v>830</v>
      </c>
      <c r="L613" t="s">
        <v>25</v>
      </c>
      <c r="M613" t="s">
        <v>1163</v>
      </c>
      <c r="N613" s="57">
        <v>1200</v>
      </c>
      <c r="O613" t="s">
        <v>100</v>
      </c>
      <c r="P613" t="s">
        <v>93</v>
      </c>
      <c r="Q613" s="3">
        <v>46079</v>
      </c>
      <c r="R613" s="10">
        <f t="shared" ca="1" si="18"/>
        <v>46229</v>
      </c>
      <c r="S613" s="7">
        <f t="shared" ca="1" si="19"/>
        <v>0.41095890410958902</v>
      </c>
    </row>
    <row r="614" spans="1:19" x14ac:dyDescent="0.25">
      <c r="A614">
        <v>4054359</v>
      </c>
      <c r="B614" t="s">
        <v>485</v>
      </c>
      <c r="C614" t="s">
        <v>17</v>
      </c>
      <c r="D614" s="6" t="s">
        <v>22</v>
      </c>
      <c r="E614" t="s">
        <v>21</v>
      </c>
      <c r="G614" s="6" t="s">
        <v>968</v>
      </c>
      <c r="H614" s="59" t="s">
        <v>1027</v>
      </c>
      <c r="I614" s="58" t="s">
        <v>905</v>
      </c>
      <c r="J614" t="s">
        <v>847</v>
      </c>
      <c r="K614" t="s">
        <v>830</v>
      </c>
      <c r="L614" t="s">
        <v>25</v>
      </c>
      <c r="M614" t="s">
        <v>1163</v>
      </c>
      <c r="N614" s="57">
        <v>1200</v>
      </c>
      <c r="O614" t="s">
        <v>100</v>
      </c>
      <c r="P614" t="s">
        <v>93</v>
      </c>
      <c r="Q614" s="3">
        <v>44637</v>
      </c>
      <c r="R614" s="10">
        <f t="shared" ca="1" si="18"/>
        <v>46229</v>
      </c>
      <c r="S614" s="7">
        <f t="shared" ca="1" si="19"/>
        <v>4.3616438356164382</v>
      </c>
    </row>
    <row r="615" spans="1:19" x14ac:dyDescent="0.25">
      <c r="A615">
        <v>4056111</v>
      </c>
      <c r="B615" t="s">
        <v>491</v>
      </c>
      <c r="C615" t="s">
        <v>17</v>
      </c>
      <c r="D615" s="6" t="s">
        <v>22</v>
      </c>
      <c r="E615" t="s">
        <v>21</v>
      </c>
      <c r="G615" s="6" t="s">
        <v>968</v>
      </c>
      <c r="H615" s="59" t="s">
        <v>1027</v>
      </c>
      <c r="I615" s="58" t="s">
        <v>905</v>
      </c>
      <c r="J615" t="s">
        <v>847</v>
      </c>
      <c r="K615" t="s">
        <v>830</v>
      </c>
      <c r="L615" t="s">
        <v>25</v>
      </c>
      <c r="M615" t="s">
        <v>1163</v>
      </c>
      <c r="N615" s="57">
        <v>1200</v>
      </c>
      <c r="O615" t="s">
        <v>100</v>
      </c>
      <c r="P615" t="s">
        <v>93</v>
      </c>
      <c r="Q615" s="3">
        <v>44663</v>
      </c>
      <c r="R615" s="10">
        <f t="shared" ca="1" si="18"/>
        <v>46229</v>
      </c>
      <c r="S615" s="7">
        <f t="shared" ca="1" si="19"/>
        <v>4.2904109589041095</v>
      </c>
    </row>
    <row r="616" spans="1:19" x14ac:dyDescent="0.25">
      <c r="A616">
        <v>4064063</v>
      </c>
      <c r="B616" t="s">
        <v>507</v>
      </c>
      <c r="C616" t="s">
        <v>17</v>
      </c>
      <c r="D616" s="6" t="s">
        <v>22</v>
      </c>
      <c r="E616" t="s">
        <v>21</v>
      </c>
      <c r="G616" s="6" t="s">
        <v>968</v>
      </c>
      <c r="H616" s="59" t="s">
        <v>1027</v>
      </c>
      <c r="I616" s="58" t="s">
        <v>905</v>
      </c>
      <c r="J616" t="s">
        <v>847</v>
      </c>
      <c r="K616" t="s">
        <v>830</v>
      </c>
      <c r="L616" t="s">
        <v>25</v>
      </c>
      <c r="M616" t="s">
        <v>1163</v>
      </c>
      <c r="N616" s="57">
        <v>1200</v>
      </c>
      <c r="O616" t="s">
        <v>100</v>
      </c>
      <c r="P616" t="s">
        <v>93</v>
      </c>
      <c r="Q616" s="3">
        <v>45565</v>
      </c>
      <c r="R616" s="10">
        <f t="shared" ca="1" si="18"/>
        <v>46229</v>
      </c>
      <c r="S616" s="7">
        <f t="shared" ca="1" si="19"/>
        <v>1.8191780821917809</v>
      </c>
    </row>
    <row r="617" spans="1:19" x14ac:dyDescent="0.25">
      <c r="A617">
        <v>4064441</v>
      </c>
      <c r="B617" t="s">
        <v>509</v>
      </c>
      <c r="C617" t="s">
        <v>17</v>
      </c>
      <c r="D617" s="6" t="s">
        <v>22</v>
      </c>
      <c r="E617" t="s">
        <v>21</v>
      </c>
      <c r="G617" s="6" t="s">
        <v>968</v>
      </c>
      <c r="H617" s="59" t="s">
        <v>1027</v>
      </c>
      <c r="I617" s="58" t="s">
        <v>905</v>
      </c>
      <c r="J617" t="s">
        <v>847</v>
      </c>
      <c r="K617" t="s">
        <v>830</v>
      </c>
      <c r="L617" t="s">
        <v>25</v>
      </c>
      <c r="M617" t="s">
        <v>1163</v>
      </c>
      <c r="N617" s="57">
        <v>1200</v>
      </c>
      <c r="O617" t="s">
        <v>100</v>
      </c>
      <c r="P617" t="s">
        <v>20</v>
      </c>
      <c r="Q617" s="3">
        <v>45708</v>
      </c>
      <c r="R617" s="10">
        <f t="shared" ca="1" si="18"/>
        <v>46229</v>
      </c>
      <c r="S617" s="7">
        <f t="shared" ca="1" si="19"/>
        <v>1.4273972602739726</v>
      </c>
    </row>
    <row r="618" spans="1:19" x14ac:dyDescent="0.25">
      <c r="A618">
        <v>4079538</v>
      </c>
      <c r="B618" t="s">
        <v>549</v>
      </c>
      <c r="C618" t="s">
        <v>17</v>
      </c>
      <c r="D618" s="6" t="s">
        <v>22</v>
      </c>
      <c r="E618" t="s">
        <v>21</v>
      </c>
      <c r="G618" s="6" t="s">
        <v>968</v>
      </c>
      <c r="H618" s="59" t="s">
        <v>1027</v>
      </c>
      <c r="I618" s="58" t="s">
        <v>905</v>
      </c>
      <c r="J618" t="s">
        <v>847</v>
      </c>
      <c r="K618" t="s">
        <v>830</v>
      </c>
      <c r="L618" t="s">
        <v>25</v>
      </c>
      <c r="M618" t="s">
        <v>1163</v>
      </c>
      <c r="N618" s="57">
        <v>1200</v>
      </c>
      <c r="O618" t="s">
        <v>100</v>
      </c>
      <c r="P618" t="s">
        <v>93</v>
      </c>
      <c r="Q618" s="3">
        <v>44952</v>
      </c>
      <c r="R618" s="10">
        <f t="shared" ca="1" si="18"/>
        <v>46229</v>
      </c>
      <c r="S618" s="7">
        <f t="shared" ca="1" si="19"/>
        <v>3.4986301369863013</v>
      </c>
    </row>
    <row r="619" spans="1:19" x14ac:dyDescent="0.25">
      <c r="A619">
        <v>4089792</v>
      </c>
      <c r="B619" t="s">
        <v>572</v>
      </c>
      <c r="C619" t="s">
        <v>17</v>
      </c>
      <c r="D619" s="6" t="s">
        <v>22</v>
      </c>
      <c r="E619" t="s">
        <v>21</v>
      </c>
      <c r="G619" s="6" t="s">
        <v>968</v>
      </c>
      <c r="H619" s="59" t="s">
        <v>1027</v>
      </c>
      <c r="I619" s="58" t="s">
        <v>905</v>
      </c>
      <c r="J619" t="s">
        <v>847</v>
      </c>
      <c r="K619" t="s">
        <v>830</v>
      </c>
      <c r="L619" t="s">
        <v>25</v>
      </c>
      <c r="M619" t="s">
        <v>1163</v>
      </c>
      <c r="N619" s="57">
        <v>1200</v>
      </c>
      <c r="O619" t="s">
        <v>100</v>
      </c>
      <c r="P619" t="s">
        <v>93</v>
      </c>
      <c r="Q619" s="3">
        <v>45670</v>
      </c>
      <c r="R619" s="10">
        <f t="shared" ca="1" si="18"/>
        <v>46229</v>
      </c>
      <c r="S619" s="7">
        <f t="shared" ca="1" si="19"/>
        <v>1.5315068493150685</v>
      </c>
    </row>
    <row r="620" spans="1:19" x14ac:dyDescent="0.25">
      <c r="A620">
        <v>4094657</v>
      </c>
      <c r="B620" t="s">
        <v>581</v>
      </c>
      <c r="C620" t="s">
        <v>17</v>
      </c>
      <c r="D620" s="6" t="s">
        <v>22</v>
      </c>
      <c r="E620" t="s">
        <v>21</v>
      </c>
      <c r="G620" s="6" t="s">
        <v>968</v>
      </c>
      <c r="H620" s="59" t="s">
        <v>1027</v>
      </c>
      <c r="I620" s="58" t="s">
        <v>905</v>
      </c>
      <c r="J620" t="s">
        <v>847</v>
      </c>
      <c r="K620" t="s">
        <v>830</v>
      </c>
      <c r="L620" t="s">
        <v>25</v>
      </c>
      <c r="M620" t="s">
        <v>1163</v>
      </c>
      <c r="N620" s="57">
        <v>1200</v>
      </c>
      <c r="O620" t="s">
        <v>100</v>
      </c>
      <c r="P620" t="s">
        <v>93</v>
      </c>
      <c r="Q620" s="3">
        <v>45166</v>
      </c>
      <c r="R620" s="10">
        <f t="shared" ca="1" si="18"/>
        <v>46229</v>
      </c>
      <c r="S620" s="7">
        <f t="shared" ca="1" si="19"/>
        <v>2.9123287671232876</v>
      </c>
    </row>
    <row r="621" spans="1:19" x14ac:dyDescent="0.25">
      <c r="A621">
        <v>4098072</v>
      </c>
      <c r="B621" t="s">
        <v>1170</v>
      </c>
      <c r="C621" t="s">
        <v>17</v>
      </c>
      <c r="D621" s="6" t="s">
        <v>22</v>
      </c>
      <c r="E621" t="s">
        <v>21</v>
      </c>
      <c r="G621" s="6" t="s">
        <v>968</v>
      </c>
      <c r="H621" s="59" t="s">
        <v>1027</v>
      </c>
      <c r="I621" s="58" t="s">
        <v>905</v>
      </c>
      <c r="J621" t="s">
        <v>847</v>
      </c>
      <c r="K621" t="s">
        <v>830</v>
      </c>
      <c r="L621" t="s">
        <v>25</v>
      </c>
      <c r="M621" t="s">
        <v>1163</v>
      </c>
      <c r="N621" s="57">
        <v>1200</v>
      </c>
      <c r="O621" t="s">
        <v>100</v>
      </c>
      <c r="P621" t="s">
        <v>93</v>
      </c>
      <c r="Q621" s="3">
        <v>46093</v>
      </c>
      <c r="R621" s="10">
        <f t="shared" ca="1" si="18"/>
        <v>46229</v>
      </c>
      <c r="S621" s="7">
        <f t="shared" ca="1" si="19"/>
        <v>0.37260273972602742</v>
      </c>
    </row>
    <row r="622" spans="1:19" x14ac:dyDescent="0.25">
      <c r="A622">
        <v>4100899</v>
      </c>
      <c r="B622" t="s">
        <v>613</v>
      </c>
      <c r="C622" t="s">
        <v>17</v>
      </c>
      <c r="D622" s="6" t="s">
        <v>22</v>
      </c>
      <c r="E622" t="s">
        <v>21</v>
      </c>
      <c r="G622" s="6" t="s">
        <v>968</v>
      </c>
      <c r="H622" s="59" t="s">
        <v>1027</v>
      </c>
      <c r="I622" s="58" t="s">
        <v>905</v>
      </c>
      <c r="J622" t="s">
        <v>847</v>
      </c>
      <c r="K622" t="s">
        <v>830</v>
      </c>
      <c r="L622" t="s">
        <v>25</v>
      </c>
      <c r="M622" t="s">
        <v>1163</v>
      </c>
      <c r="N622" s="57">
        <v>1200</v>
      </c>
      <c r="O622" t="s">
        <v>100</v>
      </c>
      <c r="P622" t="s">
        <v>93</v>
      </c>
      <c r="Q622" s="3">
        <v>45442</v>
      </c>
      <c r="R622" s="10">
        <f t="shared" ca="1" si="18"/>
        <v>46229</v>
      </c>
      <c r="S622" s="7">
        <f t="shared" ca="1" si="19"/>
        <v>2.1561643835616437</v>
      </c>
    </row>
    <row r="623" spans="1:19" x14ac:dyDescent="0.25">
      <c r="A623">
        <v>4105804</v>
      </c>
      <c r="B623" t="s">
        <v>654</v>
      </c>
      <c r="C623" t="s">
        <v>17</v>
      </c>
      <c r="D623" s="6" t="s">
        <v>22</v>
      </c>
      <c r="E623" t="s">
        <v>21</v>
      </c>
      <c r="G623" s="6" t="s">
        <v>968</v>
      </c>
      <c r="H623" s="59" t="s">
        <v>1027</v>
      </c>
      <c r="I623" s="58" t="s">
        <v>905</v>
      </c>
      <c r="J623" t="s">
        <v>847</v>
      </c>
      <c r="K623" t="s">
        <v>830</v>
      </c>
      <c r="L623" t="s">
        <v>1038</v>
      </c>
      <c r="M623" t="s">
        <v>1163</v>
      </c>
      <c r="N623" s="57">
        <v>1200</v>
      </c>
      <c r="O623" t="s">
        <v>100</v>
      </c>
      <c r="P623" t="s">
        <v>93</v>
      </c>
      <c r="Q623" s="3">
        <v>45565</v>
      </c>
      <c r="R623" s="10">
        <f t="shared" ca="1" si="18"/>
        <v>46229</v>
      </c>
      <c r="S623" s="7">
        <f t="shared" ca="1" si="19"/>
        <v>1.8191780821917809</v>
      </c>
    </row>
    <row r="624" spans="1:19" x14ac:dyDescent="0.25">
      <c r="A624">
        <v>4112481</v>
      </c>
      <c r="B624" t="s">
        <v>677</v>
      </c>
      <c r="C624" t="s">
        <v>17</v>
      </c>
      <c r="D624" s="6" t="s">
        <v>22</v>
      </c>
      <c r="E624" t="s">
        <v>21</v>
      </c>
      <c r="G624" s="6" t="s">
        <v>968</v>
      </c>
      <c r="H624" s="59" t="s">
        <v>1027</v>
      </c>
      <c r="I624" s="58" t="s">
        <v>905</v>
      </c>
      <c r="J624" t="s">
        <v>847</v>
      </c>
      <c r="K624" t="s">
        <v>830</v>
      </c>
      <c r="L624" t="s">
        <v>25</v>
      </c>
      <c r="M624" t="s">
        <v>1163</v>
      </c>
      <c r="N624" s="57">
        <v>1200</v>
      </c>
      <c r="O624" t="s">
        <v>100</v>
      </c>
      <c r="P624" t="s">
        <v>93</v>
      </c>
      <c r="Q624" s="3">
        <v>45698</v>
      </c>
      <c r="R624" s="10">
        <f t="shared" ca="1" si="18"/>
        <v>46229</v>
      </c>
      <c r="S624" s="7">
        <f t="shared" ca="1" si="19"/>
        <v>1.4547945205479451</v>
      </c>
    </row>
    <row r="625" spans="1:19" x14ac:dyDescent="0.25">
      <c r="A625">
        <v>4112486</v>
      </c>
      <c r="B625" t="s">
        <v>678</v>
      </c>
      <c r="C625" t="s">
        <v>17</v>
      </c>
      <c r="D625" s="6" t="s">
        <v>22</v>
      </c>
      <c r="E625" t="s">
        <v>21</v>
      </c>
      <c r="G625" s="6" t="s">
        <v>968</v>
      </c>
      <c r="H625" s="59" t="s">
        <v>1027</v>
      </c>
      <c r="I625" s="58" t="s">
        <v>905</v>
      </c>
      <c r="J625" t="s">
        <v>847</v>
      </c>
      <c r="K625" t="s">
        <v>830</v>
      </c>
      <c r="L625" t="s">
        <v>25</v>
      </c>
      <c r="M625" t="s">
        <v>1163</v>
      </c>
      <c r="N625" s="57">
        <v>1200</v>
      </c>
      <c r="O625" t="s">
        <v>100</v>
      </c>
      <c r="P625" t="s">
        <v>93</v>
      </c>
      <c r="Q625" s="3">
        <v>45698</v>
      </c>
      <c r="R625" s="10">
        <f t="shared" ca="1" si="18"/>
        <v>46229</v>
      </c>
      <c r="S625" s="7">
        <f t="shared" ca="1" si="19"/>
        <v>1.4547945205479451</v>
      </c>
    </row>
    <row r="626" spans="1:19" x14ac:dyDescent="0.25">
      <c r="A626">
        <v>4116536</v>
      </c>
      <c r="B626" t="s">
        <v>1649</v>
      </c>
      <c r="C626" t="s">
        <v>1044</v>
      </c>
      <c r="D626" s="6" t="s">
        <v>22</v>
      </c>
      <c r="E626" t="s">
        <v>21</v>
      </c>
      <c r="G626" s="6" t="s">
        <v>968</v>
      </c>
      <c r="H626" s="59" t="s">
        <v>1027</v>
      </c>
      <c r="I626" s="58" t="s">
        <v>905</v>
      </c>
      <c r="J626" t="s">
        <v>847</v>
      </c>
      <c r="K626" t="s">
        <v>830</v>
      </c>
      <c r="L626" t="s">
        <v>25</v>
      </c>
      <c r="M626" t="s">
        <v>1163</v>
      </c>
      <c r="N626" s="57">
        <v>1200</v>
      </c>
      <c r="O626" t="s">
        <v>100</v>
      </c>
      <c r="P626" t="s">
        <v>93</v>
      </c>
      <c r="Q626" s="3">
        <v>46170</v>
      </c>
      <c r="R626" s="10">
        <f t="shared" ca="1" si="18"/>
        <v>46229</v>
      </c>
      <c r="S626" s="7">
        <f t="shared" ca="1" si="19"/>
        <v>0.16164383561643836</v>
      </c>
    </row>
    <row r="627" spans="1:19" x14ac:dyDescent="0.25">
      <c r="A627">
        <v>4122794</v>
      </c>
      <c r="B627" t="s">
        <v>1320</v>
      </c>
      <c r="C627" t="s">
        <v>1044</v>
      </c>
      <c r="D627" s="6" t="s">
        <v>22</v>
      </c>
      <c r="E627" t="s">
        <v>21</v>
      </c>
      <c r="G627" s="6" t="s">
        <v>968</v>
      </c>
      <c r="H627" s="59" t="s">
        <v>1027</v>
      </c>
      <c r="I627" s="58" t="s">
        <v>905</v>
      </c>
      <c r="J627" t="s">
        <v>847</v>
      </c>
      <c r="K627" t="s">
        <v>830</v>
      </c>
      <c r="L627" t="s">
        <v>25</v>
      </c>
      <c r="M627" t="s">
        <v>1163</v>
      </c>
      <c r="N627" s="57">
        <v>1200</v>
      </c>
      <c r="O627" t="s">
        <v>100</v>
      </c>
      <c r="P627" t="s">
        <v>93</v>
      </c>
      <c r="Q627" s="3">
        <v>46121</v>
      </c>
      <c r="R627" s="10">
        <f t="shared" ca="1" si="18"/>
        <v>46229</v>
      </c>
      <c r="S627" s="7">
        <f t="shared" ca="1" si="19"/>
        <v>0.29589041095890412</v>
      </c>
    </row>
    <row r="628" spans="1:19" x14ac:dyDescent="0.25">
      <c r="A628">
        <v>4122795</v>
      </c>
      <c r="B628" t="s">
        <v>1321</v>
      </c>
      <c r="C628" t="s">
        <v>1044</v>
      </c>
      <c r="D628" s="6" t="s">
        <v>22</v>
      </c>
      <c r="E628" t="s">
        <v>21</v>
      </c>
      <c r="G628" s="6" t="s">
        <v>968</v>
      </c>
      <c r="H628" s="59" t="s">
        <v>1027</v>
      </c>
      <c r="I628" s="58" t="s">
        <v>905</v>
      </c>
      <c r="J628" t="s">
        <v>847</v>
      </c>
      <c r="K628" t="s">
        <v>830</v>
      </c>
      <c r="L628" t="s">
        <v>25</v>
      </c>
      <c r="M628" t="s">
        <v>1163</v>
      </c>
      <c r="N628" s="57">
        <v>1200</v>
      </c>
      <c r="O628" t="s">
        <v>100</v>
      </c>
      <c r="P628" t="s">
        <v>93</v>
      </c>
      <c r="Q628" s="3">
        <v>46121</v>
      </c>
      <c r="R628" s="10">
        <f t="shared" ca="1" si="18"/>
        <v>46229</v>
      </c>
      <c r="S628" s="7">
        <f t="shared" ca="1" si="19"/>
        <v>0.29589041095890412</v>
      </c>
    </row>
    <row r="629" spans="1:19" x14ac:dyDescent="0.25">
      <c r="A629">
        <v>4124202</v>
      </c>
      <c r="B629" t="s">
        <v>1667</v>
      </c>
      <c r="C629" t="s">
        <v>1044</v>
      </c>
      <c r="D629" s="6" t="s">
        <v>22</v>
      </c>
      <c r="E629" t="s">
        <v>21</v>
      </c>
      <c r="G629" s="6" t="s">
        <v>968</v>
      </c>
      <c r="H629" s="59" t="s">
        <v>1027</v>
      </c>
      <c r="I629" s="58" t="s">
        <v>905</v>
      </c>
      <c r="J629" t="s">
        <v>847</v>
      </c>
      <c r="K629" t="s">
        <v>830</v>
      </c>
      <c r="L629" t="s">
        <v>25</v>
      </c>
      <c r="M629" t="s">
        <v>1163</v>
      </c>
      <c r="N629" s="57">
        <v>1200</v>
      </c>
      <c r="O629" t="s">
        <v>100</v>
      </c>
      <c r="P629" t="s">
        <v>93</v>
      </c>
      <c r="Q629" s="3">
        <v>46170</v>
      </c>
      <c r="R629" s="10">
        <f t="shared" ca="1" si="18"/>
        <v>46229</v>
      </c>
      <c r="S629" s="7">
        <f t="shared" ca="1" si="19"/>
        <v>0.16164383561643836</v>
      </c>
    </row>
    <row r="630" spans="1:19" x14ac:dyDescent="0.25">
      <c r="A630">
        <v>4124203</v>
      </c>
      <c r="B630" t="s">
        <v>1668</v>
      </c>
      <c r="C630" t="s">
        <v>1044</v>
      </c>
      <c r="D630" s="6" t="s">
        <v>22</v>
      </c>
      <c r="E630" t="s">
        <v>21</v>
      </c>
      <c r="G630" s="6" t="s">
        <v>968</v>
      </c>
      <c r="H630" s="59" t="s">
        <v>1027</v>
      </c>
      <c r="I630" s="58" t="s">
        <v>905</v>
      </c>
      <c r="J630" t="s">
        <v>847</v>
      </c>
      <c r="K630" t="s">
        <v>830</v>
      </c>
      <c r="L630" t="s">
        <v>25</v>
      </c>
      <c r="M630" t="s">
        <v>1163</v>
      </c>
      <c r="N630" s="57">
        <v>1200</v>
      </c>
      <c r="O630" t="s">
        <v>100</v>
      </c>
      <c r="P630" t="s">
        <v>93</v>
      </c>
      <c r="Q630" s="3">
        <v>46170</v>
      </c>
      <c r="R630" s="10">
        <f t="shared" ca="1" si="18"/>
        <v>46229</v>
      </c>
      <c r="S630" s="7">
        <f t="shared" ca="1" si="19"/>
        <v>0.16164383561643836</v>
      </c>
    </row>
    <row r="631" spans="1:19" x14ac:dyDescent="0.25">
      <c r="A631">
        <v>4124204</v>
      </c>
      <c r="B631" t="s">
        <v>1669</v>
      </c>
      <c r="C631" t="s">
        <v>1044</v>
      </c>
      <c r="D631" s="6" t="s">
        <v>22</v>
      </c>
      <c r="E631" t="s">
        <v>21</v>
      </c>
      <c r="G631" s="6" t="s">
        <v>968</v>
      </c>
      <c r="H631" s="59" t="s">
        <v>1027</v>
      </c>
      <c r="I631" s="58" t="s">
        <v>905</v>
      </c>
      <c r="J631" t="s">
        <v>847</v>
      </c>
      <c r="K631" t="s">
        <v>830</v>
      </c>
      <c r="L631" t="s">
        <v>25</v>
      </c>
      <c r="M631" t="s">
        <v>1163</v>
      </c>
      <c r="N631" s="57">
        <v>1200</v>
      </c>
      <c r="O631" t="s">
        <v>100</v>
      </c>
      <c r="P631" t="s">
        <v>93</v>
      </c>
      <c r="Q631" s="3">
        <v>46170</v>
      </c>
      <c r="R631" s="10">
        <f t="shared" ca="1" si="18"/>
        <v>46229</v>
      </c>
      <c r="S631" s="7">
        <f t="shared" ca="1" si="19"/>
        <v>0.16164383561643836</v>
      </c>
    </row>
    <row r="632" spans="1:19" x14ac:dyDescent="0.25">
      <c r="A632">
        <v>579932</v>
      </c>
      <c r="B632" t="s">
        <v>712</v>
      </c>
      <c r="C632" t="s">
        <v>17</v>
      </c>
      <c r="D632" s="6" t="s">
        <v>22</v>
      </c>
      <c r="E632" t="s">
        <v>21</v>
      </c>
      <c r="G632" s="6" t="s">
        <v>968</v>
      </c>
      <c r="H632" s="59" t="s">
        <v>1027</v>
      </c>
      <c r="I632" s="58" t="s">
        <v>905</v>
      </c>
      <c r="J632" t="s">
        <v>847</v>
      </c>
      <c r="K632" t="s">
        <v>830</v>
      </c>
      <c r="L632" t="s">
        <v>25</v>
      </c>
      <c r="M632" t="s">
        <v>1163</v>
      </c>
      <c r="N632" s="57">
        <v>1200</v>
      </c>
      <c r="O632" t="s">
        <v>100</v>
      </c>
      <c r="P632" t="s">
        <v>93</v>
      </c>
      <c r="Q632" s="3">
        <v>44893</v>
      </c>
      <c r="R632" s="10">
        <f t="shared" ca="1" si="18"/>
        <v>46229</v>
      </c>
      <c r="S632" s="7">
        <f t="shared" ca="1" si="19"/>
        <v>3.6602739726027398</v>
      </c>
    </row>
    <row r="633" spans="1:19" x14ac:dyDescent="0.25">
      <c r="A633">
        <v>583290</v>
      </c>
      <c r="B633" t="s">
        <v>716</v>
      </c>
      <c r="C633" t="s">
        <v>17</v>
      </c>
      <c r="D633" s="6" t="s">
        <v>22</v>
      </c>
      <c r="E633" t="s">
        <v>21</v>
      </c>
      <c r="G633" s="6" t="s">
        <v>968</v>
      </c>
      <c r="H633" s="59" t="s">
        <v>1027</v>
      </c>
      <c r="I633" s="58" t="s">
        <v>905</v>
      </c>
      <c r="J633" t="s">
        <v>847</v>
      </c>
      <c r="K633" t="s">
        <v>830</v>
      </c>
      <c r="L633" t="s">
        <v>25</v>
      </c>
      <c r="M633" t="s">
        <v>1163</v>
      </c>
      <c r="N633" s="57">
        <v>1200</v>
      </c>
      <c r="O633" t="s">
        <v>100</v>
      </c>
      <c r="P633" t="s">
        <v>93</v>
      </c>
      <c r="Q633" s="3">
        <v>45474</v>
      </c>
      <c r="R633" s="10">
        <f t="shared" ca="1" si="18"/>
        <v>46229</v>
      </c>
      <c r="S633" s="7">
        <f t="shared" ca="1" si="19"/>
        <v>2.0684931506849313</v>
      </c>
    </row>
    <row r="634" spans="1:19" x14ac:dyDescent="0.25">
      <c r="A634">
        <v>836219</v>
      </c>
      <c r="B634" t="s">
        <v>1162</v>
      </c>
      <c r="C634" t="s">
        <v>17</v>
      </c>
      <c r="D634" s="6" t="s">
        <v>22</v>
      </c>
      <c r="E634" t="s">
        <v>21</v>
      </c>
      <c r="G634" s="6" t="s">
        <v>968</v>
      </c>
      <c r="H634" s="59" t="s">
        <v>1027</v>
      </c>
      <c r="I634" s="58" t="s">
        <v>905</v>
      </c>
      <c r="J634" t="s">
        <v>847</v>
      </c>
      <c r="K634" t="s">
        <v>830</v>
      </c>
      <c r="L634" t="s">
        <v>25</v>
      </c>
      <c r="M634" t="s">
        <v>1163</v>
      </c>
      <c r="N634" s="57">
        <v>1200</v>
      </c>
      <c r="O634" t="s">
        <v>100</v>
      </c>
      <c r="P634" t="s">
        <v>93</v>
      </c>
      <c r="Q634" s="3">
        <v>46090</v>
      </c>
      <c r="R634" s="10">
        <f t="shared" ca="1" si="18"/>
        <v>46229</v>
      </c>
      <c r="S634" s="7">
        <f t="shared" ca="1" si="19"/>
        <v>0.38082191780821917</v>
      </c>
    </row>
    <row r="635" spans="1:19" x14ac:dyDescent="0.25">
      <c r="A635">
        <v>994795</v>
      </c>
      <c r="B635" t="s">
        <v>814</v>
      </c>
      <c r="C635" t="s">
        <v>17</v>
      </c>
      <c r="D635" s="6" t="s">
        <v>22</v>
      </c>
      <c r="E635" t="s">
        <v>21</v>
      </c>
      <c r="G635" s="6" t="s">
        <v>968</v>
      </c>
      <c r="H635" s="59" t="s">
        <v>1027</v>
      </c>
      <c r="I635" s="58" t="s">
        <v>905</v>
      </c>
      <c r="J635" t="s">
        <v>847</v>
      </c>
      <c r="K635" t="s">
        <v>830</v>
      </c>
      <c r="L635" t="s">
        <v>25</v>
      </c>
      <c r="M635" t="s">
        <v>1163</v>
      </c>
      <c r="N635" s="57">
        <v>1200</v>
      </c>
      <c r="O635" t="s">
        <v>100</v>
      </c>
      <c r="P635" t="s">
        <v>93</v>
      </c>
      <c r="Q635" s="3">
        <v>45761</v>
      </c>
      <c r="R635" s="10">
        <f t="shared" ca="1" si="18"/>
        <v>46229</v>
      </c>
      <c r="S635" s="7">
        <f t="shared" ca="1" si="19"/>
        <v>1.2821917808219179</v>
      </c>
    </row>
    <row r="636" spans="1:19" x14ac:dyDescent="0.25">
      <c r="A636">
        <v>32943</v>
      </c>
      <c r="B636" t="s">
        <v>1444</v>
      </c>
      <c r="C636" t="s">
        <v>17</v>
      </c>
      <c r="D636" s="6" t="s">
        <v>22</v>
      </c>
      <c r="E636" t="s">
        <v>71</v>
      </c>
      <c r="G636" s="6" t="s">
        <v>970</v>
      </c>
      <c r="H636" s="59" t="s">
        <v>1031</v>
      </c>
      <c r="I636" s="58" t="s">
        <v>1836</v>
      </c>
      <c r="J636" t="s">
        <v>1532</v>
      </c>
      <c r="K636" t="s">
        <v>837</v>
      </c>
      <c r="L636" t="s">
        <v>966</v>
      </c>
      <c r="M636" t="s">
        <v>1163</v>
      </c>
      <c r="N636" s="57">
        <v>1400</v>
      </c>
      <c r="O636" t="s">
        <v>100</v>
      </c>
      <c r="P636" t="s">
        <v>93</v>
      </c>
      <c r="Q636" s="3">
        <v>39139</v>
      </c>
      <c r="R636" s="10">
        <f t="shared" ca="1" si="18"/>
        <v>46229</v>
      </c>
      <c r="S636" s="7">
        <f t="shared" ca="1" si="19"/>
        <v>19.424657534246574</v>
      </c>
    </row>
    <row r="637" spans="1:19" x14ac:dyDescent="0.25">
      <c r="A637">
        <v>1161457</v>
      </c>
      <c r="B637" t="s">
        <v>190</v>
      </c>
      <c r="C637" t="s">
        <v>17</v>
      </c>
      <c r="D637" s="6" t="s">
        <v>39</v>
      </c>
      <c r="E637" t="s">
        <v>84</v>
      </c>
      <c r="G637" s="6" t="s">
        <v>970</v>
      </c>
      <c r="H637" s="59" t="s">
        <v>92</v>
      </c>
      <c r="I637" s="58" t="s">
        <v>1532</v>
      </c>
      <c r="J637" t="s">
        <v>837</v>
      </c>
      <c r="K637" t="s">
        <v>94</v>
      </c>
      <c r="L637" t="s">
        <v>966</v>
      </c>
      <c r="M637" t="s">
        <v>1163</v>
      </c>
      <c r="N637" s="57">
        <v>5800</v>
      </c>
      <c r="O637" t="s">
        <v>100</v>
      </c>
      <c r="P637" t="s">
        <v>93</v>
      </c>
      <c r="Q637" s="3">
        <v>44795</v>
      </c>
      <c r="R637" s="10">
        <f t="shared" ca="1" si="18"/>
        <v>46229</v>
      </c>
      <c r="S637" s="7">
        <f t="shared" ca="1" si="19"/>
        <v>3.9287671232876713</v>
      </c>
    </row>
    <row r="638" spans="1:19" x14ac:dyDescent="0.25">
      <c r="A638">
        <v>1170326</v>
      </c>
      <c r="B638" t="s">
        <v>198</v>
      </c>
      <c r="C638" t="s">
        <v>17</v>
      </c>
      <c r="D638" s="6" t="s">
        <v>39</v>
      </c>
      <c r="E638" t="s">
        <v>1538</v>
      </c>
      <c r="G638" s="6" t="s">
        <v>970</v>
      </c>
      <c r="H638" s="59" t="s">
        <v>92</v>
      </c>
      <c r="I638" s="58" t="s">
        <v>1532</v>
      </c>
      <c r="J638" t="s">
        <v>837</v>
      </c>
      <c r="K638" t="s">
        <v>94</v>
      </c>
      <c r="L638" t="s">
        <v>966</v>
      </c>
      <c r="M638" t="s">
        <v>1163</v>
      </c>
      <c r="N638" s="57">
        <v>5800</v>
      </c>
      <c r="O638" t="s">
        <v>100</v>
      </c>
      <c r="P638" t="s">
        <v>38</v>
      </c>
      <c r="Q638" s="3">
        <v>44900</v>
      </c>
      <c r="R638" s="10">
        <f t="shared" ca="1" si="18"/>
        <v>46229</v>
      </c>
      <c r="S638" s="7">
        <f t="shared" ca="1" si="19"/>
        <v>3.6410958904109587</v>
      </c>
    </row>
    <row r="639" spans="1:19" x14ac:dyDescent="0.25">
      <c r="A639">
        <v>1090987</v>
      </c>
      <c r="B639" t="s">
        <v>147</v>
      </c>
      <c r="C639" t="s">
        <v>17</v>
      </c>
      <c r="D639" s="6" t="s">
        <v>22</v>
      </c>
      <c r="E639" t="s">
        <v>77</v>
      </c>
      <c r="G639" s="6" t="s">
        <v>16</v>
      </c>
      <c r="H639" s="59" t="s">
        <v>1025</v>
      </c>
      <c r="I639" s="58" t="s">
        <v>873</v>
      </c>
      <c r="J639" t="s">
        <v>823</v>
      </c>
      <c r="K639" t="s">
        <v>824</v>
      </c>
      <c r="L639" t="s">
        <v>91</v>
      </c>
      <c r="M639" t="s">
        <v>1163</v>
      </c>
      <c r="N639" s="57">
        <v>1300</v>
      </c>
      <c r="O639" t="s">
        <v>100</v>
      </c>
      <c r="P639" t="s">
        <v>93</v>
      </c>
      <c r="Q639" s="3">
        <v>45194</v>
      </c>
      <c r="R639" s="10">
        <f t="shared" ca="1" si="18"/>
        <v>46229</v>
      </c>
      <c r="S639" s="7">
        <f t="shared" ca="1" si="19"/>
        <v>2.8356164383561642</v>
      </c>
    </row>
    <row r="640" spans="1:19" x14ac:dyDescent="0.25">
      <c r="A640">
        <v>1159262</v>
      </c>
      <c r="B640" t="s">
        <v>185</v>
      </c>
      <c r="C640" t="s">
        <v>17</v>
      </c>
      <c r="D640" s="6" t="s">
        <v>22</v>
      </c>
      <c r="E640" t="s">
        <v>77</v>
      </c>
      <c r="G640" s="6" t="s">
        <v>16</v>
      </c>
      <c r="H640" s="59" t="s">
        <v>1025</v>
      </c>
      <c r="I640" s="58" t="s">
        <v>873</v>
      </c>
      <c r="J640" t="s">
        <v>823</v>
      </c>
      <c r="K640" t="s">
        <v>824</v>
      </c>
      <c r="L640" t="s">
        <v>25</v>
      </c>
      <c r="M640" t="s">
        <v>1163</v>
      </c>
      <c r="N640" s="57">
        <v>1300</v>
      </c>
      <c r="O640" t="s">
        <v>100</v>
      </c>
      <c r="P640" t="s">
        <v>93</v>
      </c>
      <c r="Q640" s="3">
        <v>44767</v>
      </c>
      <c r="R640" s="10">
        <f t="shared" ca="1" si="18"/>
        <v>46229</v>
      </c>
      <c r="S640" s="7">
        <f t="shared" ca="1" si="19"/>
        <v>4.0054794520547947</v>
      </c>
    </row>
    <row r="641" spans="1:19" x14ac:dyDescent="0.25">
      <c r="A641">
        <v>1159737</v>
      </c>
      <c r="B641" t="s">
        <v>187</v>
      </c>
      <c r="C641" t="s">
        <v>17</v>
      </c>
      <c r="D641" s="6" t="s">
        <v>22</v>
      </c>
      <c r="E641" t="s">
        <v>77</v>
      </c>
      <c r="G641" s="6" t="s">
        <v>16</v>
      </c>
      <c r="H641" s="59" t="s">
        <v>1025</v>
      </c>
      <c r="I641" s="58" t="s">
        <v>873</v>
      </c>
      <c r="J641" t="s">
        <v>823</v>
      </c>
      <c r="K641" t="s">
        <v>824</v>
      </c>
      <c r="L641" t="s">
        <v>25</v>
      </c>
      <c r="M641" t="s">
        <v>1163</v>
      </c>
      <c r="N641" s="57">
        <v>1300</v>
      </c>
      <c r="O641" t="s">
        <v>100</v>
      </c>
      <c r="P641" t="s">
        <v>93</v>
      </c>
      <c r="Q641" s="3">
        <v>44774</v>
      </c>
      <c r="R641" s="10">
        <f t="shared" ca="1" si="18"/>
        <v>46229</v>
      </c>
      <c r="S641" s="7">
        <f t="shared" ca="1" si="19"/>
        <v>3.9863013698630136</v>
      </c>
    </row>
    <row r="642" spans="1:19" x14ac:dyDescent="0.25">
      <c r="A642">
        <v>1174335</v>
      </c>
      <c r="B642" t="s">
        <v>1165</v>
      </c>
      <c r="C642" t="s">
        <v>17</v>
      </c>
      <c r="D642" s="6" t="s">
        <v>22</v>
      </c>
      <c r="E642" t="s">
        <v>77</v>
      </c>
      <c r="G642" s="6" t="s">
        <v>16</v>
      </c>
      <c r="H642" s="59" t="s">
        <v>1025</v>
      </c>
      <c r="I642" s="58" t="s">
        <v>873</v>
      </c>
      <c r="J642" t="s">
        <v>823</v>
      </c>
      <c r="K642" t="s">
        <v>824</v>
      </c>
      <c r="L642" t="s">
        <v>25</v>
      </c>
      <c r="M642" t="s">
        <v>1163</v>
      </c>
      <c r="N642" s="57">
        <v>1300</v>
      </c>
      <c r="O642" t="s">
        <v>100</v>
      </c>
      <c r="P642" t="s">
        <v>93</v>
      </c>
      <c r="Q642" s="3">
        <v>44970</v>
      </c>
      <c r="R642" s="10">
        <f t="shared" ca="1" si="18"/>
        <v>46229</v>
      </c>
      <c r="S642" s="7">
        <f t="shared" ca="1" si="19"/>
        <v>3.4493150684931506</v>
      </c>
    </row>
    <row r="643" spans="1:19" x14ac:dyDescent="0.25">
      <c r="A643">
        <v>1175008</v>
      </c>
      <c r="B643" t="s">
        <v>215</v>
      </c>
      <c r="C643" t="s">
        <v>17</v>
      </c>
      <c r="D643" s="6" t="s">
        <v>22</v>
      </c>
      <c r="E643" t="s">
        <v>77</v>
      </c>
      <c r="G643" s="6" t="s">
        <v>16</v>
      </c>
      <c r="H643" s="59" t="s">
        <v>1025</v>
      </c>
      <c r="I643" s="58" t="s">
        <v>873</v>
      </c>
      <c r="J643" t="s">
        <v>823</v>
      </c>
      <c r="K643" t="s">
        <v>824</v>
      </c>
      <c r="L643" t="s">
        <v>1038</v>
      </c>
      <c r="M643" t="s">
        <v>1163</v>
      </c>
      <c r="N643" s="57">
        <v>1300</v>
      </c>
      <c r="O643" t="s">
        <v>100</v>
      </c>
      <c r="P643" t="s">
        <v>38</v>
      </c>
      <c r="Q643" s="3">
        <v>44984</v>
      </c>
      <c r="R643" s="10">
        <f t="shared" ref="R643:R706" ca="1" si="20">TODAY()</f>
        <v>46229</v>
      </c>
      <c r="S643" s="7">
        <f t="shared" ref="S643:S706" ca="1" si="21">(R643-Q643)/365</f>
        <v>3.4109589041095889</v>
      </c>
    </row>
    <row r="644" spans="1:19" x14ac:dyDescent="0.25">
      <c r="A644">
        <v>1175421</v>
      </c>
      <c r="B644" t="s">
        <v>219</v>
      </c>
      <c r="C644" t="s">
        <v>17</v>
      </c>
      <c r="D644" s="6" t="s">
        <v>22</v>
      </c>
      <c r="E644" t="s">
        <v>77</v>
      </c>
      <c r="G644" s="6" t="s">
        <v>16</v>
      </c>
      <c r="H644" s="59" t="s">
        <v>1025</v>
      </c>
      <c r="I644" s="58" t="s">
        <v>873</v>
      </c>
      <c r="J644" t="s">
        <v>823</v>
      </c>
      <c r="K644" t="s">
        <v>824</v>
      </c>
      <c r="L644" t="s">
        <v>91</v>
      </c>
      <c r="M644" t="s">
        <v>1163</v>
      </c>
      <c r="N644" s="57">
        <v>1300</v>
      </c>
      <c r="O644" t="s">
        <v>100</v>
      </c>
      <c r="P644" t="s">
        <v>93</v>
      </c>
      <c r="Q644" s="3">
        <v>44991</v>
      </c>
      <c r="R644" s="10">
        <f t="shared" ca="1" si="20"/>
        <v>46229</v>
      </c>
      <c r="S644" s="7">
        <f t="shared" ca="1" si="21"/>
        <v>3.3917808219178083</v>
      </c>
    </row>
    <row r="645" spans="1:19" x14ac:dyDescent="0.25">
      <c r="A645">
        <v>1177649</v>
      </c>
      <c r="B645" t="s">
        <v>227</v>
      </c>
      <c r="C645" t="s">
        <v>17</v>
      </c>
      <c r="D645" s="6" t="s">
        <v>22</v>
      </c>
      <c r="E645" t="s">
        <v>77</v>
      </c>
      <c r="G645" s="6" t="s">
        <v>16</v>
      </c>
      <c r="H645" s="59" t="s">
        <v>1025</v>
      </c>
      <c r="I645" s="58" t="s">
        <v>873</v>
      </c>
      <c r="J645" t="s">
        <v>823</v>
      </c>
      <c r="K645" t="s">
        <v>824</v>
      </c>
      <c r="L645" t="s">
        <v>1038</v>
      </c>
      <c r="M645" t="s">
        <v>1163</v>
      </c>
      <c r="N645" s="57">
        <v>1300</v>
      </c>
      <c r="O645" t="s">
        <v>100</v>
      </c>
      <c r="P645" t="s">
        <v>93</v>
      </c>
      <c r="Q645" s="3">
        <v>45040</v>
      </c>
      <c r="R645" s="10">
        <f t="shared" ca="1" si="20"/>
        <v>46229</v>
      </c>
      <c r="S645" s="7">
        <f t="shared" ca="1" si="21"/>
        <v>3.2575342465753425</v>
      </c>
    </row>
    <row r="646" spans="1:19" x14ac:dyDescent="0.25">
      <c r="A646">
        <v>1179158</v>
      </c>
      <c r="B646" t="s">
        <v>1592</v>
      </c>
      <c r="C646" t="s">
        <v>17</v>
      </c>
      <c r="D646" s="6" t="s">
        <v>22</v>
      </c>
      <c r="E646" t="s">
        <v>77</v>
      </c>
      <c r="G646" s="6" t="s">
        <v>16</v>
      </c>
      <c r="H646" s="59" t="s">
        <v>1025</v>
      </c>
      <c r="I646" s="58" t="s">
        <v>873</v>
      </c>
      <c r="J646" t="s">
        <v>823</v>
      </c>
      <c r="K646" t="s">
        <v>824</v>
      </c>
      <c r="L646" t="s">
        <v>25</v>
      </c>
      <c r="M646" t="s">
        <v>1163</v>
      </c>
      <c r="N646" s="57">
        <v>1300</v>
      </c>
      <c r="O646" t="s">
        <v>100</v>
      </c>
      <c r="P646" t="s">
        <v>93</v>
      </c>
      <c r="Q646" s="3">
        <v>45089</v>
      </c>
      <c r="R646" s="10">
        <f t="shared" ca="1" si="20"/>
        <v>46229</v>
      </c>
      <c r="S646" s="7">
        <f t="shared" ca="1" si="21"/>
        <v>3.1232876712328768</v>
      </c>
    </row>
    <row r="647" spans="1:19" x14ac:dyDescent="0.25">
      <c r="A647">
        <v>1179513</v>
      </c>
      <c r="B647" t="s">
        <v>233</v>
      </c>
      <c r="C647" t="s">
        <v>17</v>
      </c>
      <c r="D647" s="6" t="s">
        <v>22</v>
      </c>
      <c r="E647" t="s">
        <v>77</v>
      </c>
      <c r="G647" s="6" t="s">
        <v>16</v>
      </c>
      <c r="H647" s="59" t="s">
        <v>1025</v>
      </c>
      <c r="I647" s="58" t="s">
        <v>873</v>
      </c>
      <c r="J647" t="s">
        <v>823</v>
      </c>
      <c r="K647" t="s">
        <v>824</v>
      </c>
      <c r="L647" t="s">
        <v>1038</v>
      </c>
      <c r="M647" t="s">
        <v>1163</v>
      </c>
      <c r="N647" s="57">
        <v>1300</v>
      </c>
      <c r="O647" t="s">
        <v>100</v>
      </c>
      <c r="P647" t="s">
        <v>93</v>
      </c>
      <c r="Q647" s="3">
        <v>45103</v>
      </c>
      <c r="R647" s="10">
        <f t="shared" ca="1" si="20"/>
        <v>46229</v>
      </c>
      <c r="S647" s="7">
        <f t="shared" ca="1" si="21"/>
        <v>3.0849315068493151</v>
      </c>
    </row>
    <row r="648" spans="1:19" x14ac:dyDescent="0.25">
      <c r="A648">
        <v>1179614</v>
      </c>
      <c r="B648" t="s">
        <v>234</v>
      </c>
      <c r="C648" t="s">
        <v>17</v>
      </c>
      <c r="D648" s="6" t="s">
        <v>22</v>
      </c>
      <c r="E648" t="s">
        <v>77</v>
      </c>
      <c r="G648" s="6" t="s">
        <v>16</v>
      </c>
      <c r="H648" s="59" t="s">
        <v>1025</v>
      </c>
      <c r="I648" s="58" t="s">
        <v>873</v>
      </c>
      <c r="J648" t="s">
        <v>823</v>
      </c>
      <c r="K648" t="s">
        <v>824</v>
      </c>
      <c r="L648" t="s">
        <v>25</v>
      </c>
      <c r="M648" t="s">
        <v>1163</v>
      </c>
      <c r="N648" s="57">
        <v>1300</v>
      </c>
      <c r="O648" t="s">
        <v>100</v>
      </c>
      <c r="P648" t="s">
        <v>93</v>
      </c>
      <c r="Q648" s="3">
        <v>45103</v>
      </c>
      <c r="R648" s="10">
        <f t="shared" ca="1" si="20"/>
        <v>46229</v>
      </c>
      <c r="S648" s="7">
        <f t="shared" ca="1" si="21"/>
        <v>3.0849315068493151</v>
      </c>
    </row>
    <row r="649" spans="1:19" x14ac:dyDescent="0.25">
      <c r="A649">
        <v>1180896</v>
      </c>
      <c r="B649" t="s">
        <v>243</v>
      </c>
      <c r="C649" t="s">
        <v>17</v>
      </c>
      <c r="D649" s="6" t="s">
        <v>22</v>
      </c>
      <c r="E649" t="s">
        <v>77</v>
      </c>
      <c r="G649" s="6" t="s">
        <v>16</v>
      </c>
      <c r="H649" s="59" t="s">
        <v>1025</v>
      </c>
      <c r="I649" s="58" t="s">
        <v>873</v>
      </c>
      <c r="J649" t="s">
        <v>823</v>
      </c>
      <c r="K649" t="s">
        <v>824</v>
      </c>
      <c r="L649" t="s">
        <v>91</v>
      </c>
      <c r="M649" t="s">
        <v>1163</v>
      </c>
      <c r="N649" s="57">
        <v>1300</v>
      </c>
      <c r="O649" t="s">
        <v>100</v>
      </c>
      <c r="P649" t="s">
        <v>93</v>
      </c>
      <c r="Q649" s="3">
        <v>45138</v>
      </c>
      <c r="R649" s="10">
        <f t="shared" ca="1" si="20"/>
        <v>46229</v>
      </c>
      <c r="S649" s="7">
        <f t="shared" ca="1" si="21"/>
        <v>2.989041095890411</v>
      </c>
    </row>
    <row r="650" spans="1:19" x14ac:dyDescent="0.25">
      <c r="A650">
        <v>1182918</v>
      </c>
      <c r="B650" t="s">
        <v>1440</v>
      </c>
      <c r="C650" t="s">
        <v>17</v>
      </c>
      <c r="D650" s="6" t="s">
        <v>22</v>
      </c>
      <c r="E650" t="s">
        <v>77</v>
      </c>
      <c r="G650" s="6" t="s">
        <v>16</v>
      </c>
      <c r="H650" s="59" t="s">
        <v>1025</v>
      </c>
      <c r="I650" s="58" t="s">
        <v>873</v>
      </c>
      <c r="J650" t="s">
        <v>823</v>
      </c>
      <c r="K650" t="s">
        <v>824</v>
      </c>
      <c r="L650" t="s">
        <v>25</v>
      </c>
      <c r="M650" t="s">
        <v>1163</v>
      </c>
      <c r="N650" s="57">
        <v>1300</v>
      </c>
      <c r="O650" t="s">
        <v>100</v>
      </c>
      <c r="P650" t="s">
        <v>93</v>
      </c>
      <c r="Q650" s="3">
        <v>46146</v>
      </c>
      <c r="R650" s="10">
        <f t="shared" ca="1" si="20"/>
        <v>46229</v>
      </c>
      <c r="S650" s="7">
        <f t="shared" ca="1" si="21"/>
        <v>0.22739726027397261</v>
      </c>
    </row>
    <row r="651" spans="1:19" x14ac:dyDescent="0.25">
      <c r="A651">
        <v>1194779</v>
      </c>
      <c r="B651" t="s">
        <v>264</v>
      </c>
      <c r="C651" t="s">
        <v>17</v>
      </c>
      <c r="D651" s="6" t="s">
        <v>22</v>
      </c>
      <c r="E651" t="s">
        <v>77</v>
      </c>
      <c r="G651" s="6" t="s">
        <v>16</v>
      </c>
      <c r="H651" s="59" t="s">
        <v>1025</v>
      </c>
      <c r="I651" s="58" t="s">
        <v>873</v>
      </c>
      <c r="J651" t="s">
        <v>823</v>
      </c>
      <c r="K651" t="s">
        <v>824</v>
      </c>
      <c r="L651" t="s">
        <v>91</v>
      </c>
      <c r="M651" t="s">
        <v>1163</v>
      </c>
      <c r="N651" s="57">
        <v>1300</v>
      </c>
      <c r="O651" t="s">
        <v>100</v>
      </c>
      <c r="P651" t="s">
        <v>93</v>
      </c>
      <c r="Q651" s="3">
        <v>45537</v>
      </c>
      <c r="R651" s="10">
        <f t="shared" ca="1" si="20"/>
        <v>46229</v>
      </c>
      <c r="S651" s="7">
        <f t="shared" ca="1" si="21"/>
        <v>1.8958904109589041</v>
      </c>
    </row>
    <row r="652" spans="1:19" x14ac:dyDescent="0.25">
      <c r="A652">
        <v>1211687</v>
      </c>
      <c r="B652" t="s">
        <v>1541</v>
      </c>
      <c r="C652" t="s">
        <v>17</v>
      </c>
      <c r="D652" s="6" t="s">
        <v>22</v>
      </c>
      <c r="E652" t="s">
        <v>77</v>
      </c>
      <c r="G652" s="6" t="s">
        <v>16</v>
      </c>
      <c r="H652" s="59" t="s">
        <v>1025</v>
      </c>
      <c r="I652" s="58" t="s">
        <v>873</v>
      </c>
      <c r="J652" t="s">
        <v>823</v>
      </c>
      <c r="K652" t="s">
        <v>824</v>
      </c>
      <c r="L652" t="s">
        <v>25</v>
      </c>
      <c r="M652" t="s">
        <v>1163</v>
      </c>
      <c r="N652" s="57">
        <v>1300</v>
      </c>
      <c r="O652" t="s">
        <v>100</v>
      </c>
      <c r="P652" t="s">
        <v>93</v>
      </c>
      <c r="Q652" s="3">
        <v>46174</v>
      </c>
      <c r="R652" s="10">
        <f t="shared" ca="1" si="20"/>
        <v>46229</v>
      </c>
      <c r="S652" s="7">
        <f t="shared" ca="1" si="21"/>
        <v>0.15068493150684931</v>
      </c>
    </row>
    <row r="653" spans="1:19" x14ac:dyDescent="0.25">
      <c r="A653">
        <v>1228139</v>
      </c>
      <c r="B653" t="s">
        <v>1126</v>
      </c>
      <c r="C653" t="s">
        <v>17</v>
      </c>
      <c r="D653" s="6" t="s">
        <v>22</v>
      </c>
      <c r="E653" t="s">
        <v>77</v>
      </c>
      <c r="G653" s="6" t="s">
        <v>16</v>
      </c>
      <c r="H653" s="59" t="s">
        <v>1025</v>
      </c>
      <c r="I653" s="58" t="s">
        <v>873</v>
      </c>
      <c r="J653" t="s">
        <v>823</v>
      </c>
      <c r="K653" t="s">
        <v>824</v>
      </c>
      <c r="L653" t="s">
        <v>1038</v>
      </c>
      <c r="M653" t="s">
        <v>1163</v>
      </c>
      <c r="N653" s="57">
        <v>1300</v>
      </c>
      <c r="O653" t="s">
        <v>100</v>
      </c>
      <c r="P653" t="s">
        <v>93</v>
      </c>
      <c r="Q653" s="3">
        <v>46090</v>
      </c>
      <c r="R653" s="10">
        <f t="shared" ca="1" si="20"/>
        <v>46229</v>
      </c>
      <c r="S653" s="7">
        <f t="shared" ca="1" si="21"/>
        <v>0.38082191780821917</v>
      </c>
    </row>
    <row r="654" spans="1:19" x14ac:dyDescent="0.25">
      <c r="A654">
        <v>1228636</v>
      </c>
      <c r="B654" t="s">
        <v>1155</v>
      </c>
      <c r="C654" t="s">
        <v>17</v>
      </c>
      <c r="D654" s="6" t="s">
        <v>22</v>
      </c>
      <c r="E654" t="s">
        <v>77</v>
      </c>
      <c r="G654" s="6" t="s">
        <v>16</v>
      </c>
      <c r="H654" s="59" t="s">
        <v>1025</v>
      </c>
      <c r="I654" s="58" t="s">
        <v>873</v>
      </c>
      <c r="J654" t="s">
        <v>823</v>
      </c>
      <c r="K654" t="s">
        <v>824</v>
      </c>
      <c r="L654" t="s">
        <v>1038</v>
      </c>
      <c r="M654" t="s">
        <v>1163</v>
      </c>
      <c r="N654" s="57">
        <v>1300</v>
      </c>
      <c r="O654" t="s">
        <v>100</v>
      </c>
      <c r="P654" t="s">
        <v>93</v>
      </c>
      <c r="Q654" s="3">
        <v>46098</v>
      </c>
      <c r="R654" s="10">
        <f t="shared" ca="1" si="20"/>
        <v>46229</v>
      </c>
      <c r="S654" s="7">
        <f t="shared" ca="1" si="21"/>
        <v>0.35890410958904112</v>
      </c>
    </row>
    <row r="655" spans="1:19" x14ac:dyDescent="0.25">
      <c r="A655">
        <v>1228951</v>
      </c>
      <c r="B655" t="s">
        <v>1167</v>
      </c>
      <c r="C655" t="s">
        <v>17</v>
      </c>
      <c r="D655" s="6" t="s">
        <v>22</v>
      </c>
      <c r="E655" t="s">
        <v>77</v>
      </c>
      <c r="G655" s="6" t="s">
        <v>16</v>
      </c>
      <c r="H655" s="59" t="s">
        <v>1025</v>
      </c>
      <c r="I655" s="58" t="s">
        <v>873</v>
      </c>
      <c r="J655" t="s">
        <v>823</v>
      </c>
      <c r="K655" t="s">
        <v>824</v>
      </c>
      <c r="L655" t="s">
        <v>91</v>
      </c>
      <c r="M655" t="s">
        <v>1163</v>
      </c>
      <c r="N655" s="57">
        <v>1300</v>
      </c>
      <c r="O655" t="s">
        <v>100</v>
      </c>
      <c r="P655" t="s">
        <v>93</v>
      </c>
      <c r="Q655" s="3">
        <v>46104</v>
      </c>
      <c r="R655" s="10">
        <f t="shared" ca="1" si="20"/>
        <v>46229</v>
      </c>
      <c r="S655" s="7">
        <f t="shared" ca="1" si="21"/>
        <v>0.34246575342465752</v>
      </c>
    </row>
    <row r="656" spans="1:19" x14ac:dyDescent="0.25">
      <c r="A656">
        <v>1229551</v>
      </c>
      <c r="B656" t="s">
        <v>1181</v>
      </c>
      <c r="C656" t="s">
        <v>17</v>
      </c>
      <c r="D656" s="6" t="s">
        <v>22</v>
      </c>
      <c r="E656" t="s">
        <v>77</v>
      </c>
      <c r="G656" s="6" t="s">
        <v>16</v>
      </c>
      <c r="H656" s="59" t="s">
        <v>1025</v>
      </c>
      <c r="I656" s="58" t="s">
        <v>873</v>
      </c>
      <c r="J656" t="s">
        <v>823</v>
      </c>
      <c r="K656" t="s">
        <v>824</v>
      </c>
      <c r="L656" t="s">
        <v>1038</v>
      </c>
      <c r="M656" t="s">
        <v>1163</v>
      </c>
      <c r="N656" s="57">
        <v>1300</v>
      </c>
      <c r="O656" t="s">
        <v>100</v>
      </c>
      <c r="P656" t="s">
        <v>93</v>
      </c>
      <c r="Q656" s="3">
        <v>46111</v>
      </c>
      <c r="R656" s="10">
        <f t="shared" ca="1" si="20"/>
        <v>46229</v>
      </c>
      <c r="S656" s="7">
        <f t="shared" ca="1" si="21"/>
        <v>0.32328767123287672</v>
      </c>
    </row>
    <row r="657" spans="1:19" x14ac:dyDescent="0.25">
      <c r="A657">
        <v>1232563</v>
      </c>
      <c r="B657" t="s">
        <v>1479</v>
      </c>
      <c r="C657" t="s">
        <v>17</v>
      </c>
      <c r="D657" s="6" t="s">
        <v>22</v>
      </c>
      <c r="E657" t="s">
        <v>77</v>
      </c>
      <c r="G657" s="6" t="s">
        <v>16</v>
      </c>
      <c r="H657" s="59" t="s">
        <v>1025</v>
      </c>
      <c r="I657" s="58" t="s">
        <v>873</v>
      </c>
      <c r="J657" t="s">
        <v>823</v>
      </c>
      <c r="K657" t="s">
        <v>824</v>
      </c>
      <c r="L657" t="s">
        <v>91</v>
      </c>
      <c r="M657" t="s">
        <v>1163</v>
      </c>
      <c r="N657" s="57">
        <v>1300</v>
      </c>
      <c r="O657" t="s">
        <v>100</v>
      </c>
      <c r="P657" t="s">
        <v>93</v>
      </c>
      <c r="Q657" s="3">
        <v>46160</v>
      </c>
      <c r="R657" s="10">
        <f t="shared" ca="1" si="20"/>
        <v>46229</v>
      </c>
      <c r="S657" s="7">
        <f t="shared" ca="1" si="21"/>
        <v>0.18904109589041096</v>
      </c>
    </row>
    <row r="658" spans="1:19" x14ac:dyDescent="0.25">
      <c r="A658">
        <v>1233343</v>
      </c>
      <c r="B658" t="s">
        <v>1545</v>
      </c>
      <c r="C658" t="s">
        <v>17</v>
      </c>
      <c r="D658" s="6" t="s">
        <v>22</v>
      </c>
      <c r="E658" t="s">
        <v>77</v>
      </c>
      <c r="G658" s="6" t="s">
        <v>16</v>
      </c>
      <c r="H658" s="59" t="s">
        <v>1025</v>
      </c>
      <c r="I658" s="58" t="s">
        <v>873</v>
      </c>
      <c r="J658" t="s">
        <v>823</v>
      </c>
      <c r="K658" t="s">
        <v>824</v>
      </c>
      <c r="L658" t="s">
        <v>1038</v>
      </c>
      <c r="M658" t="s">
        <v>1163</v>
      </c>
      <c r="N658" s="57">
        <v>1300</v>
      </c>
      <c r="O658" t="s">
        <v>100</v>
      </c>
      <c r="P658" t="s">
        <v>93</v>
      </c>
      <c r="Q658" s="3">
        <v>46174</v>
      </c>
      <c r="R658" s="10">
        <f t="shared" ca="1" si="20"/>
        <v>46229</v>
      </c>
      <c r="S658" s="7">
        <f t="shared" ca="1" si="21"/>
        <v>0.15068493150684931</v>
      </c>
    </row>
    <row r="659" spans="1:19" x14ac:dyDescent="0.25">
      <c r="A659">
        <v>26061</v>
      </c>
      <c r="B659" t="s">
        <v>323</v>
      </c>
      <c r="C659" t="s">
        <v>17</v>
      </c>
      <c r="D659" s="6" t="s">
        <v>22</v>
      </c>
      <c r="E659" t="s">
        <v>77</v>
      </c>
      <c r="G659" s="6" t="s">
        <v>16</v>
      </c>
      <c r="H659" s="59" t="s">
        <v>1025</v>
      </c>
      <c r="I659" s="58" t="s">
        <v>873</v>
      </c>
      <c r="J659" t="s">
        <v>823</v>
      </c>
      <c r="K659" t="s">
        <v>824</v>
      </c>
      <c r="L659" t="s">
        <v>91</v>
      </c>
      <c r="M659" t="s">
        <v>1163</v>
      </c>
      <c r="N659" s="57">
        <v>1300</v>
      </c>
      <c r="O659" t="s">
        <v>100</v>
      </c>
      <c r="P659" t="s">
        <v>93</v>
      </c>
      <c r="Q659" s="3">
        <v>44172</v>
      </c>
      <c r="R659" s="10">
        <f t="shared" ca="1" si="20"/>
        <v>46229</v>
      </c>
      <c r="S659" s="7">
        <f t="shared" ca="1" si="21"/>
        <v>5.6356164383561644</v>
      </c>
    </row>
    <row r="660" spans="1:19" x14ac:dyDescent="0.25">
      <c r="A660">
        <v>4030459</v>
      </c>
      <c r="B660" t="s">
        <v>443</v>
      </c>
      <c r="C660" t="s">
        <v>17</v>
      </c>
      <c r="D660" s="6" t="s">
        <v>22</v>
      </c>
      <c r="E660" t="s">
        <v>77</v>
      </c>
      <c r="G660" s="6" t="s">
        <v>16</v>
      </c>
      <c r="H660" s="59" t="s">
        <v>1025</v>
      </c>
      <c r="I660" s="58" t="s">
        <v>873</v>
      </c>
      <c r="J660" t="s">
        <v>823</v>
      </c>
      <c r="K660" t="s">
        <v>824</v>
      </c>
      <c r="L660" t="s">
        <v>25</v>
      </c>
      <c r="M660" t="s">
        <v>1163</v>
      </c>
      <c r="N660" s="57">
        <v>1300</v>
      </c>
      <c r="O660" t="s">
        <v>100</v>
      </c>
      <c r="P660" t="s">
        <v>38</v>
      </c>
      <c r="Q660" s="3">
        <v>44168</v>
      </c>
      <c r="R660" s="10">
        <f t="shared" ca="1" si="20"/>
        <v>46229</v>
      </c>
      <c r="S660" s="7">
        <f t="shared" ca="1" si="21"/>
        <v>5.646575342465753</v>
      </c>
    </row>
    <row r="661" spans="1:19" x14ac:dyDescent="0.25">
      <c r="A661">
        <v>4036703</v>
      </c>
      <c r="B661" t="s">
        <v>453</v>
      </c>
      <c r="C661" t="s">
        <v>17</v>
      </c>
      <c r="D661" s="6" t="s">
        <v>22</v>
      </c>
      <c r="E661" t="s">
        <v>77</v>
      </c>
      <c r="G661" s="6" t="s">
        <v>16</v>
      </c>
      <c r="H661" s="59" t="s">
        <v>1025</v>
      </c>
      <c r="I661" s="58" t="s">
        <v>873</v>
      </c>
      <c r="J661" t="s">
        <v>823</v>
      </c>
      <c r="K661" t="s">
        <v>824</v>
      </c>
      <c r="L661" t="s">
        <v>1038</v>
      </c>
      <c r="M661" t="s">
        <v>1163</v>
      </c>
      <c r="N661" s="57">
        <v>1300</v>
      </c>
      <c r="O661" t="s">
        <v>100</v>
      </c>
      <c r="P661" t="s">
        <v>93</v>
      </c>
      <c r="Q661" s="3">
        <v>44298</v>
      </c>
      <c r="R661" s="10">
        <f t="shared" ca="1" si="20"/>
        <v>46229</v>
      </c>
      <c r="S661" s="7">
        <f t="shared" ca="1" si="21"/>
        <v>5.2904109589041095</v>
      </c>
    </row>
    <row r="662" spans="1:19" x14ac:dyDescent="0.25">
      <c r="A662">
        <v>4045143</v>
      </c>
      <c r="B662" t="s">
        <v>471</v>
      </c>
      <c r="C662" t="s">
        <v>17</v>
      </c>
      <c r="D662" s="6" t="s">
        <v>22</v>
      </c>
      <c r="E662" t="s">
        <v>77</v>
      </c>
      <c r="G662" s="6" t="s">
        <v>16</v>
      </c>
      <c r="H662" s="59" t="s">
        <v>1025</v>
      </c>
      <c r="I662" s="58" t="s">
        <v>873</v>
      </c>
      <c r="J662" t="s">
        <v>823</v>
      </c>
      <c r="K662" t="s">
        <v>824</v>
      </c>
      <c r="L662" t="s">
        <v>25</v>
      </c>
      <c r="M662" t="s">
        <v>1163</v>
      </c>
      <c r="N662" s="57">
        <v>1300</v>
      </c>
      <c r="O662" t="s">
        <v>100</v>
      </c>
      <c r="P662" t="s">
        <v>93</v>
      </c>
      <c r="Q662" s="3">
        <v>44532</v>
      </c>
      <c r="R662" s="10">
        <f t="shared" ca="1" si="20"/>
        <v>46229</v>
      </c>
      <c r="S662" s="7">
        <f t="shared" ca="1" si="21"/>
        <v>4.6493150684931503</v>
      </c>
    </row>
    <row r="663" spans="1:19" x14ac:dyDescent="0.25">
      <c r="A663">
        <v>4060586</v>
      </c>
      <c r="B663" t="s">
        <v>1203</v>
      </c>
      <c r="C663" t="s">
        <v>17</v>
      </c>
      <c r="D663" s="6" t="s">
        <v>22</v>
      </c>
      <c r="E663" t="s">
        <v>77</v>
      </c>
      <c r="G663" s="6" t="s">
        <v>16</v>
      </c>
      <c r="H663" s="59" t="s">
        <v>1025</v>
      </c>
      <c r="I663" s="58" t="s">
        <v>873</v>
      </c>
      <c r="J663" t="s">
        <v>823</v>
      </c>
      <c r="K663" t="s">
        <v>824</v>
      </c>
      <c r="L663" t="s">
        <v>91</v>
      </c>
      <c r="M663" t="s">
        <v>1163</v>
      </c>
      <c r="N663" s="57">
        <v>1300</v>
      </c>
      <c r="O663" t="s">
        <v>100</v>
      </c>
      <c r="P663" t="s">
        <v>93</v>
      </c>
      <c r="Q663" s="3">
        <v>44739</v>
      </c>
      <c r="R663" s="10">
        <f t="shared" ca="1" si="20"/>
        <v>46229</v>
      </c>
      <c r="S663" s="7">
        <f t="shared" ca="1" si="21"/>
        <v>4.0821917808219181</v>
      </c>
    </row>
    <row r="664" spans="1:19" x14ac:dyDescent="0.25">
      <c r="A664">
        <v>42395</v>
      </c>
      <c r="B664" t="s">
        <v>694</v>
      </c>
      <c r="C664" t="s">
        <v>17</v>
      </c>
      <c r="D664" s="6" t="s">
        <v>22</v>
      </c>
      <c r="E664" t="s">
        <v>77</v>
      </c>
      <c r="G664" s="6" t="s">
        <v>16</v>
      </c>
      <c r="H664" s="59" t="s">
        <v>1025</v>
      </c>
      <c r="I664" s="58" t="s">
        <v>873</v>
      </c>
      <c r="J664" t="s">
        <v>823</v>
      </c>
      <c r="K664" t="s">
        <v>824</v>
      </c>
      <c r="L664" t="s">
        <v>25</v>
      </c>
      <c r="M664" t="s">
        <v>1163</v>
      </c>
      <c r="N664" s="57">
        <v>1300</v>
      </c>
      <c r="O664" t="s">
        <v>100</v>
      </c>
      <c r="P664" t="s">
        <v>93</v>
      </c>
      <c r="Q664" s="3">
        <v>45026</v>
      </c>
      <c r="R664" s="10">
        <f t="shared" ca="1" si="20"/>
        <v>46229</v>
      </c>
      <c r="S664" s="7">
        <f t="shared" ca="1" si="21"/>
        <v>3.2958904109589042</v>
      </c>
    </row>
    <row r="665" spans="1:19" x14ac:dyDescent="0.25">
      <c r="A665">
        <v>42435</v>
      </c>
      <c r="B665" t="s">
        <v>695</v>
      </c>
      <c r="C665" t="s">
        <v>17</v>
      </c>
      <c r="D665" s="6" t="s">
        <v>22</v>
      </c>
      <c r="E665" t="s">
        <v>56</v>
      </c>
      <c r="G665" s="6" t="s">
        <v>16</v>
      </c>
      <c r="H665" s="59" t="s">
        <v>1025</v>
      </c>
      <c r="I665" s="58" t="s">
        <v>873</v>
      </c>
      <c r="J665" t="s">
        <v>823</v>
      </c>
      <c r="K665" t="s">
        <v>824</v>
      </c>
      <c r="L665" t="s">
        <v>91</v>
      </c>
      <c r="M665" t="s">
        <v>1163</v>
      </c>
      <c r="N665" s="57">
        <v>1300</v>
      </c>
      <c r="O665" t="s">
        <v>100</v>
      </c>
      <c r="P665" t="s">
        <v>38</v>
      </c>
      <c r="Q665" s="3">
        <v>40854</v>
      </c>
      <c r="R665" s="10">
        <f t="shared" ca="1" si="20"/>
        <v>46229</v>
      </c>
      <c r="S665" s="7">
        <f t="shared" ca="1" si="21"/>
        <v>14.726027397260275</v>
      </c>
    </row>
    <row r="666" spans="1:19" x14ac:dyDescent="0.25">
      <c r="A666">
        <v>928166</v>
      </c>
      <c r="B666" t="s">
        <v>770</v>
      </c>
      <c r="C666" t="s">
        <v>17</v>
      </c>
      <c r="D666" s="6" t="s">
        <v>22</v>
      </c>
      <c r="E666" t="s">
        <v>77</v>
      </c>
      <c r="G666" s="6" t="s">
        <v>16</v>
      </c>
      <c r="H666" s="59" t="s">
        <v>1025</v>
      </c>
      <c r="I666" s="58" t="s">
        <v>873</v>
      </c>
      <c r="J666" t="s">
        <v>823</v>
      </c>
      <c r="K666" t="s">
        <v>824</v>
      </c>
      <c r="L666" t="s">
        <v>91</v>
      </c>
      <c r="M666" t="s">
        <v>1163</v>
      </c>
      <c r="N666" s="57">
        <v>1300</v>
      </c>
      <c r="O666" t="s">
        <v>100</v>
      </c>
      <c r="P666" t="s">
        <v>93</v>
      </c>
      <c r="Q666" s="3">
        <v>45565</v>
      </c>
      <c r="R666" s="10">
        <f t="shared" ca="1" si="20"/>
        <v>46229</v>
      </c>
      <c r="S666" s="7">
        <f t="shared" ca="1" si="21"/>
        <v>1.8191780821917809</v>
      </c>
    </row>
    <row r="667" spans="1:19" x14ac:dyDescent="0.25">
      <c r="A667">
        <v>974604</v>
      </c>
      <c r="B667" t="s">
        <v>1148</v>
      </c>
      <c r="C667" t="s">
        <v>17</v>
      </c>
      <c r="D667" s="6" t="s">
        <v>22</v>
      </c>
      <c r="E667" t="s">
        <v>77</v>
      </c>
      <c r="G667" s="6" t="s">
        <v>16</v>
      </c>
      <c r="H667" s="59" t="s">
        <v>1025</v>
      </c>
      <c r="I667" s="58" t="s">
        <v>873</v>
      </c>
      <c r="J667" t="s">
        <v>823</v>
      </c>
      <c r="K667" t="s">
        <v>824</v>
      </c>
      <c r="L667" t="s">
        <v>1038</v>
      </c>
      <c r="M667" t="s">
        <v>1163</v>
      </c>
      <c r="N667" s="57">
        <v>1300</v>
      </c>
      <c r="O667" t="s">
        <v>100</v>
      </c>
      <c r="P667" t="s">
        <v>93</v>
      </c>
      <c r="Q667" s="3">
        <v>46090</v>
      </c>
      <c r="R667" s="10">
        <f t="shared" ca="1" si="20"/>
        <v>46229</v>
      </c>
      <c r="S667" s="7">
        <f t="shared" ca="1" si="21"/>
        <v>0.38082191780821917</v>
      </c>
    </row>
    <row r="668" spans="1:19" x14ac:dyDescent="0.25">
      <c r="A668">
        <v>1177031</v>
      </c>
      <c r="B668" t="s">
        <v>224</v>
      </c>
      <c r="C668" t="s">
        <v>17</v>
      </c>
      <c r="D668" s="6" t="s">
        <v>22</v>
      </c>
      <c r="E668" t="s">
        <v>43</v>
      </c>
      <c r="G668" s="6" t="s">
        <v>968</v>
      </c>
      <c r="H668" s="59" t="s">
        <v>1019</v>
      </c>
      <c r="I668" s="58" t="s">
        <v>829</v>
      </c>
      <c r="J668" t="s">
        <v>830</v>
      </c>
      <c r="K668" t="s">
        <v>94</v>
      </c>
      <c r="L668" t="s">
        <v>1038</v>
      </c>
      <c r="M668" t="s">
        <v>1163</v>
      </c>
      <c r="N668" s="57">
        <v>1200</v>
      </c>
      <c r="O668" t="s">
        <v>100</v>
      </c>
      <c r="P668" t="s">
        <v>93</v>
      </c>
      <c r="Q668" s="3">
        <v>45026</v>
      </c>
      <c r="R668" s="10">
        <f t="shared" ca="1" si="20"/>
        <v>46229</v>
      </c>
      <c r="S668" s="7">
        <f t="shared" ca="1" si="21"/>
        <v>3.2958904109589042</v>
      </c>
    </row>
    <row r="669" spans="1:19" x14ac:dyDescent="0.25">
      <c r="A669">
        <v>23211</v>
      </c>
      <c r="B669" t="s">
        <v>313</v>
      </c>
      <c r="C669" t="s">
        <v>17</v>
      </c>
      <c r="D669" s="6" t="s">
        <v>22</v>
      </c>
      <c r="E669" t="s">
        <v>43</v>
      </c>
      <c r="G669" s="6" t="s">
        <v>968</v>
      </c>
      <c r="H669" s="59" t="s">
        <v>1019</v>
      </c>
      <c r="I669" s="58" t="s">
        <v>829</v>
      </c>
      <c r="J669" t="s">
        <v>830</v>
      </c>
      <c r="K669" t="s">
        <v>94</v>
      </c>
      <c r="L669" t="s">
        <v>25</v>
      </c>
      <c r="M669" t="s">
        <v>1163</v>
      </c>
      <c r="N669" s="57">
        <v>1200</v>
      </c>
      <c r="O669" t="s">
        <v>100</v>
      </c>
      <c r="P669" t="s">
        <v>93</v>
      </c>
      <c r="Q669" s="3">
        <v>39517</v>
      </c>
      <c r="R669" s="10">
        <f t="shared" ca="1" si="20"/>
        <v>46229</v>
      </c>
      <c r="S669" s="7">
        <f t="shared" ca="1" si="21"/>
        <v>18.389041095890413</v>
      </c>
    </row>
    <row r="670" spans="1:19" x14ac:dyDescent="0.25">
      <c r="A670">
        <v>28673</v>
      </c>
      <c r="B670" t="s">
        <v>346</v>
      </c>
      <c r="C670" t="s">
        <v>17</v>
      </c>
      <c r="D670" s="6" t="s">
        <v>22</v>
      </c>
      <c r="E670" t="s">
        <v>43</v>
      </c>
      <c r="G670" s="6" t="s">
        <v>968</v>
      </c>
      <c r="H670" s="59" t="s">
        <v>1019</v>
      </c>
      <c r="I670" s="58" t="s">
        <v>829</v>
      </c>
      <c r="J670" t="s">
        <v>830</v>
      </c>
      <c r="K670" t="s">
        <v>94</v>
      </c>
      <c r="L670" t="s">
        <v>1038</v>
      </c>
      <c r="M670" t="s">
        <v>1163</v>
      </c>
      <c r="N670" s="57">
        <v>1200</v>
      </c>
      <c r="O670" t="s">
        <v>100</v>
      </c>
      <c r="P670" t="s">
        <v>93</v>
      </c>
      <c r="Q670" s="3">
        <v>39566</v>
      </c>
      <c r="R670" s="10">
        <f t="shared" ca="1" si="20"/>
        <v>46229</v>
      </c>
      <c r="S670" s="7">
        <f t="shared" ca="1" si="21"/>
        <v>18.254794520547946</v>
      </c>
    </row>
    <row r="671" spans="1:19" x14ac:dyDescent="0.25">
      <c r="A671">
        <v>34830</v>
      </c>
      <c r="B671" t="s">
        <v>403</v>
      </c>
      <c r="C671" t="s">
        <v>17</v>
      </c>
      <c r="D671" s="6" t="s">
        <v>22</v>
      </c>
      <c r="E671" t="s">
        <v>43</v>
      </c>
      <c r="G671" s="6" t="s">
        <v>968</v>
      </c>
      <c r="H671" s="59" t="s">
        <v>1019</v>
      </c>
      <c r="I671" s="58" t="s">
        <v>829</v>
      </c>
      <c r="J671" t="s">
        <v>830</v>
      </c>
      <c r="K671" t="s">
        <v>94</v>
      </c>
      <c r="L671" t="s">
        <v>91</v>
      </c>
      <c r="M671" t="s">
        <v>1163</v>
      </c>
      <c r="N671" s="57">
        <v>1200</v>
      </c>
      <c r="O671" t="s">
        <v>100</v>
      </c>
      <c r="P671" t="s">
        <v>93</v>
      </c>
      <c r="Q671" s="3">
        <v>44795</v>
      </c>
      <c r="R671" s="10">
        <f t="shared" ca="1" si="20"/>
        <v>46229</v>
      </c>
      <c r="S671" s="7">
        <f t="shared" ca="1" si="21"/>
        <v>3.9287671232876713</v>
      </c>
    </row>
    <row r="672" spans="1:19" x14ac:dyDescent="0.25">
      <c r="A672">
        <v>4012771</v>
      </c>
      <c r="B672" t="s">
        <v>1036</v>
      </c>
      <c r="C672" t="s">
        <v>17</v>
      </c>
      <c r="D672" s="6" t="s">
        <v>22</v>
      </c>
      <c r="E672" t="s">
        <v>70</v>
      </c>
      <c r="G672" s="6" t="s">
        <v>968</v>
      </c>
      <c r="H672" s="59" t="s">
        <v>1019</v>
      </c>
      <c r="I672" s="58" t="s">
        <v>829</v>
      </c>
      <c r="J672" t="s">
        <v>830</v>
      </c>
      <c r="K672" t="s">
        <v>94</v>
      </c>
      <c r="L672" t="s">
        <v>1038</v>
      </c>
      <c r="M672" t="s">
        <v>1163</v>
      </c>
      <c r="N672" s="57">
        <v>1200</v>
      </c>
      <c r="O672" t="s">
        <v>100</v>
      </c>
      <c r="P672" t="s">
        <v>93</v>
      </c>
      <c r="Q672" s="3">
        <v>43734</v>
      </c>
      <c r="R672" s="10">
        <f t="shared" ca="1" si="20"/>
        <v>46229</v>
      </c>
      <c r="S672" s="7">
        <f t="shared" ca="1" si="21"/>
        <v>6.8356164383561646</v>
      </c>
    </row>
    <row r="673" spans="1:19" x14ac:dyDescent="0.25">
      <c r="A673">
        <v>4053893</v>
      </c>
      <c r="B673" t="s">
        <v>483</v>
      </c>
      <c r="C673" t="s">
        <v>17</v>
      </c>
      <c r="D673" s="6" t="s">
        <v>22</v>
      </c>
      <c r="E673" t="s">
        <v>43</v>
      </c>
      <c r="G673" s="6" t="s">
        <v>968</v>
      </c>
      <c r="H673" s="59" t="s">
        <v>1019</v>
      </c>
      <c r="I673" s="58" t="s">
        <v>829</v>
      </c>
      <c r="J673" t="s">
        <v>830</v>
      </c>
      <c r="K673" t="s">
        <v>94</v>
      </c>
      <c r="L673" t="s">
        <v>25</v>
      </c>
      <c r="M673" t="s">
        <v>1163</v>
      </c>
      <c r="N673" s="57">
        <v>1200</v>
      </c>
      <c r="O673" t="s">
        <v>100</v>
      </c>
      <c r="P673" t="s">
        <v>93</v>
      </c>
      <c r="Q673" s="3">
        <v>44634</v>
      </c>
      <c r="R673" s="10">
        <f t="shared" ca="1" si="20"/>
        <v>46229</v>
      </c>
      <c r="S673" s="7">
        <f t="shared" ca="1" si="21"/>
        <v>4.3698630136986303</v>
      </c>
    </row>
    <row r="674" spans="1:19" x14ac:dyDescent="0.25">
      <c r="A674">
        <v>572488</v>
      </c>
      <c r="B674" t="s">
        <v>703</v>
      </c>
      <c r="C674" t="s">
        <v>17</v>
      </c>
      <c r="D674" s="6" t="s">
        <v>22</v>
      </c>
      <c r="E674" t="s">
        <v>43</v>
      </c>
      <c r="G674" s="6" t="s">
        <v>968</v>
      </c>
      <c r="H674" s="59" t="s">
        <v>1019</v>
      </c>
      <c r="I674" s="58" t="s">
        <v>829</v>
      </c>
      <c r="J674" t="s">
        <v>830</v>
      </c>
      <c r="K674" t="s">
        <v>94</v>
      </c>
      <c r="L674" t="s">
        <v>25</v>
      </c>
      <c r="M674" t="s">
        <v>1163</v>
      </c>
      <c r="N674" s="57">
        <v>1200</v>
      </c>
      <c r="O674" t="s">
        <v>100</v>
      </c>
      <c r="P674" t="s">
        <v>38</v>
      </c>
      <c r="Q674" s="3">
        <v>40826</v>
      </c>
      <c r="R674" s="10">
        <f t="shared" ca="1" si="20"/>
        <v>46229</v>
      </c>
      <c r="S674" s="7">
        <f t="shared" ca="1" si="21"/>
        <v>14.802739726027397</v>
      </c>
    </row>
    <row r="675" spans="1:19" x14ac:dyDescent="0.25">
      <c r="A675">
        <v>939195</v>
      </c>
      <c r="B675" t="s">
        <v>775</v>
      </c>
      <c r="C675" t="s">
        <v>17</v>
      </c>
      <c r="D675" s="6" t="s">
        <v>22</v>
      </c>
      <c r="E675" t="s">
        <v>45</v>
      </c>
      <c r="G675" s="6" t="s">
        <v>968</v>
      </c>
      <c r="H675" s="59" t="s">
        <v>1019</v>
      </c>
      <c r="I675" s="58" t="s">
        <v>829</v>
      </c>
      <c r="J675" t="s">
        <v>830</v>
      </c>
      <c r="K675" t="s">
        <v>94</v>
      </c>
      <c r="L675" t="s">
        <v>966</v>
      </c>
      <c r="M675" t="s">
        <v>1163</v>
      </c>
      <c r="N675" s="57">
        <v>1200</v>
      </c>
      <c r="O675" t="s">
        <v>100</v>
      </c>
      <c r="P675" t="s">
        <v>93</v>
      </c>
      <c r="Q675" s="3">
        <v>42555</v>
      </c>
      <c r="R675" s="10">
        <f t="shared" ca="1" si="20"/>
        <v>46229</v>
      </c>
      <c r="S675" s="7">
        <f t="shared" ca="1" si="21"/>
        <v>10.065753424657535</v>
      </c>
    </row>
    <row r="676" spans="1:19" x14ac:dyDescent="0.25">
      <c r="A676">
        <v>968978</v>
      </c>
      <c r="B676" t="s">
        <v>793</v>
      </c>
      <c r="C676" t="s">
        <v>17</v>
      </c>
      <c r="D676" s="6" t="s">
        <v>22</v>
      </c>
      <c r="E676" t="s">
        <v>45</v>
      </c>
      <c r="G676" s="6" t="s">
        <v>968</v>
      </c>
      <c r="H676" s="59" t="s">
        <v>1019</v>
      </c>
      <c r="I676" s="58" t="s">
        <v>829</v>
      </c>
      <c r="J676" t="s">
        <v>830</v>
      </c>
      <c r="K676" t="s">
        <v>94</v>
      </c>
      <c r="L676" t="s">
        <v>91</v>
      </c>
      <c r="M676" t="s">
        <v>1163</v>
      </c>
      <c r="N676" s="57">
        <v>1200</v>
      </c>
      <c r="O676" t="s">
        <v>100</v>
      </c>
      <c r="P676" t="s">
        <v>93</v>
      </c>
      <c r="Q676" s="3">
        <v>42530</v>
      </c>
      <c r="R676" s="10">
        <f t="shared" ca="1" si="20"/>
        <v>46229</v>
      </c>
      <c r="S676" s="7">
        <f t="shared" ca="1" si="21"/>
        <v>10.134246575342466</v>
      </c>
    </row>
    <row r="677" spans="1:19" x14ac:dyDescent="0.25">
      <c r="A677">
        <v>1177360</v>
      </c>
      <c r="B677" t="s">
        <v>225</v>
      </c>
      <c r="C677" t="s">
        <v>17</v>
      </c>
      <c r="D677" s="6" t="s">
        <v>22</v>
      </c>
      <c r="E677" t="s">
        <v>79</v>
      </c>
      <c r="G677" s="6" t="s">
        <v>971</v>
      </c>
      <c r="H677" s="59" t="s">
        <v>973</v>
      </c>
      <c r="I677" s="58" t="s">
        <v>1467</v>
      </c>
      <c r="J677" t="s">
        <v>891</v>
      </c>
      <c r="K677" t="s">
        <v>892</v>
      </c>
      <c r="L677" t="s">
        <v>25</v>
      </c>
      <c r="M677" t="s">
        <v>1163</v>
      </c>
      <c r="N677" s="57">
        <v>1300</v>
      </c>
      <c r="O677" t="s">
        <v>100</v>
      </c>
      <c r="P677" t="s">
        <v>944</v>
      </c>
      <c r="Q677" s="3">
        <v>45033</v>
      </c>
      <c r="R677" s="10">
        <f t="shared" ca="1" si="20"/>
        <v>46229</v>
      </c>
      <c r="S677" s="7">
        <f t="shared" ca="1" si="21"/>
        <v>3.2767123287671232</v>
      </c>
    </row>
    <row r="678" spans="1:19" x14ac:dyDescent="0.25">
      <c r="A678">
        <v>23874</v>
      </c>
      <c r="B678" t="s">
        <v>995</v>
      </c>
      <c r="C678" t="s">
        <v>17</v>
      </c>
      <c r="D678" s="6" t="s">
        <v>22</v>
      </c>
      <c r="E678" t="s">
        <v>79</v>
      </c>
      <c r="G678" s="6" t="s">
        <v>971</v>
      </c>
      <c r="H678" s="59" t="s">
        <v>973</v>
      </c>
      <c r="I678" s="58" t="s">
        <v>1467</v>
      </c>
      <c r="J678" t="s">
        <v>891</v>
      </c>
      <c r="K678" t="s">
        <v>892</v>
      </c>
      <c r="L678" t="s">
        <v>25</v>
      </c>
      <c r="M678" t="s">
        <v>1163</v>
      </c>
      <c r="N678" s="57">
        <v>1300</v>
      </c>
      <c r="O678" t="s">
        <v>100</v>
      </c>
      <c r="P678" t="s">
        <v>93</v>
      </c>
      <c r="Q678" s="3">
        <v>40966</v>
      </c>
      <c r="R678" s="10">
        <f t="shared" ca="1" si="20"/>
        <v>46229</v>
      </c>
      <c r="S678" s="7">
        <f t="shared" ca="1" si="21"/>
        <v>14.419178082191781</v>
      </c>
    </row>
    <row r="679" spans="1:19" x14ac:dyDescent="0.25">
      <c r="A679">
        <v>3006613</v>
      </c>
      <c r="B679" t="s">
        <v>366</v>
      </c>
      <c r="C679" t="s">
        <v>17</v>
      </c>
      <c r="D679" s="6" t="s">
        <v>22</v>
      </c>
      <c r="E679" t="s">
        <v>72</v>
      </c>
      <c r="G679" s="6" t="s">
        <v>971</v>
      </c>
      <c r="H679" s="59" t="s">
        <v>973</v>
      </c>
      <c r="I679" s="58" t="s">
        <v>1467</v>
      </c>
      <c r="J679" t="s">
        <v>891</v>
      </c>
      <c r="K679" t="s">
        <v>892</v>
      </c>
      <c r="L679" t="s">
        <v>25</v>
      </c>
      <c r="M679" t="s">
        <v>1163</v>
      </c>
      <c r="N679" s="57">
        <v>1300</v>
      </c>
      <c r="O679" t="s">
        <v>100</v>
      </c>
      <c r="P679" t="s">
        <v>93</v>
      </c>
      <c r="Q679" s="3">
        <v>43314</v>
      </c>
      <c r="R679" s="10">
        <f t="shared" ca="1" si="20"/>
        <v>46229</v>
      </c>
      <c r="S679" s="7">
        <f t="shared" ca="1" si="21"/>
        <v>7.9863013698630141</v>
      </c>
    </row>
    <row r="680" spans="1:19" x14ac:dyDescent="0.25">
      <c r="A680">
        <v>4065455</v>
      </c>
      <c r="B680" t="s">
        <v>516</v>
      </c>
      <c r="C680" t="s">
        <v>17</v>
      </c>
      <c r="D680" s="6" t="s">
        <v>22</v>
      </c>
      <c r="E680" t="s">
        <v>55</v>
      </c>
      <c r="G680" s="6" t="s">
        <v>971</v>
      </c>
      <c r="H680" s="59" t="s">
        <v>973</v>
      </c>
      <c r="I680" s="58" t="s">
        <v>1467</v>
      </c>
      <c r="J680" t="s">
        <v>891</v>
      </c>
      <c r="K680" t="s">
        <v>892</v>
      </c>
      <c r="L680" t="s">
        <v>25</v>
      </c>
      <c r="M680" t="s">
        <v>1163</v>
      </c>
      <c r="N680" s="57">
        <v>1200</v>
      </c>
      <c r="O680" t="s">
        <v>100</v>
      </c>
      <c r="P680" t="s">
        <v>93</v>
      </c>
      <c r="Q680" s="3">
        <v>44805</v>
      </c>
      <c r="R680" s="10">
        <f t="shared" ca="1" si="20"/>
        <v>46229</v>
      </c>
      <c r="S680" s="7">
        <f t="shared" ca="1" si="21"/>
        <v>3.9013698630136986</v>
      </c>
    </row>
    <row r="681" spans="1:19" x14ac:dyDescent="0.25">
      <c r="A681">
        <v>4086316</v>
      </c>
      <c r="B681" t="s">
        <v>558</v>
      </c>
      <c r="C681" t="s">
        <v>17</v>
      </c>
      <c r="D681" s="6" t="s">
        <v>22</v>
      </c>
      <c r="E681" t="s">
        <v>55</v>
      </c>
      <c r="G681" s="6" t="s">
        <v>971</v>
      </c>
      <c r="H681" s="59" t="s">
        <v>973</v>
      </c>
      <c r="I681" s="58" t="s">
        <v>1467</v>
      </c>
      <c r="J681" t="s">
        <v>891</v>
      </c>
      <c r="K681" t="s">
        <v>892</v>
      </c>
      <c r="L681" t="s">
        <v>25</v>
      </c>
      <c r="M681" t="s">
        <v>1163</v>
      </c>
      <c r="N681" s="57">
        <v>1200</v>
      </c>
      <c r="O681" t="s">
        <v>100</v>
      </c>
      <c r="P681" t="s">
        <v>93</v>
      </c>
      <c r="Q681" s="3">
        <v>45026</v>
      </c>
      <c r="R681" s="10">
        <f t="shared" ca="1" si="20"/>
        <v>46229</v>
      </c>
      <c r="S681" s="7">
        <f t="shared" ca="1" si="21"/>
        <v>3.2958904109589042</v>
      </c>
    </row>
    <row r="682" spans="1:19" x14ac:dyDescent="0.25">
      <c r="A682">
        <v>1046386</v>
      </c>
      <c r="B682" t="s">
        <v>1454</v>
      </c>
      <c r="C682" t="s">
        <v>17</v>
      </c>
      <c r="D682" s="6" t="s">
        <v>39</v>
      </c>
      <c r="E682" t="s">
        <v>84</v>
      </c>
      <c r="G682" s="6" t="s">
        <v>970</v>
      </c>
      <c r="H682" s="59" t="s">
        <v>92</v>
      </c>
      <c r="I682" s="58" t="s">
        <v>837</v>
      </c>
      <c r="J682" t="s">
        <v>94</v>
      </c>
      <c r="K682" t="s">
        <v>27</v>
      </c>
      <c r="L682" t="s">
        <v>966</v>
      </c>
      <c r="M682" t="s">
        <v>1163</v>
      </c>
      <c r="N682" s="57">
        <v>5800</v>
      </c>
      <c r="O682" t="s">
        <v>100</v>
      </c>
      <c r="P682" t="s">
        <v>38</v>
      </c>
      <c r="Q682" s="3">
        <v>43213</v>
      </c>
      <c r="R682" s="10">
        <f t="shared" ca="1" si="20"/>
        <v>46229</v>
      </c>
      <c r="S682" s="7">
        <f t="shared" ca="1" si="21"/>
        <v>8.2630136986301377</v>
      </c>
    </row>
    <row r="683" spans="1:19" x14ac:dyDescent="0.25">
      <c r="A683">
        <v>1070969</v>
      </c>
      <c r="B683" t="s">
        <v>139</v>
      </c>
      <c r="C683" t="s">
        <v>17</v>
      </c>
      <c r="D683" s="6" t="s">
        <v>39</v>
      </c>
      <c r="E683" t="s">
        <v>86</v>
      </c>
      <c r="G683" s="6" t="s">
        <v>970</v>
      </c>
      <c r="H683" s="59" t="s">
        <v>92</v>
      </c>
      <c r="I683" s="58" t="s">
        <v>837</v>
      </c>
      <c r="J683" t="s">
        <v>94</v>
      </c>
      <c r="K683" t="s">
        <v>27</v>
      </c>
      <c r="L683" t="s">
        <v>966</v>
      </c>
      <c r="M683" t="s">
        <v>1163</v>
      </c>
      <c r="N683" s="57">
        <v>5800</v>
      </c>
      <c r="O683" t="s">
        <v>100</v>
      </c>
      <c r="P683" t="s">
        <v>38</v>
      </c>
      <c r="Q683" s="3">
        <v>44704</v>
      </c>
      <c r="R683" s="10">
        <f t="shared" ca="1" si="20"/>
        <v>46229</v>
      </c>
      <c r="S683" s="7">
        <f t="shared" ca="1" si="21"/>
        <v>4.1780821917808222</v>
      </c>
    </row>
    <row r="684" spans="1:19" x14ac:dyDescent="0.25">
      <c r="A684">
        <v>1233339</v>
      </c>
      <c r="B684" t="s">
        <v>1544</v>
      </c>
      <c r="C684" t="s">
        <v>17</v>
      </c>
      <c r="D684" s="6" t="s">
        <v>39</v>
      </c>
      <c r="E684" t="s">
        <v>63</v>
      </c>
      <c r="G684" s="6" t="s">
        <v>970</v>
      </c>
      <c r="H684" s="59" t="s">
        <v>92</v>
      </c>
      <c r="I684" s="58" t="s">
        <v>837</v>
      </c>
      <c r="J684" t="s">
        <v>94</v>
      </c>
      <c r="K684" t="s">
        <v>27</v>
      </c>
      <c r="L684" t="s">
        <v>966</v>
      </c>
      <c r="M684" t="s">
        <v>1163</v>
      </c>
      <c r="N684" s="57">
        <v>5800</v>
      </c>
      <c r="O684" t="s">
        <v>100</v>
      </c>
      <c r="P684" t="s">
        <v>38</v>
      </c>
      <c r="Q684" s="3">
        <v>46174</v>
      </c>
      <c r="R684" s="10">
        <f t="shared" ca="1" si="20"/>
        <v>46229</v>
      </c>
      <c r="S684" s="7">
        <f t="shared" ca="1" si="21"/>
        <v>0.15068493150684931</v>
      </c>
    </row>
    <row r="685" spans="1:19" x14ac:dyDescent="0.25">
      <c r="A685">
        <v>1234163</v>
      </c>
      <c r="B685" t="s">
        <v>1813</v>
      </c>
      <c r="C685" t="s">
        <v>17</v>
      </c>
      <c r="D685" s="6" t="s">
        <v>39</v>
      </c>
      <c r="E685" t="s">
        <v>1538</v>
      </c>
      <c r="G685" s="6" t="s">
        <v>970</v>
      </c>
      <c r="H685" s="59" t="s">
        <v>92</v>
      </c>
      <c r="I685" s="58" t="s">
        <v>837</v>
      </c>
      <c r="J685" t="s">
        <v>94</v>
      </c>
      <c r="K685" t="s">
        <v>27</v>
      </c>
      <c r="L685" t="s">
        <v>966</v>
      </c>
      <c r="M685" t="s">
        <v>1163</v>
      </c>
      <c r="N685" s="57">
        <v>5800</v>
      </c>
      <c r="O685" t="s">
        <v>100</v>
      </c>
      <c r="P685" t="s">
        <v>38</v>
      </c>
      <c r="Q685" s="3">
        <v>46188</v>
      </c>
      <c r="R685" s="10">
        <f t="shared" ca="1" si="20"/>
        <v>46229</v>
      </c>
      <c r="S685" s="7">
        <f t="shared" ca="1" si="21"/>
        <v>0.11232876712328767</v>
      </c>
    </row>
    <row r="686" spans="1:19" x14ac:dyDescent="0.25">
      <c r="A686">
        <v>989100</v>
      </c>
      <c r="B686" t="s">
        <v>1827</v>
      </c>
      <c r="C686" t="s">
        <v>17</v>
      </c>
      <c r="D686" s="6" t="s">
        <v>39</v>
      </c>
      <c r="E686" t="s">
        <v>86</v>
      </c>
      <c r="G686" s="6" t="s">
        <v>970</v>
      </c>
      <c r="H686" s="59" t="s">
        <v>92</v>
      </c>
      <c r="I686" s="58" t="s">
        <v>837</v>
      </c>
      <c r="J686" t="s">
        <v>94</v>
      </c>
      <c r="K686" t="s">
        <v>27</v>
      </c>
      <c r="L686" t="s">
        <v>966</v>
      </c>
      <c r="M686" t="s">
        <v>1163</v>
      </c>
      <c r="N686" s="57">
        <v>5800</v>
      </c>
      <c r="O686" t="s">
        <v>100</v>
      </c>
      <c r="P686" t="s">
        <v>38</v>
      </c>
      <c r="Q686" s="3">
        <v>46188</v>
      </c>
      <c r="R686" s="10">
        <f t="shared" ca="1" si="20"/>
        <v>46229</v>
      </c>
      <c r="S686" s="7">
        <f t="shared" ca="1" si="21"/>
        <v>0.11232876712328767</v>
      </c>
    </row>
    <row r="687" spans="1:19" x14ac:dyDescent="0.25">
      <c r="A687">
        <v>31849</v>
      </c>
      <c r="B687" t="s">
        <v>381</v>
      </c>
      <c r="C687" t="s">
        <v>17</v>
      </c>
      <c r="D687" s="6" t="s">
        <v>39</v>
      </c>
      <c r="E687" t="s">
        <v>1415</v>
      </c>
      <c r="G687" s="6" t="s">
        <v>970</v>
      </c>
      <c r="H687" s="59" t="s">
        <v>92</v>
      </c>
      <c r="I687" s="58" t="s">
        <v>837</v>
      </c>
      <c r="J687" t="s">
        <v>94</v>
      </c>
      <c r="K687" t="s">
        <v>27</v>
      </c>
      <c r="L687" t="s">
        <v>966</v>
      </c>
      <c r="M687" t="s">
        <v>1163</v>
      </c>
      <c r="N687" s="57">
        <v>5800</v>
      </c>
      <c r="O687" t="s">
        <v>100</v>
      </c>
      <c r="P687" t="s">
        <v>38</v>
      </c>
      <c r="Q687" s="3">
        <v>44984</v>
      </c>
      <c r="R687" s="10">
        <f t="shared" ca="1" si="20"/>
        <v>46229</v>
      </c>
      <c r="S687" s="7">
        <f t="shared" ca="1" si="21"/>
        <v>3.4109589041095889</v>
      </c>
    </row>
    <row r="688" spans="1:19" x14ac:dyDescent="0.25">
      <c r="A688">
        <v>862068</v>
      </c>
      <c r="B688" t="s">
        <v>746</v>
      </c>
      <c r="C688" t="s">
        <v>17</v>
      </c>
      <c r="D688" s="6" t="s">
        <v>39</v>
      </c>
      <c r="E688" t="s">
        <v>86</v>
      </c>
      <c r="G688" s="6" t="s">
        <v>970</v>
      </c>
      <c r="H688" s="59" t="s">
        <v>92</v>
      </c>
      <c r="I688" s="58" t="s">
        <v>837</v>
      </c>
      <c r="J688" t="s">
        <v>94</v>
      </c>
      <c r="K688" t="s">
        <v>27</v>
      </c>
      <c r="L688" t="s">
        <v>966</v>
      </c>
      <c r="M688" t="s">
        <v>1163</v>
      </c>
      <c r="N688" s="57">
        <v>5800</v>
      </c>
      <c r="O688" t="s">
        <v>100</v>
      </c>
      <c r="P688" t="s">
        <v>38</v>
      </c>
      <c r="Q688" s="3">
        <v>41575</v>
      </c>
      <c r="R688" s="10">
        <f t="shared" ca="1" si="20"/>
        <v>46229</v>
      </c>
      <c r="S688" s="7">
        <f t="shared" ca="1" si="21"/>
        <v>12.75068493150685</v>
      </c>
    </row>
    <row r="689" spans="1:19" x14ac:dyDescent="0.25">
      <c r="A689">
        <v>926305</v>
      </c>
      <c r="B689" t="s">
        <v>767</v>
      </c>
      <c r="C689" t="s">
        <v>17</v>
      </c>
      <c r="D689" s="6" t="s">
        <v>39</v>
      </c>
      <c r="E689" t="s">
        <v>86</v>
      </c>
      <c r="G689" s="6" t="s">
        <v>970</v>
      </c>
      <c r="H689" s="59" t="s">
        <v>92</v>
      </c>
      <c r="I689" s="58" t="s">
        <v>837</v>
      </c>
      <c r="J689" t="s">
        <v>94</v>
      </c>
      <c r="K689" t="s">
        <v>27</v>
      </c>
      <c r="L689" t="s">
        <v>966</v>
      </c>
      <c r="M689" t="s">
        <v>1163</v>
      </c>
      <c r="N689" s="57">
        <v>5800</v>
      </c>
      <c r="O689" t="s">
        <v>100</v>
      </c>
      <c r="P689" t="s">
        <v>38</v>
      </c>
      <c r="Q689" s="3">
        <v>45180</v>
      </c>
      <c r="R689" s="10">
        <f t="shared" ca="1" si="20"/>
        <v>46229</v>
      </c>
      <c r="S689" s="7">
        <f t="shared" ca="1" si="21"/>
        <v>2.8739726027397259</v>
      </c>
    </row>
    <row r="690" spans="1:19" x14ac:dyDescent="0.25">
      <c r="A690">
        <v>1168330</v>
      </c>
      <c r="B690" t="s">
        <v>193</v>
      </c>
      <c r="C690" t="s">
        <v>17</v>
      </c>
      <c r="D690" s="6" t="s">
        <v>22</v>
      </c>
      <c r="E690" t="s">
        <v>79</v>
      </c>
      <c r="G690" s="6" t="s">
        <v>971</v>
      </c>
      <c r="H690" s="59" t="s">
        <v>973</v>
      </c>
      <c r="I690" s="58" t="s">
        <v>891</v>
      </c>
      <c r="J690" t="s">
        <v>892</v>
      </c>
      <c r="K690" t="s">
        <v>893</v>
      </c>
      <c r="L690" t="s">
        <v>1038</v>
      </c>
      <c r="M690" t="s">
        <v>1163</v>
      </c>
      <c r="N690" s="57">
        <v>1300</v>
      </c>
      <c r="O690" t="s">
        <v>100</v>
      </c>
      <c r="P690" t="s">
        <v>38</v>
      </c>
      <c r="Q690" s="3">
        <v>44872</v>
      </c>
      <c r="R690" s="10">
        <f t="shared" ca="1" si="20"/>
        <v>46229</v>
      </c>
      <c r="S690" s="7">
        <f t="shared" ca="1" si="21"/>
        <v>3.7178082191780821</v>
      </c>
    </row>
    <row r="691" spans="1:19" x14ac:dyDescent="0.25">
      <c r="A691">
        <v>1198802</v>
      </c>
      <c r="B691" t="s">
        <v>276</v>
      </c>
      <c r="C691" t="s">
        <v>17</v>
      </c>
      <c r="D691" s="6" t="s">
        <v>22</v>
      </c>
      <c r="E691" t="s">
        <v>72</v>
      </c>
      <c r="G691" s="6" t="s">
        <v>971</v>
      </c>
      <c r="H691" s="59" t="s">
        <v>973</v>
      </c>
      <c r="I691" s="58" t="s">
        <v>891</v>
      </c>
      <c r="J691" t="s">
        <v>892</v>
      </c>
      <c r="K691" t="s">
        <v>893</v>
      </c>
      <c r="L691" t="s">
        <v>1038</v>
      </c>
      <c r="M691" t="s">
        <v>1163</v>
      </c>
      <c r="N691" s="57">
        <v>1300</v>
      </c>
      <c r="O691" t="s">
        <v>100</v>
      </c>
      <c r="P691" t="s">
        <v>93</v>
      </c>
      <c r="Q691" s="3">
        <v>45621</v>
      </c>
      <c r="R691" s="10">
        <f t="shared" ca="1" si="20"/>
        <v>46229</v>
      </c>
      <c r="S691" s="7">
        <f t="shared" ca="1" si="21"/>
        <v>1.6657534246575343</v>
      </c>
    </row>
    <row r="692" spans="1:19" x14ac:dyDescent="0.25">
      <c r="A692">
        <v>4051922</v>
      </c>
      <c r="B692" t="s">
        <v>480</v>
      </c>
      <c r="C692" t="s">
        <v>17</v>
      </c>
      <c r="D692" s="6" t="s">
        <v>22</v>
      </c>
      <c r="E692" t="s">
        <v>79</v>
      </c>
      <c r="G692" s="6" t="s">
        <v>971</v>
      </c>
      <c r="H692" s="59" t="s">
        <v>973</v>
      </c>
      <c r="I692" s="58" t="s">
        <v>891</v>
      </c>
      <c r="J692" t="s">
        <v>892</v>
      </c>
      <c r="K692" t="s">
        <v>893</v>
      </c>
      <c r="L692" t="s">
        <v>91</v>
      </c>
      <c r="M692" t="s">
        <v>1163</v>
      </c>
      <c r="N692" s="57">
        <v>1200</v>
      </c>
      <c r="O692" t="s">
        <v>100</v>
      </c>
      <c r="P692" t="s">
        <v>93</v>
      </c>
      <c r="Q692" s="3">
        <v>44616</v>
      </c>
      <c r="R692" s="10">
        <f t="shared" ca="1" si="20"/>
        <v>46229</v>
      </c>
      <c r="S692" s="7">
        <f t="shared" ca="1" si="21"/>
        <v>4.419178082191781</v>
      </c>
    </row>
    <row r="693" spans="1:19" x14ac:dyDescent="0.25">
      <c r="A693">
        <v>892050</v>
      </c>
      <c r="B693" t="s">
        <v>755</v>
      </c>
      <c r="C693" t="s">
        <v>17</v>
      </c>
      <c r="D693" s="6" t="s">
        <v>22</v>
      </c>
      <c r="E693" t="s">
        <v>79</v>
      </c>
      <c r="G693" s="6" t="s">
        <v>971</v>
      </c>
      <c r="H693" s="59" t="s">
        <v>973</v>
      </c>
      <c r="I693" s="58" t="s">
        <v>891</v>
      </c>
      <c r="J693" t="s">
        <v>892</v>
      </c>
      <c r="K693" t="s">
        <v>893</v>
      </c>
      <c r="L693" t="s">
        <v>1038</v>
      </c>
      <c r="M693" t="s">
        <v>1163</v>
      </c>
      <c r="N693" s="57">
        <v>1200</v>
      </c>
      <c r="O693" t="s">
        <v>100</v>
      </c>
      <c r="P693" t="s">
        <v>93</v>
      </c>
      <c r="Q693" s="3">
        <v>45600</v>
      </c>
      <c r="R693" s="10">
        <f t="shared" ca="1" si="20"/>
        <v>46229</v>
      </c>
      <c r="S693" s="7">
        <f t="shared" ca="1" si="21"/>
        <v>1.7232876712328766</v>
      </c>
    </row>
    <row r="694" spans="1:19" x14ac:dyDescent="0.25">
      <c r="A694">
        <v>1048190</v>
      </c>
      <c r="B694" t="s">
        <v>1419</v>
      </c>
      <c r="C694" t="s">
        <v>17</v>
      </c>
      <c r="D694" s="6" t="s">
        <v>39</v>
      </c>
      <c r="E694" t="s">
        <v>47</v>
      </c>
      <c r="G694" s="6" t="s">
        <v>971</v>
      </c>
      <c r="H694" s="59" t="s">
        <v>1418</v>
      </c>
      <c r="I694" s="58" t="s">
        <v>1450</v>
      </c>
      <c r="J694" t="s">
        <v>1429</v>
      </c>
      <c r="K694" t="s">
        <v>877</v>
      </c>
      <c r="L694" t="s">
        <v>966</v>
      </c>
      <c r="M694" t="s">
        <v>1163</v>
      </c>
      <c r="N694" s="57">
        <v>6900</v>
      </c>
      <c r="O694" t="s">
        <v>100</v>
      </c>
      <c r="P694" t="s">
        <v>1431</v>
      </c>
      <c r="Q694" s="3">
        <v>43234</v>
      </c>
      <c r="R694" s="10">
        <f t="shared" ca="1" si="20"/>
        <v>46229</v>
      </c>
      <c r="S694" s="7">
        <f t="shared" ca="1" si="21"/>
        <v>8.205479452054794</v>
      </c>
    </row>
    <row r="695" spans="1:19" x14ac:dyDescent="0.25">
      <c r="A695">
        <v>1021193</v>
      </c>
      <c r="B695" t="s">
        <v>1803</v>
      </c>
      <c r="C695" t="s">
        <v>17</v>
      </c>
      <c r="D695" s="6" t="s">
        <v>22</v>
      </c>
      <c r="E695" t="s">
        <v>79</v>
      </c>
      <c r="G695" s="6" t="s">
        <v>1418</v>
      </c>
      <c r="H695" s="59" t="s">
        <v>1418</v>
      </c>
      <c r="I695" s="58" t="s">
        <v>1450</v>
      </c>
      <c r="J695" t="s">
        <v>1429</v>
      </c>
      <c r="K695" t="s">
        <v>877</v>
      </c>
      <c r="L695" t="s">
        <v>1038</v>
      </c>
      <c r="M695" t="s">
        <v>1163</v>
      </c>
      <c r="N695" s="57">
        <v>1300</v>
      </c>
      <c r="O695" t="s">
        <v>100</v>
      </c>
      <c r="P695" t="s">
        <v>93</v>
      </c>
      <c r="Q695" s="3">
        <v>46188</v>
      </c>
      <c r="R695" s="10">
        <f t="shared" ca="1" si="20"/>
        <v>46229</v>
      </c>
      <c r="S695" s="7">
        <f t="shared" ca="1" si="21"/>
        <v>0.11232876712328767</v>
      </c>
    </row>
    <row r="696" spans="1:19" x14ac:dyDescent="0.25">
      <c r="A696">
        <v>4038308</v>
      </c>
      <c r="B696" t="s">
        <v>457</v>
      </c>
      <c r="C696" t="s">
        <v>17</v>
      </c>
      <c r="D696" s="6" t="s">
        <v>22</v>
      </c>
      <c r="E696" t="s">
        <v>50</v>
      </c>
      <c r="G696" s="6" t="s">
        <v>970</v>
      </c>
      <c r="H696" s="59" t="s">
        <v>1030</v>
      </c>
      <c r="I696" s="58" t="s">
        <v>1174</v>
      </c>
      <c r="J696" t="s">
        <v>855</v>
      </c>
      <c r="K696" t="s">
        <v>837</v>
      </c>
      <c r="L696" t="s">
        <v>25</v>
      </c>
      <c r="M696" t="s">
        <v>1163</v>
      </c>
      <c r="N696" s="57">
        <v>1400</v>
      </c>
      <c r="O696" t="s">
        <v>100</v>
      </c>
      <c r="P696" t="s">
        <v>93</v>
      </c>
      <c r="Q696" s="3">
        <v>44347</v>
      </c>
      <c r="R696" s="10">
        <f t="shared" ca="1" si="20"/>
        <v>46229</v>
      </c>
      <c r="S696" s="7">
        <f t="shared" ca="1" si="21"/>
        <v>5.1561643835616442</v>
      </c>
    </row>
    <row r="697" spans="1:19" x14ac:dyDescent="0.25">
      <c r="A697">
        <v>4121170</v>
      </c>
      <c r="B697" t="s">
        <v>1099</v>
      </c>
      <c r="C697" t="s">
        <v>17</v>
      </c>
      <c r="D697" s="6" t="s">
        <v>22</v>
      </c>
      <c r="E697" t="s">
        <v>50</v>
      </c>
      <c r="G697" s="6" t="s">
        <v>970</v>
      </c>
      <c r="H697" s="59" t="s">
        <v>1030</v>
      </c>
      <c r="I697" s="58" t="s">
        <v>1174</v>
      </c>
      <c r="J697" t="s">
        <v>855</v>
      </c>
      <c r="K697" t="s">
        <v>837</v>
      </c>
      <c r="L697" t="s">
        <v>25</v>
      </c>
      <c r="M697" t="s">
        <v>1163</v>
      </c>
      <c r="N697" s="57">
        <v>1400</v>
      </c>
      <c r="O697" t="s">
        <v>100</v>
      </c>
      <c r="P697" t="s">
        <v>93</v>
      </c>
      <c r="Q697" s="3">
        <v>46072</v>
      </c>
      <c r="R697" s="10">
        <f t="shared" ca="1" si="20"/>
        <v>46229</v>
      </c>
      <c r="S697" s="7">
        <f t="shared" ca="1" si="21"/>
        <v>0.43013698630136987</v>
      </c>
    </row>
    <row r="698" spans="1:19" x14ac:dyDescent="0.25">
      <c r="A698">
        <v>4121171</v>
      </c>
      <c r="B698" t="s">
        <v>1100</v>
      </c>
      <c r="C698" t="s">
        <v>17</v>
      </c>
      <c r="D698" s="6" t="s">
        <v>22</v>
      </c>
      <c r="E698" t="s">
        <v>50</v>
      </c>
      <c r="G698" s="6" t="s">
        <v>970</v>
      </c>
      <c r="H698" s="59" t="s">
        <v>1030</v>
      </c>
      <c r="I698" s="58" t="s">
        <v>1174</v>
      </c>
      <c r="J698" t="s">
        <v>855</v>
      </c>
      <c r="K698" t="s">
        <v>837</v>
      </c>
      <c r="L698" t="s">
        <v>25</v>
      </c>
      <c r="M698" t="s">
        <v>1163</v>
      </c>
      <c r="N698" s="57">
        <v>1400</v>
      </c>
      <c r="O698" t="s">
        <v>100</v>
      </c>
      <c r="P698" t="s">
        <v>93</v>
      </c>
      <c r="Q698" s="3">
        <v>46072</v>
      </c>
      <c r="R698" s="10">
        <f t="shared" ca="1" si="20"/>
        <v>46229</v>
      </c>
      <c r="S698" s="7">
        <f t="shared" ca="1" si="21"/>
        <v>0.43013698630136987</v>
      </c>
    </row>
    <row r="699" spans="1:19" x14ac:dyDescent="0.25">
      <c r="A699">
        <v>4121176</v>
      </c>
      <c r="B699" t="s">
        <v>1101</v>
      </c>
      <c r="C699" t="s">
        <v>17</v>
      </c>
      <c r="D699" s="6" t="s">
        <v>22</v>
      </c>
      <c r="E699" t="s">
        <v>50</v>
      </c>
      <c r="G699" s="6" t="s">
        <v>970</v>
      </c>
      <c r="H699" s="59" t="s">
        <v>1030</v>
      </c>
      <c r="I699" s="58" t="s">
        <v>1174</v>
      </c>
      <c r="J699" t="s">
        <v>855</v>
      </c>
      <c r="K699" t="s">
        <v>837</v>
      </c>
      <c r="L699" t="s">
        <v>25</v>
      </c>
      <c r="M699" t="s">
        <v>1163</v>
      </c>
      <c r="N699" s="57">
        <v>1400</v>
      </c>
      <c r="O699" t="s">
        <v>100</v>
      </c>
      <c r="P699" t="s">
        <v>93</v>
      </c>
      <c r="Q699" s="3">
        <v>46072</v>
      </c>
      <c r="R699" s="10">
        <f t="shared" ca="1" si="20"/>
        <v>46229</v>
      </c>
      <c r="S699" s="7">
        <f t="shared" ca="1" si="21"/>
        <v>0.43013698630136987</v>
      </c>
    </row>
    <row r="700" spans="1:19" x14ac:dyDescent="0.25">
      <c r="A700">
        <v>608796</v>
      </c>
      <c r="B700" t="s">
        <v>1104</v>
      </c>
      <c r="C700" t="s">
        <v>17</v>
      </c>
      <c r="D700" s="6" t="s">
        <v>22</v>
      </c>
      <c r="E700" t="s">
        <v>50</v>
      </c>
      <c r="G700" s="6" t="s">
        <v>970</v>
      </c>
      <c r="H700" s="59" t="s">
        <v>1030</v>
      </c>
      <c r="I700" s="58" t="s">
        <v>1174</v>
      </c>
      <c r="J700" t="s">
        <v>855</v>
      </c>
      <c r="K700" t="s">
        <v>837</v>
      </c>
      <c r="L700" t="s">
        <v>25</v>
      </c>
      <c r="M700" t="s">
        <v>1163</v>
      </c>
      <c r="N700" s="57">
        <v>1400</v>
      </c>
      <c r="O700" t="s">
        <v>100</v>
      </c>
      <c r="P700" t="s">
        <v>93</v>
      </c>
      <c r="Q700" s="3">
        <v>46072</v>
      </c>
      <c r="R700" s="10">
        <f t="shared" ca="1" si="20"/>
        <v>46229</v>
      </c>
      <c r="S700" s="7">
        <f t="shared" ca="1" si="21"/>
        <v>0.43013698630136987</v>
      </c>
    </row>
    <row r="701" spans="1:19" x14ac:dyDescent="0.25">
      <c r="A701">
        <v>3007763</v>
      </c>
      <c r="B701" t="s">
        <v>370</v>
      </c>
      <c r="C701" t="s">
        <v>17</v>
      </c>
      <c r="D701" s="6" t="s">
        <v>22</v>
      </c>
      <c r="E701" t="s">
        <v>79</v>
      </c>
      <c r="G701" s="6" t="s">
        <v>971</v>
      </c>
      <c r="H701" s="59" t="s">
        <v>973</v>
      </c>
      <c r="I701" s="58" t="s">
        <v>919</v>
      </c>
      <c r="J701" t="s">
        <v>882</v>
      </c>
      <c r="K701" t="s">
        <v>883</v>
      </c>
      <c r="L701" t="s">
        <v>966</v>
      </c>
      <c r="M701" t="s">
        <v>1163</v>
      </c>
      <c r="N701" s="57">
        <v>1300</v>
      </c>
      <c r="O701" t="s">
        <v>100</v>
      </c>
      <c r="P701" t="s">
        <v>93</v>
      </c>
      <c r="Q701" s="3">
        <v>45117</v>
      </c>
      <c r="R701" s="10">
        <f t="shared" ca="1" si="20"/>
        <v>46229</v>
      </c>
      <c r="S701" s="7">
        <f t="shared" ca="1" si="21"/>
        <v>3.0465753424657533</v>
      </c>
    </row>
    <row r="702" spans="1:19" x14ac:dyDescent="0.25">
      <c r="A702">
        <v>990899</v>
      </c>
      <c r="B702" t="s">
        <v>809</v>
      </c>
      <c r="C702" t="s">
        <v>17</v>
      </c>
      <c r="D702" s="6" t="s">
        <v>39</v>
      </c>
      <c r="E702" t="s">
        <v>47</v>
      </c>
      <c r="G702" s="6" t="s">
        <v>971</v>
      </c>
      <c r="H702" s="59" t="s">
        <v>973</v>
      </c>
      <c r="I702" s="58" t="s">
        <v>919</v>
      </c>
      <c r="J702" t="s">
        <v>882</v>
      </c>
      <c r="K702" t="s">
        <v>883</v>
      </c>
      <c r="L702" t="s">
        <v>966</v>
      </c>
      <c r="M702" t="s">
        <v>1163</v>
      </c>
      <c r="N702" s="57">
        <v>6900</v>
      </c>
      <c r="O702" t="s">
        <v>100</v>
      </c>
      <c r="P702" t="s">
        <v>38</v>
      </c>
      <c r="Q702" s="3">
        <v>44795</v>
      </c>
      <c r="R702" s="10">
        <f t="shared" ca="1" si="20"/>
        <v>46229</v>
      </c>
      <c r="S702" s="7">
        <f t="shared" ca="1" si="21"/>
        <v>3.9287671232876713</v>
      </c>
    </row>
    <row r="703" spans="1:19" x14ac:dyDescent="0.25">
      <c r="A703">
        <v>35297</v>
      </c>
      <c r="B703" t="s">
        <v>408</v>
      </c>
      <c r="C703" t="s">
        <v>17</v>
      </c>
      <c r="D703" s="6" t="s">
        <v>39</v>
      </c>
      <c r="E703" t="s">
        <v>64</v>
      </c>
      <c r="G703" s="6" t="s">
        <v>16</v>
      </c>
      <c r="H703" s="59" t="s">
        <v>92</v>
      </c>
      <c r="I703" s="58" t="s">
        <v>1107</v>
      </c>
      <c r="J703" t="s">
        <v>823</v>
      </c>
      <c r="K703" t="s">
        <v>824</v>
      </c>
      <c r="L703" t="s">
        <v>966</v>
      </c>
      <c r="M703" t="s">
        <v>1163</v>
      </c>
      <c r="N703" s="57">
        <v>6900</v>
      </c>
      <c r="O703" t="s">
        <v>100</v>
      </c>
      <c r="P703" t="s">
        <v>93</v>
      </c>
      <c r="Q703" s="3">
        <v>40119</v>
      </c>
      <c r="R703" s="10">
        <f t="shared" ca="1" si="20"/>
        <v>46229</v>
      </c>
      <c r="S703" s="7">
        <f t="shared" ca="1" si="21"/>
        <v>16.739726027397261</v>
      </c>
    </row>
    <row r="704" spans="1:19" x14ac:dyDescent="0.25">
      <c r="A704">
        <v>962342</v>
      </c>
      <c r="B704" t="s">
        <v>783</v>
      </c>
      <c r="C704" t="s">
        <v>17</v>
      </c>
      <c r="D704" s="6" t="s">
        <v>39</v>
      </c>
      <c r="E704" t="s">
        <v>64</v>
      </c>
      <c r="G704" s="6" t="s">
        <v>16</v>
      </c>
      <c r="H704" s="59" t="s">
        <v>92</v>
      </c>
      <c r="I704" s="58" t="s">
        <v>1107</v>
      </c>
      <c r="J704" t="s">
        <v>823</v>
      </c>
      <c r="K704" t="s">
        <v>824</v>
      </c>
      <c r="L704" t="s">
        <v>966</v>
      </c>
      <c r="M704" t="s">
        <v>1163</v>
      </c>
      <c r="N704" s="57">
        <v>6900</v>
      </c>
      <c r="O704" t="s">
        <v>100</v>
      </c>
      <c r="P704" t="s">
        <v>38</v>
      </c>
      <c r="Q704" s="3">
        <v>42478</v>
      </c>
      <c r="R704" s="10">
        <f t="shared" ca="1" si="20"/>
        <v>46229</v>
      </c>
      <c r="S704" s="7">
        <f t="shared" ca="1" si="21"/>
        <v>10.276712328767124</v>
      </c>
    </row>
    <row r="705" spans="1:19" x14ac:dyDescent="0.25">
      <c r="A705">
        <v>1083840</v>
      </c>
      <c r="B705" t="s">
        <v>141</v>
      </c>
      <c r="C705" t="s">
        <v>17</v>
      </c>
      <c r="D705" s="6" t="s">
        <v>22</v>
      </c>
      <c r="E705" t="s">
        <v>69</v>
      </c>
      <c r="G705" s="6" t="s">
        <v>16</v>
      </c>
      <c r="H705" s="59" t="s">
        <v>1026</v>
      </c>
      <c r="I705" s="58" t="s">
        <v>872</v>
      </c>
      <c r="J705" t="s">
        <v>869</v>
      </c>
      <c r="K705" t="s">
        <v>824</v>
      </c>
      <c r="L705" t="s">
        <v>25</v>
      </c>
      <c r="M705" t="s">
        <v>1163</v>
      </c>
      <c r="N705" s="57">
        <v>1300</v>
      </c>
      <c r="O705" t="s">
        <v>100</v>
      </c>
      <c r="P705" t="s">
        <v>38</v>
      </c>
      <c r="Q705" s="3">
        <v>43388</v>
      </c>
      <c r="R705" s="10">
        <f t="shared" ca="1" si="20"/>
        <v>46229</v>
      </c>
      <c r="S705" s="7">
        <f t="shared" ca="1" si="21"/>
        <v>7.7835616438356166</v>
      </c>
    </row>
    <row r="706" spans="1:19" x14ac:dyDescent="0.25">
      <c r="A706">
        <v>1088828</v>
      </c>
      <c r="B706" t="s">
        <v>145</v>
      </c>
      <c r="C706" t="s">
        <v>17</v>
      </c>
      <c r="D706" s="6" t="s">
        <v>22</v>
      </c>
      <c r="E706" t="s">
        <v>69</v>
      </c>
      <c r="G706" s="6" t="s">
        <v>16</v>
      </c>
      <c r="H706" s="59" t="s">
        <v>1026</v>
      </c>
      <c r="I706" s="58" t="s">
        <v>872</v>
      </c>
      <c r="J706" t="s">
        <v>869</v>
      </c>
      <c r="K706" t="s">
        <v>824</v>
      </c>
      <c r="L706" t="s">
        <v>91</v>
      </c>
      <c r="M706" t="s">
        <v>1163</v>
      </c>
      <c r="N706" s="57">
        <v>1300</v>
      </c>
      <c r="O706" t="s">
        <v>100</v>
      </c>
      <c r="P706" t="s">
        <v>93</v>
      </c>
      <c r="Q706" s="3">
        <v>43467</v>
      </c>
      <c r="R706" s="10">
        <f t="shared" ca="1" si="20"/>
        <v>46229</v>
      </c>
      <c r="S706" s="7">
        <f t="shared" ca="1" si="21"/>
        <v>7.5671232876712331</v>
      </c>
    </row>
    <row r="707" spans="1:19" x14ac:dyDescent="0.25">
      <c r="A707">
        <v>1094657</v>
      </c>
      <c r="B707" t="s">
        <v>1540</v>
      </c>
      <c r="C707" t="s">
        <v>17</v>
      </c>
      <c r="D707" s="6" t="s">
        <v>22</v>
      </c>
      <c r="E707" t="s">
        <v>69</v>
      </c>
      <c r="G707" s="6" t="s">
        <v>16</v>
      </c>
      <c r="H707" s="59" t="s">
        <v>1026</v>
      </c>
      <c r="I707" s="58" t="s">
        <v>872</v>
      </c>
      <c r="J707" t="s">
        <v>869</v>
      </c>
      <c r="K707" t="s">
        <v>824</v>
      </c>
      <c r="L707" t="s">
        <v>25</v>
      </c>
      <c r="M707" t="s">
        <v>1163</v>
      </c>
      <c r="N707" s="57">
        <v>1300</v>
      </c>
      <c r="O707" t="s">
        <v>100</v>
      </c>
      <c r="P707" t="s">
        <v>93</v>
      </c>
      <c r="Q707" s="3">
        <v>44928</v>
      </c>
      <c r="R707" s="10">
        <f t="shared" ref="R707:R770" ca="1" si="22">TODAY()</f>
        <v>46229</v>
      </c>
      <c r="S707" s="7">
        <f t="shared" ref="S707:S770" ca="1" si="23">(R707-Q707)/365</f>
        <v>3.5643835616438357</v>
      </c>
    </row>
    <row r="708" spans="1:19" x14ac:dyDescent="0.25">
      <c r="A708">
        <v>1150978</v>
      </c>
      <c r="B708" t="s">
        <v>172</v>
      </c>
      <c r="C708" t="s">
        <v>17</v>
      </c>
      <c r="D708" s="6" t="s">
        <v>22</v>
      </c>
      <c r="E708" t="s">
        <v>69</v>
      </c>
      <c r="G708" s="6" t="s">
        <v>16</v>
      </c>
      <c r="H708" s="59" t="s">
        <v>1026</v>
      </c>
      <c r="I708" s="58" t="s">
        <v>872</v>
      </c>
      <c r="J708" t="s">
        <v>869</v>
      </c>
      <c r="K708" t="s">
        <v>824</v>
      </c>
      <c r="L708" t="s">
        <v>1038</v>
      </c>
      <c r="M708" t="s">
        <v>1163</v>
      </c>
      <c r="N708" s="57">
        <v>1300</v>
      </c>
      <c r="O708" t="s">
        <v>100</v>
      </c>
      <c r="P708" t="s">
        <v>93</v>
      </c>
      <c r="Q708" s="3">
        <v>44935</v>
      </c>
      <c r="R708" s="10">
        <f t="shared" ca="1" si="22"/>
        <v>46229</v>
      </c>
      <c r="S708" s="7">
        <f t="shared" ca="1" si="23"/>
        <v>3.5452054794520547</v>
      </c>
    </row>
    <row r="709" spans="1:19" x14ac:dyDescent="0.25">
      <c r="A709">
        <v>1180609</v>
      </c>
      <c r="B709" t="s">
        <v>1109</v>
      </c>
      <c r="C709" t="s">
        <v>17</v>
      </c>
      <c r="D709" s="6" t="s">
        <v>22</v>
      </c>
      <c r="E709" t="s">
        <v>69</v>
      </c>
      <c r="G709" s="6" t="s">
        <v>16</v>
      </c>
      <c r="H709" s="59" t="s">
        <v>1026</v>
      </c>
      <c r="I709" s="58" t="s">
        <v>872</v>
      </c>
      <c r="J709" t="s">
        <v>869</v>
      </c>
      <c r="K709" t="s">
        <v>824</v>
      </c>
      <c r="L709" t="s">
        <v>91</v>
      </c>
      <c r="M709" t="s">
        <v>1163</v>
      </c>
      <c r="N709" s="57">
        <v>1300</v>
      </c>
      <c r="O709" t="s">
        <v>100</v>
      </c>
      <c r="P709" t="s">
        <v>38</v>
      </c>
      <c r="Q709" s="3">
        <v>45131</v>
      </c>
      <c r="R709" s="10">
        <f t="shared" ca="1" si="22"/>
        <v>46229</v>
      </c>
      <c r="S709" s="7">
        <f t="shared" ca="1" si="23"/>
        <v>3.0082191780821916</v>
      </c>
    </row>
    <row r="710" spans="1:19" x14ac:dyDescent="0.25">
      <c r="A710">
        <v>1233361</v>
      </c>
      <c r="B710" t="s">
        <v>1547</v>
      </c>
      <c r="C710" t="s">
        <v>17</v>
      </c>
      <c r="D710" s="6" t="s">
        <v>22</v>
      </c>
      <c r="E710" t="s">
        <v>69</v>
      </c>
      <c r="G710" s="6" t="s">
        <v>16</v>
      </c>
      <c r="H710" s="59" t="s">
        <v>1026</v>
      </c>
      <c r="I710" s="58" t="s">
        <v>872</v>
      </c>
      <c r="J710" t="s">
        <v>869</v>
      </c>
      <c r="K710" t="s">
        <v>824</v>
      </c>
      <c r="L710" t="s">
        <v>1038</v>
      </c>
      <c r="M710" t="s">
        <v>1163</v>
      </c>
      <c r="N710" s="57">
        <v>1300</v>
      </c>
      <c r="O710" t="s">
        <v>100</v>
      </c>
      <c r="P710" t="s">
        <v>945</v>
      </c>
      <c r="Q710" s="3">
        <v>46174</v>
      </c>
      <c r="R710" s="10">
        <f t="shared" ca="1" si="22"/>
        <v>46229</v>
      </c>
      <c r="S710" s="7">
        <f t="shared" ca="1" si="23"/>
        <v>0.15068493150684931</v>
      </c>
    </row>
    <row r="711" spans="1:19" x14ac:dyDescent="0.25">
      <c r="A711">
        <v>20125</v>
      </c>
      <c r="B711" t="s">
        <v>1510</v>
      </c>
      <c r="C711" t="s">
        <v>17</v>
      </c>
      <c r="D711" s="6" t="s">
        <v>22</v>
      </c>
      <c r="E711" t="s">
        <v>69</v>
      </c>
      <c r="G711" s="6" t="s">
        <v>16</v>
      </c>
      <c r="H711" s="59" t="s">
        <v>1026</v>
      </c>
      <c r="I711" s="58" t="s">
        <v>872</v>
      </c>
      <c r="J711" t="s">
        <v>869</v>
      </c>
      <c r="K711" t="s">
        <v>824</v>
      </c>
      <c r="L711" t="s">
        <v>91</v>
      </c>
      <c r="M711" t="s">
        <v>1163</v>
      </c>
      <c r="N711" s="57">
        <v>1300</v>
      </c>
      <c r="O711" t="s">
        <v>100</v>
      </c>
      <c r="P711" t="s">
        <v>93</v>
      </c>
      <c r="Q711" s="3">
        <v>46167</v>
      </c>
      <c r="R711" s="10">
        <f t="shared" ca="1" si="22"/>
        <v>46229</v>
      </c>
      <c r="S711" s="7">
        <f t="shared" ca="1" si="23"/>
        <v>0.16986301369863013</v>
      </c>
    </row>
    <row r="712" spans="1:19" x14ac:dyDescent="0.25">
      <c r="A712">
        <v>26523</v>
      </c>
      <c r="B712" t="s">
        <v>327</v>
      </c>
      <c r="C712" t="s">
        <v>17</v>
      </c>
      <c r="D712" s="6" t="s">
        <v>22</v>
      </c>
      <c r="E712" t="s">
        <v>69</v>
      </c>
      <c r="G712" s="6" t="s">
        <v>16</v>
      </c>
      <c r="H712" s="59" t="s">
        <v>1026</v>
      </c>
      <c r="I712" s="58" t="s">
        <v>872</v>
      </c>
      <c r="J712" t="s">
        <v>869</v>
      </c>
      <c r="K712" t="s">
        <v>824</v>
      </c>
      <c r="L712" t="s">
        <v>1038</v>
      </c>
      <c r="M712" t="s">
        <v>1163</v>
      </c>
      <c r="N712" s="57">
        <v>1300</v>
      </c>
      <c r="O712" t="s">
        <v>100</v>
      </c>
      <c r="P712" t="s">
        <v>93</v>
      </c>
      <c r="Q712" s="3">
        <v>38929</v>
      </c>
      <c r="R712" s="10">
        <f t="shared" ca="1" si="22"/>
        <v>46229</v>
      </c>
      <c r="S712" s="7">
        <f t="shared" ca="1" si="23"/>
        <v>20</v>
      </c>
    </row>
    <row r="713" spans="1:19" x14ac:dyDescent="0.25">
      <c r="A713">
        <v>28770</v>
      </c>
      <c r="B713" t="s">
        <v>347</v>
      </c>
      <c r="C713" t="s">
        <v>17</v>
      </c>
      <c r="D713" s="6" t="s">
        <v>22</v>
      </c>
      <c r="E713" t="s">
        <v>69</v>
      </c>
      <c r="G713" s="6" t="s">
        <v>16</v>
      </c>
      <c r="H713" s="59" t="s">
        <v>1026</v>
      </c>
      <c r="I713" s="58" t="s">
        <v>872</v>
      </c>
      <c r="J713" t="s">
        <v>869</v>
      </c>
      <c r="K713" t="s">
        <v>824</v>
      </c>
      <c r="L713" t="s">
        <v>25</v>
      </c>
      <c r="M713" t="s">
        <v>1163</v>
      </c>
      <c r="N713" s="57">
        <v>1300</v>
      </c>
      <c r="O713" t="s">
        <v>100</v>
      </c>
      <c r="P713" t="s">
        <v>93</v>
      </c>
      <c r="Q713" s="3">
        <v>45006</v>
      </c>
      <c r="R713" s="10">
        <f t="shared" ca="1" si="22"/>
        <v>46229</v>
      </c>
      <c r="S713" s="7">
        <f t="shared" ca="1" si="23"/>
        <v>3.3506849315068492</v>
      </c>
    </row>
    <row r="714" spans="1:19" x14ac:dyDescent="0.25">
      <c r="A714">
        <v>3001602</v>
      </c>
      <c r="B714" t="s">
        <v>358</v>
      </c>
      <c r="C714" t="s">
        <v>17</v>
      </c>
      <c r="D714" s="6" t="s">
        <v>22</v>
      </c>
      <c r="E714" t="s">
        <v>69</v>
      </c>
      <c r="G714" s="6" t="s">
        <v>16</v>
      </c>
      <c r="H714" s="59" t="s">
        <v>1026</v>
      </c>
      <c r="I714" s="58" t="s">
        <v>872</v>
      </c>
      <c r="J714" t="s">
        <v>869</v>
      </c>
      <c r="K714" t="s">
        <v>824</v>
      </c>
      <c r="L714" t="s">
        <v>91</v>
      </c>
      <c r="M714" t="s">
        <v>1163</v>
      </c>
      <c r="N714" s="57">
        <v>1300</v>
      </c>
      <c r="O714" t="s">
        <v>100</v>
      </c>
      <c r="P714" t="s">
        <v>93</v>
      </c>
      <c r="Q714" s="3">
        <v>42996</v>
      </c>
      <c r="R714" s="10">
        <f t="shared" ca="1" si="22"/>
        <v>46229</v>
      </c>
      <c r="S714" s="7">
        <f t="shared" ca="1" si="23"/>
        <v>8.8575342465753426</v>
      </c>
    </row>
    <row r="715" spans="1:19" x14ac:dyDescent="0.25">
      <c r="A715">
        <v>4100686</v>
      </c>
      <c r="B715" t="s">
        <v>608</v>
      </c>
      <c r="C715" t="s">
        <v>17</v>
      </c>
      <c r="D715" s="6" t="s">
        <v>22</v>
      </c>
      <c r="E715" t="s">
        <v>69</v>
      </c>
      <c r="G715" s="6" t="s">
        <v>16</v>
      </c>
      <c r="H715" s="59" t="s">
        <v>1026</v>
      </c>
      <c r="I715" s="58" t="s">
        <v>872</v>
      </c>
      <c r="J715" t="s">
        <v>869</v>
      </c>
      <c r="K715" t="s">
        <v>824</v>
      </c>
      <c r="L715" t="s">
        <v>1038</v>
      </c>
      <c r="M715" t="s">
        <v>1163</v>
      </c>
      <c r="N715" s="57">
        <v>1300</v>
      </c>
      <c r="O715" t="s">
        <v>100</v>
      </c>
      <c r="P715" t="s">
        <v>93</v>
      </c>
      <c r="Q715" s="3">
        <v>45439</v>
      </c>
      <c r="R715" s="10">
        <f t="shared" ca="1" si="22"/>
        <v>46229</v>
      </c>
      <c r="S715" s="7">
        <f t="shared" ca="1" si="23"/>
        <v>2.1643835616438358</v>
      </c>
    </row>
    <row r="716" spans="1:19" x14ac:dyDescent="0.25">
      <c r="A716">
        <v>877336</v>
      </c>
      <c r="B716" t="s">
        <v>1122</v>
      </c>
      <c r="C716" t="s">
        <v>17</v>
      </c>
      <c r="D716" s="6" t="s">
        <v>22</v>
      </c>
      <c r="E716" t="s">
        <v>69</v>
      </c>
      <c r="G716" s="6" t="s">
        <v>16</v>
      </c>
      <c r="H716" s="59" t="s">
        <v>1026</v>
      </c>
      <c r="I716" s="58" t="s">
        <v>872</v>
      </c>
      <c r="J716" t="s">
        <v>869</v>
      </c>
      <c r="K716" t="s">
        <v>824</v>
      </c>
      <c r="L716" t="s">
        <v>25</v>
      </c>
      <c r="M716" t="s">
        <v>1163</v>
      </c>
      <c r="N716" s="57">
        <v>1300</v>
      </c>
      <c r="O716" t="s">
        <v>100</v>
      </c>
      <c r="P716" t="s">
        <v>93</v>
      </c>
      <c r="Q716" s="3">
        <v>46083</v>
      </c>
      <c r="R716" s="10">
        <f t="shared" ca="1" si="22"/>
        <v>46229</v>
      </c>
      <c r="S716" s="7">
        <f t="shared" ca="1" si="23"/>
        <v>0.4</v>
      </c>
    </row>
    <row r="717" spans="1:19" x14ac:dyDescent="0.25">
      <c r="A717">
        <v>1126642</v>
      </c>
      <c r="B717" t="s">
        <v>159</v>
      </c>
      <c r="C717" t="s">
        <v>17</v>
      </c>
      <c r="D717" s="6" t="s">
        <v>22</v>
      </c>
      <c r="E717" t="s">
        <v>72</v>
      </c>
      <c r="G717" s="6" t="s">
        <v>969</v>
      </c>
      <c r="H717" s="59" t="s">
        <v>1024</v>
      </c>
      <c r="I717" s="58" t="s">
        <v>880</v>
      </c>
      <c r="J717" t="s">
        <v>832</v>
      </c>
      <c r="K717" t="s">
        <v>31</v>
      </c>
      <c r="L717" t="s">
        <v>91</v>
      </c>
      <c r="M717" t="s">
        <v>1163</v>
      </c>
      <c r="N717" s="57">
        <v>1300</v>
      </c>
      <c r="O717" t="s">
        <v>100</v>
      </c>
      <c r="P717" t="s">
        <v>38</v>
      </c>
      <c r="Q717" s="3">
        <v>44298</v>
      </c>
      <c r="R717" s="10">
        <f t="shared" ca="1" si="22"/>
        <v>46229</v>
      </c>
      <c r="S717" s="7">
        <f t="shared" ca="1" si="23"/>
        <v>5.2904109589041095</v>
      </c>
    </row>
    <row r="718" spans="1:19" x14ac:dyDescent="0.25">
      <c r="A718">
        <v>1149562</v>
      </c>
      <c r="B718" t="s">
        <v>169</v>
      </c>
      <c r="C718" t="s">
        <v>17</v>
      </c>
      <c r="D718" s="6" t="s">
        <v>22</v>
      </c>
      <c r="E718" t="s">
        <v>72</v>
      </c>
      <c r="G718" s="6" t="s">
        <v>969</v>
      </c>
      <c r="H718" s="59" t="s">
        <v>1024</v>
      </c>
      <c r="I718" s="58" t="s">
        <v>880</v>
      </c>
      <c r="J718" t="s">
        <v>832</v>
      </c>
      <c r="K718" t="s">
        <v>31</v>
      </c>
      <c r="L718" t="s">
        <v>91</v>
      </c>
      <c r="M718" t="s">
        <v>1163</v>
      </c>
      <c r="N718" s="57">
        <v>1300</v>
      </c>
      <c r="O718" t="s">
        <v>100</v>
      </c>
      <c r="P718" t="s">
        <v>93</v>
      </c>
      <c r="Q718" s="3">
        <v>44642</v>
      </c>
      <c r="R718" s="10">
        <f t="shared" ca="1" si="22"/>
        <v>46229</v>
      </c>
      <c r="S718" s="7">
        <f t="shared" ca="1" si="23"/>
        <v>4.3479452054794523</v>
      </c>
    </row>
    <row r="719" spans="1:19" x14ac:dyDescent="0.25">
      <c r="A719">
        <v>1154235</v>
      </c>
      <c r="B719" t="s">
        <v>178</v>
      </c>
      <c r="C719" t="s">
        <v>17</v>
      </c>
      <c r="D719" s="6" t="s">
        <v>22</v>
      </c>
      <c r="E719" t="s">
        <v>72</v>
      </c>
      <c r="G719" s="6" t="s">
        <v>969</v>
      </c>
      <c r="H719" s="59" t="s">
        <v>1024</v>
      </c>
      <c r="I719" s="58" t="s">
        <v>880</v>
      </c>
      <c r="J719" t="s">
        <v>832</v>
      </c>
      <c r="K719" t="s">
        <v>31</v>
      </c>
      <c r="L719" t="s">
        <v>91</v>
      </c>
      <c r="M719" t="s">
        <v>1163</v>
      </c>
      <c r="N719" s="57">
        <v>1300</v>
      </c>
      <c r="O719" t="s">
        <v>100</v>
      </c>
      <c r="P719" t="s">
        <v>93</v>
      </c>
      <c r="Q719" s="3">
        <v>45782</v>
      </c>
      <c r="R719" s="10">
        <f t="shared" ca="1" si="22"/>
        <v>46229</v>
      </c>
      <c r="S719" s="7">
        <f t="shared" ca="1" si="23"/>
        <v>1.2246575342465753</v>
      </c>
    </row>
    <row r="720" spans="1:19" x14ac:dyDescent="0.25">
      <c r="A720">
        <v>1160875</v>
      </c>
      <c r="B720" t="s">
        <v>188</v>
      </c>
      <c r="C720" t="s">
        <v>17</v>
      </c>
      <c r="D720" s="6" t="s">
        <v>22</v>
      </c>
      <c r="E720" t="s">
        <v>72</v>
      </c>
      <c r="G720" s="6" t="s">
        <v>969</v>
      </c>
      <c r="H720" s="59" t="s">
        <v>1024</v>
      </c>
      <c r="I720" s="58" t="s">
        <v>880</v>
      </c>
      <c r="J720" t="s">
        <v>832</v>
      </c>
      <c r="K720" t="s">
        <v>31</v>
      </c>
      <c r="L720" t="s">
        <v>91</v>
      </c>
      <c r="M720" t="s">
        <v>1163</v>
      </c>
      <c r="N720" s="57">
        <v>1300</v>
      </c>
      <c r="O720" t="s">
        <v>100</v>
      </c>
      <c r="P720" t="s">
        <v>93</v>
      </c>
      <c r="Q720" s="3">
        <v>44788</v>
      </c>
      <c r="R720" s="10">
        <f t="shared" ca="1" si="22"/>
        <v>46229</v>
      </c>
      <c r="S720" s="7">
        <f t="shared" ca="1" si="23"/>
        <v>3.9479452054794519</v>
      </c>
    </row>
    <row r="721" spans="1:19" x14ac:dyDescent="0.25">
      <c r="A721">
        <v>1175739</v>
      </c>
      <c r="B721" t="s">
        <v>221</v>
      </c>
      <c r="C721" t="s">
        <v>17</v>
      </c>
      <c r="D721" s="6" t="s">
        <v>22</v>
      </c>
      <c r="E721" t="s">
        <v>72</v>
      </c>
      <c r="G721" s="6" t="s">
        <v>969</v>
      </c>
      <c r="H721" s="59" t="s">
        <v>1024</v>
      </c>
      <c r="I721" s="58" t="s">
        <v>880</v>
      </c>
      <c r="J721" t="s">
        <v>832</v>
      </c>
      <c r="K721" t="s">
        <v>31</v>
      </c>
      <c r="L721" t="s">
        <v>91</v>
      </c>
      <c r="M721" t="s">
        <v>1163</v>
      </c>
      <c r="N721" s="57">
        <v>1300</v>
      </c>
      <c r="O721" t="s">
        <v>100</v>
      </c>
      <c r="P721" t="s">
        <v>93</v>
      </c>
      <c r="Q721" s="3">
        <v>44998</v>
      </c>
      <c r="R721" s="10">
        <f t="shared" ca="1" si="22"/>
        <v>46229</v>
      </c>
      <c r="S721" s="7">
        <f t="shared" ca="1" si="23"/>
        <v>3.3726027397260272</v>
      </c>
    </row>
    <row r="722" spans="1:19" x14ac:dyDescent="0.25">
      <c r="A722">
        <v>31450</v>
      </c>
      <c r="B722" t="s">
        <v>373</v>
      </c>
      <c r="C722" t="s">
        <v>17</v>
      </c>
      <c r="D722" s="6" t="s">
        <v>22</v>
      </c>
      <c r="E722" t="s">
        <v>72</v>
      </c>
      <c r="G722" s="6" t="s">
        <v>969</v>
      </c>
      <c r="H722" s="59" t="s">
        <v>1024</v>
      </c>
      <c r="I722" s="58" t="s">
        <v>880</v>
      </c>
      <c r="J722" t="s">
        <v>832</v>
      </c>
      <c r="K722" t="s">
        <v>31</v>
      </c>
      <c r="L722" t="s">
        <v>91</v>
      </c>
      <c r="M722" t="s">
        <v>1163</v>
      </c>
      <c r="N722" s="57">
        <v>1300</v>
      </c>
      <c r="O722" t="s">
        <v>100</v>
      </c>
      <c r="P722" t="s">
        <v>93</v>
      </c>
      <c r="Q722" s="3">
        <v>41589</v>
      </c>
      <c r="R722" s="10">
        <f t="shared" ca="1" si="22"/>
        <v>46229</v>
      </c>
      <c r="S722" s="7">
        <f t="shared" ca="1" si="23"/>
        <v>12.712328767123287</v>
      </c>
    </row>
    <row r="723" spans="1:19" x14ac:dyDescent="0.25">
      <c r="A723">
        <v>4047361</v>
      </c>
      <c r="B723" t="s">
        <v>473</v>
      </c>
      <c r="C723" t="s">
        <v>17</v>
      </c>
      <c r="D723" s="6" t="s">
        <v>22</v>
      </c>
      <c r="E723" t="s">
        <v>72</v>
      </c>
      <c r="G723" s="6" t="s">
        <v>969</v>
      </c>
      <c r="H723" s="59" t="s">
        <v>1024</v>
      </c>
      <c r="I723" s="58" t="s">
        <v>880</v>
      </c>
      <c r="J723" t="s">
        <v>832</v>
      </c>
      <c r="K723" t="s">
        <v>31</v>
      </c>
      <c r="L723" t="s">
        <v>91</v>
      </c>
      <c r="M723" t="s">
        <v>1163</v>
      </c>
      <c r="N723" s="57">
        <v>1300</v>
      </c>
      <c r="O723" t="s">
        <v>100</v>
      </c>
      <c r="P723" t="s">
        <v>93</v>
      </c>
      <c r="Q723" s="3">
        <v>44571</v>
      </c>
      <c r="R723" s="10">
        <f t="shared" ca="1" si="22"/>
        <v>46229</v>
      </c>
      <c r="S723" s="7">
        <f t="shared" ca="1" si="23"/>
        <v>4.5424657534246577</v>
      </c>
    </row>
    <row r="724" spans="1:19" x14ac:dyDescent="0.25">
      <c r="A724">
        <v>4076642</v>
      </c>
      <c r="B724" t="s">
        <v>538</v>
      </c>
      <c r="C724" t="s">
        <v>17</v>
      </c>
      <c r="D724" s="6" t="s">
        <v>22</v>
      </c>
      <c r="E724" t="s">
        <v>72</v>
      </c>
      <c r="G724" s="6" t="s">
        <v>969</v>
      </c>
      <c r="H724" s="59" t="s">
        <v>1024</v>
      </c>
      <c r="I724" s="58" t="s">
        <v>880</v>
      </c>
      <c r="J724" t="s">
        <v>832</v>
      </c>
      <c r="K724" t="s">
        <v>31</v>
      </c>
      <c r="L724" t="s">
        <v>91</v>
      </c>
      <c r="M724" t="s">
        <v>1163</v>
      </c>
      <c r="N724" s="57">
        <v>1300</v>
      </c>
      <c r="O724" t="s">
        <v>100</v>
      </c>
      <c r="P724" t="s">
        <v>93</v>
      </c>
      <c r="Q724" s="3">
        <v>44931</v>
      </c>
      <c r="R724" s="10">
        <f t="shared" ca="1" si="22"/>
        <v>46229</v>
      </c>
      <c r="S724" s="7">
        <f t="shared" ca="1" si="23"/>
        <v>3.5561643835616437</v>
      </c>
    </row>
    <row r="725" spans="1:19" x14ac:dyDescent="0.25">
      <c r="A725">
        <v>836196</v>
      </c>
      <c r="B725" t="s">
        <v>737</v>
      </c>
      <c r="C725" t="s">
        <v>17</v>
      </c>
      <c r="D725" s="6" t="s">
        <v>22</v>
      </c>
      <c r="E725" t="s">
        <v>72</v>
      </c>
      <c r="G725" s="6" t="s">
        <v>969</v>
      </c>
      <c r="H725" s="59" t="s">
        <v>1024</v>
      </c>
      <c r="I725" s="58" t="s">
        <v>880</v>
      </c>
      <c r="J725" t="s">
        <v>832</v>
      </c>
      <c r="K725" t="s">
        <v>31</v>
      </c>
      <c r="L725" t="s">
        <v>91</v>
      </c>
      <c r="M725" t="s">
        <v>1163</v>
      </c>
      <c r="N725" s="57">
        <v>1300</v>
      </c>
      <c r="O725" t="s">
        <v>100</v>
      </c>
      <c r="P725" t="s">
        <v>93</v>
      </c>
      <c r="Q725" s="3">
        <v>44851</v>
      </c>
      <c r="R725" s="10">
        <f t="shared" ca="1" si="22"/>
        <v>46229</v>
      </c>
      <c r="S725" s="7">
        <f t="shared" ca="1" si="23"/>
        <v>3.7753424657534245</v>
      </c>
    </row>
    <row r="726" spans="1:19" x14ac:dyDescent="0.25">
      <c r="A726">
        <v>1172814</v>
      </c>
      <c r="B726" t="s">
        <v>206</v>
      </c>
      <c r="C726" t="s">
        <v>17</v>
      </c>
      <c r="D726" s="6" t="s">
        <v>22</v>
      </c>
      <c r="E726" t="s">
        <v>43</v>
      </c>
      <c r="G726" s="6" t="s">
        <v>1840</v>
      </c>
      <c r="H726" s="59" t="s">
        <v>1017</v>
      </c>
      <c r="I726" s="58" t="s">
        <v>1449</v>
      </c>
      <c r="J726" t="s">
        <v>30</v>
      </c>
      <c r="K726" t="s">
        <v>31</v>
      </c>
      <c r="L726" t="s">
        <v>966</v>
      </c>
      <c r="M726" t="s">
        <v>1163</v>
      </c>
      <c r="N726" s="57">
        <v>1200</v>
      </c>
      <c r="O726" t="s">
        <v>100</v>
      </c>
      <c r="P726" t="s">
        <v>93</v>
      </c>
      <c r="Q726" s="3">
        <v>44942</v>
      </c>
      <c r="R726" s="10">
        <f t="shared" ca="1" si="22"/>
        <v>46229</v>
      </c>
      <c r="S726" s="7">
        <f t="shared" ca="1" si="23"/>
        <v>3.526027397260274</v>
      </c>
    </row>
    <row r="727" spans="1:19" x14ac:dyDescent="0.25">
      <c r="A727">
        <v>1197929</v>
      </c>
      <c r="B727" t="s">
        <v>275</v>
      </c>
      <c r="C727" t="s">
        <v>17</v>
      </c>
      <c r="D727" s="6" t="s">
        <v>22</v>
      </c>
      <c r="E727" t="s">
        <v>43</v>
      </c>
      <c r="G727" s="6" t="s">
        <v>1840</v>
      </c>
      <c r="H727" s="59" t="s">
        <v>1017</v>
      </c>
      <c r="I727" s="58" t="s">
        <v>1449</v>
      </c>
      <c r="J727" t="s">
        <v>30</v>
      </c>
      <c r="K727" t="s">
        <v>31</v>
      </c>
      <c r="L727" t="s">
        <v>966</v>
      </c>
      <c r="M727" t="s">
        <v>1163</v>
      </c>
      <c r="N727" s="57">
        <v>1200</v>
      </c>
      <c r="O727" t="s">
        <v>100</v>
      </c>
      <c r="P727" t="s">
        <v>93</v>
      </c>
      <c r="Q727" s="3">
        <v>45600</v>
      </c>
      <c r="R727" s="10">
        <f t="shared" ca="1" si="22"/>
        <v>46229</v>
      </c>
      <c r="S727" s="7">
        <f t="shared" ca="1" si="23"/>
        <v>1.7232876712328766</v>
      </c>
    </row>
    <row r="728" spans="1:19" x14ac:dyDescent="0.25">
      <c r="A728">
        <v>966542</v>
      </c>
      <c r="B728" t="s">
        <v>1448</v>
      </c>
      <c r="C728" t="s">
        <v>17</v>
      </c>
      <c r="D728" s="6" t="s">
        <v>22</v>
      </c>
      <c r="E728" t="s">
        <v>72</v>
      </c>
      <c r="G728" s="6" t="s">
        <v>1840</v>
      </c>
      <c r="H728" s="59" t="s">
        <v>1017</v>
      </c>
      <c r="I728" s="58" t="s">
        <v>1449</v>
      </c>
      <c r="J728" t="s">
        <v>30</v>
      </c>
      <c r="K728" t="s">
        <v>31</v>
      </c>
      <c r="L728" t="s">
        <v>966</v>
      </c>
      <c r="M728" t="s">
        <v>1163</v>
      </c>
      <c r="N728" s="57">
        <v>1300</v>
      </c>
      <c r="O728" t="s">
        <v>100</v>
      </c>
      <c r="P728" t="s">
        <v>93</v>
      </c>
      <c r="Q728" s="3">
        <v>46146</v>
      </c>
      <c r="R728" s="10">
        <f t="shared" ca="1" si="22"/>
        <v>46229</v>
      </c>
      <c r="S728" s="7">
        <f t="shared" ca="1" si="23"/>
        <v>0.22739726027397261</v>
      </c>
    </row>
    <row r="729" spans="1:19" x14ac:dyDescent="0.25">
      <c r="A729">
        <v>1233698</v>
      </c>
      <c r="B729" t="s">
        <v>1594</v>
      </c>
      <c r="C729" t="s">
        <v>17</v>
      </c>
      <c r="D729" s="6" t="s">
        <v>22</v>
      </c>
      <c r="E729" t="s">
        <v>43</v>
      </c>
      <c r="G729" s="6" t="s">
        <v>1850</v>
      </c>
      <c r="H729" s="59" t="s">
        <v>1504</v>
      </c>
      <c r="I729" s="58" t="s">
        <v>1795</v>
      </c>
      <c r="J729" t="s">
        <v>31</v>
      </c>
      <c r="K729" t="s">
        <v>94</v>
      </c>
      <c r="L729" t="s">
        <v>1038</v>
      </c>
      <c r="M729" t="s">
        <v>1163</v>
      </c>
      <c r="N729" s="57">
        <v>1200</v>
      </c>
      <c r="O729" t="s">
        <v>100</v>
      </c>
      <c r="P729" t="s">
        <v>93</v>
      </c>
      <c r="Q729" s="3">
        <v>46181</v>
      </c>
      <c r="R729" s="10">
        <f t="shared" ca="1" si="22"/>
        <v>46229</v>
      </c>
      <c r="S729" s="7">
        <f t="shared" ca="1" si="23"/>
        <v>0.13150684931506848</v>
      </c>
    </row>
    <row r="730" spans="1:19" x14ac:dyDescent="0.25">
      <c r="A730">
        <v>1179791</v>
      </c>
      <c r="B730" t="s">
        <v>236</v>
      </c>
      <c r="C730" t="s">
        <v>17</v>
      </c>
      <c r="D730" s="6" t="s">
        <v>39</v>
      </c>
      <c r="E730" t="s">
        <v>58</v>
      </c>
      <c r="G730" s="6" t="s">
        <v>1850</v>
      </c>
      <c r="H730" s="59" t="s">
        <v>92</v>
      </c>
      <c r="I730" s="58" t="s">
        <v>1795</v>
      </c>
      <c r="J730" t="s">
        <v>31</v>
      </c>
      <c r="K730" t="s">
        <v>94</v>
      </c>
      <c r="L730" t="s">
        <v>966</v>
      </c>
      <c r="M730" t="s">
        <v>1163</v>
      </c>
      <c r="N730" s="57">
        <v>6900</v>
      </c>
      <c r="O730" t="s">
        <v>100</v>
      </c>
      <c r="P730" t="s">
        <v>38</v>
      </c>
      <c r="Q730" s="3">
        <v>45110</v>
      </c>
      <c r="R730" s="10">
        <f t="shared" ca="1" si="22"/>
        <v>46229</v>
      </c>
      <c r="S730" s="7">
        <f t="shared" ca="1" si="23"/>
        <v>3.0657534246575344</v>
      </c>
    </row>
    <row r="731" spans="1:19" x14ac:dyDescent="0.25">
      <c r="A731">
        <v>4010783</v>
      </c>
      <c r="B731" t="s">
        <v>429</v>
      </c>
      <c r="C731" t="s">
        <v>17</v>
      </c>
      <c r="D731" s="6" t="s">
        <v>22</v>
      </c>
      <c r="E731" t="s">
        <v>43</v>
      </c>
      <c r="G731" s="6" t="s">
        <v>1850</v>
      </c>
      <c r="H731" s="59" t="s">
        <v>1018</v>
      </c>
      <c r="I731" s="58" t="s">
        <v>1795</v>
      </c>
      <c r="J731" t="s">
        <v>31</v>
      </c>
      <c r="K731" t="s">
        <v>94</v>
      </c>
      <c r="L731" t="s">
        <v>966</v>
      </c>
      <c r="M731" t="s">
        <v>1163</v>
      </c>
      <c r="N731" s="57">
        <v>1300</v>
      </c>
      <c r="O731" t="s">
        <v>100</v>
      </c>
      <c r="P731" t="s">
        <v>93</v>
      </c>
      <c r="Q731" s="3">
        <v>43699</v>
      </c>
      <c r="R731" s="10">
        <f t="shared" ca="1" si="22"/>
        <v>46229</v>
      </c>
      <c r="S731" s="7">
        <f t="shared" ca="1" si="23"/>
        <v>6.9315068493150687</v>
      </c>
    </row>
    <row r="732" spans="1:19" x14ac:dyDescent="0.25">
      <c r="A732">
        <v>40513</v>
      </c>
      <c r="B732" t="s">
        <v>479</v>
      </c>
      <c r="C732" t="s">
        <v>17</v>
      </c>
      <c r="D732" s="6" t="s">
        <v>22</v>
      </c>
      <c r="E732" t="s">
        <v>44</v>
      </c>
      <c r="G732" s="6" t="s">
        <v>967</v>
      </c>
      <c r="H732" s="59" t="s">
        <v>1023</v>
      </c>
      <c r="I732" s="58" t="s">
        <v>922</v>
      </c>
      <c r="J732" t="s">
        <v>826</v>
      </c>
      <c r="K732" t="s">
        <v>827</v>
      </c>
      <c r="L732" t="s">
        <v>91</v>
      </c>
      <c r="M732" t="s">
        <v>1163</v>
      </c>
      <c r="N732" s="57">
        <v>1500</v>
      </c>
      <c r="O732" t="s">
        <v>100</v>
      </c>
      <c r="P732" t="s">
        <v>93</v>
      </c>
      <c r="Q732" s="3">
        <v>40459</v>
      </c>
      <c r="R732" s="10">
        <f t="shared" ca="1" si="22"/>
        <v>46229</v>
      </c>
      <c r="S732" s="7">
        <f t="shared" ca="1" si="23"/>
        <v>15.808219178082192</v>
      </c>
    </row>
    <row r="733" spans="1:19" x14ac:dyDescent="0.25">
      <c r="A733">
        <v>950916</v>
      </c>
      <c r="B733" t="s">
        <v>1412</v>
      </c>
      <c r="C733" t="s">
        <v>17</v>
      </c>
      <c r="D733" s="6" t="s">
        <v>22</v>
      </c>
      <c r="E733" t="s">
        <v>44</v>
      </c>
      <c r="G733" s="6" t="s">
        <v>967</v>
      </c>
      <c r="H733" s="59" t="s">
        <v>1023</v>
      </c>
      <c r="I733" s="58" t="s">
        <v>922</v>
      </c>
      <c r="J733" t="s">
        <v>826</v>
      </c>
      <c r="K733" t="s">
        <v>827</v>
      </c>
      <c r="L733" t="s">
        <v>91</v>
      </c>
      <c r="M733" t="s">
        <v>1163</v>
      </c>
      <c r="N733" s="57">
        <v>1500</v>
      </c>
      <c r="O733" t="s">
        <v>100</v>
      </c>
      <c r="P733" t="s">
        <v>38</v>
      </c>
      <c r="Q733" s="3">
        <v>46132</v>
      </c>
      <c r="R733" s="10">
        <f t="shared" ca="1" si="22"/>
        <v>46229</v>
      </c>
      <c r="S733" s="7">
        <f t="shared" ca="1" si="23"/>
        <v>0.26575342465753427</v>
      </c>
    </row>
    <row r="734" spans="1:19" x14ac:dyDescent="0.25">
      <c r="A734">
        <v>1011060</v>
      </c>
      <c r="B734" t="s">
        <v>1586</v>
      </c>
      <c r="C734" t="s">
        <v>1044</v>
      </c>
      <c r="D734" s="6" t="s">
        <v>22</v>
      </c>
      <c r="E734" t="s">
        <v>21</v>
      </c>
      <c r="G734" s="6" t="s">
        <v>968</v>
      </c>
      <c r="H734" s="59" t="s">
        <v>1027</v>
      </c>
      <c r="I734" s="58" t="s">
        <v>1413</v>
      </c>
      <c r="J734" t="s">
        <v>847</v>
      </c>
      <c r="K734" t="s">
        <v>830</v>
      </c>
      <c r="L734" t="s">
        <v>1038</v>
      </c>
      <c r="M734" t="s">
        <v>1163</v>
      </c>
      <c r="N734" s="57">
        <v>1200</v>
      </c>
      <c r="O734" t="s">
        <v>100</v>
      </c>
      <c r="P734" t="s">
        <v>93</v>
      </c>
      <c r="Q734" s="3">
        <v>46170</v>
      </c>
      <c r="R734" s="10">
        <f t="shared" ca="1" si="22"/>
        <v>46229</v>
      </c>
      <c r="S734" s="7">
        <f t="shared" ca="1" si="23"/>
        <v>0.16164383561643836</v>
      </c>
    </row>
    <row r="735" spans="1:19" x14ac:dyDescent="0.25">
      <c r="A735">
        <v>4014663</v>
      </c>
      <c r="B735" t="s">
        <v>434</v>
      </c>
      <c r="C735" t="s">
        <v>17</v>
      </c>
      <c r="D735" s="6" t="s">
        <v>22</v>
      </c>
      <c r="E735" t="s">
        <v>21</v>
      </c>
      <c r="G735" s="6" t="s">
        <v>968</v>
      </c>
      <c r="H735" s="59" t="s">
        <v>1027</v>
      </c>
      <c r="I735" s="58" t="s">
        <v>1413</v>
      </c>
      <c r="J735" t="s">
        <v>847</v>
      </c>
      <c r="K735" t="s">
        <v>830</v>
      </c>
      <c r="L735" t="s">
        <v>1038</v>
      </c>
      <c r="M735" t="s">
        <v>1163</v>
      </c>
      <c r="N735" s="57">
        <v>1200</v>
      </c>
      <c r="O735" t="s">
        <v>100</v>
      </c>
      <c r="P735" t="s">
        <v>93</v>
      </c>
      <c r="Q735" s="3">
        <v>43801</v>
      </c>
      <c r="R735" s="10">
        <f t="shared" ca="1" si="22"/>
        <v>46229</v>
      </c>
      <c r="S735" s="7">
        <f t="shared" ca="1" si="23"/>
        <v>6.6520547945205477</v>
      </c>
    </row>
    <row r="736" spans="1:19" x14ac:dyDescent="0.25">
      <c r="A736">
        <v>4026387</v>
      </c>
      <c r="B736" t="s">
        <v>1053</v>
      </c>
      <c r="C736" t="s">
        <v>17</v>
      </c>
      <c r="D736" s="6" t="s">
        <v>22</v>
      </c>
      <c r="E736" t="s">
        <v>21</v>
      </c>
      <c r="G736" s="6" t="s">
        <v>968</v>
      </c>
      <c r="H736" s="59" t="s">
        <v>1027</v>
      </c>
      <c r="I736" s="58" t="s">
        <v>1413</v>
      </c>
      <c r="J736" t="s">
        <v>847</v>
      </c>
      <c r="K736" t="s">
        <v>830</v>
      </c>
      <c r="L736" t="s">
        <v>1038</v>
      </c>
      <c r="M736" t="s">
        <v>1163</v>
      </c>
      <c r="N736" s="57">
        <v>1200</v>
      </c>
      <c r="O736" t="s">
        <v>100</v>
      </c>
      <c r="P736" t="s">
        <v>93</v>
      </c>
      <c r="Q736" s="3">
        <v>46072</v>
      </c>
      <c r="R736" s="10">
        <f t="shared" ca="1" si="22"/>
        <v>46229</v>
      </c>
      <c r="S736" s="7">
        <f t="shared" ca="1" si="23"/>
        <v>0.43013698630136987</v>
      </c>
    </row>
    <row r="737" spans="1:19" x14ac:dyDescent="0.25">
      <c r="A737">
        <v>4030869</v>
      </c>
      <c r="B737" t="s">
        <v>1055</v>
      </c>
      <c r="C737" t="s">
        <v>17</v>
      </c>
      <c r="D737" s="6" t="s">
        <v>22</v>
      </c>
      <c r="E737" t="s">
        <v>21</v>
      </c>
      <c r="G737" s="6" t="s">
        <v>968</v>
      </c>
      <c r="H737" s="59" t="s">
        <v>1027</v>
      </c>
      <c r="I737" s="58" t="s">
        <v>1413</v>
      </c>
      <c r="J737" t="s">
        <v>847</v>
      </c>
      <c r="K737" t="s">
        <v>830</v>
      </c>
      <c r="L737" t="s">
        <v>1038</v>
      </c>
      <c r="M737" t="s">
        <v>1163</v>
      </c>
      <c r="N737" s="57">
        <v>1200</v>
      </c>
      <c r="O737" t="s">
        <v>100</v>
      </c>
      <c r="P737" t="s">
        <v>93</v>
      </c>
      <c r="Q737" s="3">
        <v>46072</v>
      </c>
      <c r="R737" s="10">
        <f t="shared" ca="1" si="22"/>
        <v>46229</v>
      </c>
      <c r="S737" s="7">
        <f t="shared" ca="1" si="23"/>
        <v>0.43013698630136987</v>
      </c>
    </row>
    <row r="738" spans="1:19" x14ac:dyDescent="0.25">
      <c r="A738">
        <v>4041609</v>
      </c>
      <c r="B738" t="s">
        <v>467</v>
      </c>
      <c r="C738" t="s">
        <v>17</v>
      </c>
      <c r="D738" s="6" t="s">
        <v>22</v>
      </c>
      <c r="E738" t="s">
        <v>21</v>
      </c>
      <c r="G738" s="6" t="s">
        <v>968</v>
      </c>
      <c r="H738" s="59" t="s">
        <v>1027</v>
      </c>
      <c r="I738" s="58" t="s">
        <v>1413</v>
      </c>
      <c r="J738" t="s">
        <v>847</v>
      </c>
      <c r="K738" t="s">
        <v>830</v>
      </c>
      <c r="L738" t="s">
        <v>1038</v>
      </c>
      <c r="M738" t="s">
        <v>1163</v>
      </c>
      <c r="N738" s="57">
        <v>1200</v>
      </c>
      <c r="O738" t="s">
        <v>100</v>
      </c>
      <c r="P738" t="s">
        <v>93</v>
      </c>
      <c r="Q738" s="3">
        <v>45467</v>
      </c>
      <c r="R738" s="10">
        <f t="shared" ca="1" si="22"/>
        <v>46229</v>
      </c>
      <c r="S738" s="7">
        <f t="shared" ca="1" si="23"/>
        <v>2.0876712328767124</v>
      </c>
    </row>
    <row r="739" spans="1:19" x14ac:dyDescent="0.25">
      <c r="A739">
        <v>4058130</v>
      </c>
      <c r="B739" t="s">
        <v>1625</v>
      </c>
      <c r="C739" t="s">
        <v>1044</v>
      </c>
      <c r="D739" s="6" t="s">
        <v>22</v>
      </c>
      <c r="E739" t="s">
        <v>21</v>
      </c>
      <c r="G739" s="6" t="s">
        <v>968</v>
      </c>
      <c r="H739" s="59" t="s">
        <v>1027</v>
      </c>
      <c r="I739" s="58" t="s">
        <v>1413</v>
      </c>
      <c r="J739" t="s">
        <v>847</v>
      </c>
      <c r="K739" t="s">
        <v>830</v>
      </c>
      <c r="L739" t="s">
        <v>1038</v>
      </c>
      <c r="M739" t="s">
        <v>1163</v>
      </c>
      <c r="N739" s="57">
        <v>1200</v>
      </c>
      <c r="O739" t="s">
        <v>100</v>
      </c>
      <c r="P739" t="s">
        <v>93</v>
      </c>
      <c r="Q739" s="3">
        <v>46170</v>
      </c>
      <c r="R739" s="10">
        <f t="shared" ca="1" si="22"/>
        <v>46229</v>
      </c>
      <c r="S739" s="7">
        <f t="shared" ca="1" si="23"/>
        <v>0.16164383561643836</v>
      </c>
    </row>
    <row r="740" spans="1:19" x14ac:dyDescent="0.25">
      <c r="A740">
        <v>4064078</v>
      </c>
      <c r="B740" t="s">
        <v>1058</v>
      </c>
      <c r="C740" t="s">
        <v>17</v>
      </c>
      <c r="D740" s="6" t="s">
        <v>22</v>
      </c>
      <c r="E740" t="s">
        <v>21</v>
      </c>
      <c r="G740" s="6" t="s">
        <v>968</v>
      </c>
      <c r="H740" s="59" t="s">
        <v>1027</v>
      </c>
      <c r="I740" s="58" t="s">
        <v>1413</v>
      </c>
      <c r="J740" t="s">
        <v>847</v>
      </c>
      <c r="K740" t="s">
        <v>830</v>
      </c>
      <c r="L740" t="s">
        <v>1038</v>
      </c>
      <c r="M740" t="s">
        <v>1163</v>
      </c>
      <c r="N740" s="57">
        <v>1200</v>
      </c>
      <c r="O740" t="s">
        <v>100</v>
      </c>
      <c r="P740" t="s">
        <v>93</v>
      </c>
      <c r="Q740" s="3">
        <v>46072</v>
      </c>
      <c r="R740" s="10">
        <f t="shared" ca="1" si="22"/>
        <v>46229</v>
      </c>
      <c r="S740" s="7">
        <f t="shared" ca="1" si="23"/>
        <v>0.43013698630136987</v>
      </c>
    </row>
    <row r="741" spans="1:19" x14ac:dyDescent="0.25">
      <c r="A741">
        <v>4064361</v>
      </c>
      <c r="B741" t="s">
        <v>508</v>
      </c>
      <c r="C741" t="s">
        <v>17</v>
      </c>
      <c r="D741" s="6" t="s">
        <v>22</v>
      </c>
      <c r="E741" t="s">
        <v>21</v>
      </c>
      <c r="G741" s="6" t="s">
        <v>968</v>
      </c>
      <c r="H741" s="59" t="s">
        <v>1027</v>
      </c>
      <c r="I741" s="58" t="s">
        <v>1413</v>
      </c>
      <c r="J741" t="s">
        <v>847</v>
      </c>
      <c r="K741" t="s">
        <v>830</v>
      </c>
      <c r="L741" t="s">
        <v>1038</v>
      </c>
      <c r="M741" t="s">
        <v>1163</v>
      </c>
      <c r="N741" s="57">
        <v>1200</v>
      </c>
      <c r="O741" t="s">
        <v>100</v>
      </c>
      <c r="P741" t="s">
        <v>93</v>
      </c>
      <c r="Q741" s="3">
        <v>44791</v>
      </c>
      <c r="R741" s="10">
        <f t="shared" ca="1" si="22"/>
        <v>46229</v>
      </c>
      <c r="S741" s="7">
        <f t="shared" ca="1" si="23"/>
        <v>3.9397260273972603</v>
      </c>
    </row>
    <row r="742" spans="1:19" x14ac:dyDescent="0.25">
      <c r="A742">
        <v>4065162</v>
      </c>
      <c r="B742" t="s">
        <v>514</v>
      </c>
      <c r="C742" t="s">
        <v>17</v>
      </c>
      <c r="D742" s="6" t="s">
        <v>22</v>
      </c>
      <c r="E742" t="s">
        <v>21</v>
      </c>
      <c r="G742" s="6" t="s">
        <v>968</v>
      </c>
      <c r="H742" s="59" t="s">
        <v>1027</v>
      </c>
      <c r="I742" s="58" t="s">
        <v>1413</v>
      </c>
      <c r="J742" t="s">
        <v>847</v>
      </c>
      <c r="K742" t="s">
        <v>830</v>
      </c>
      <c r="L742" t="s">
        <v>1038</v>
      </c>
      <c r="M742" t="s">
        <v>1163</v>
      </c>
      <c r="N742" s="57">
        <v>1200</v>
      </c>
      <c r="O742" t="s">
        <v>100</v>
      </c>
      <c r="P742" t="s">
        <v>93</v>
      </c>
      <c r="Q742" s="3">
        <v>45092</v>
      </c>
      <c r="R742" s="10">
        <f t="shared" ca="1" si="22"/>
        <v>46229</v>
      </c>
      <c r="S742" s="7">
        <f t="shared" ca="1" si="23"/>
        <v>3.1150684931506851</v>
      </c>
    </row>
    <row r="743" spans="1:19" x14ac:dyDescent="0.25">
      <c r="A743">
        <v>4075949</v>
      </c>
      <c r="B743" t="s">
        <v>537</v>
      </c>
      <c r="C743" t="s">
        <v>17</v>
      </c>
      <c r="D743" s="6" t="s">
        <v>22</v>
      </c>
      <c r="E743" t="s">
        <v>21</v>
      </c>
      <c r="G743" s="6" t="s">
        <v>968</v>
      </c>
      <c r="H743" s="59" t="s">
        <v>1027</v>
      </c>
      <c r="I743" s="58" t="s">
        <v>1413</v>
      </c>
      <c r="J743" t="s">
        <v>847</v>
      </c>
      <c r="K743" t="s">
        <v>830</v>
      </c>
      <c r="L743" t="s">
        <v>1038</v>
      </c>
      <c r="M743" t="s">
        <v>1163</v>
      </c>
      <c r="N743" s="57">
        <v>1200</v>
      </c>
      <c r="O743" t="s">
        <v>100</v>
      </c>
      <c r="P743" t="s">
        <v>93</v>
      </c>
      <c r="Q743" s="3">
        <v>45439</v>
      </c>
      <c r="R743" s="10">
        <f t="shared" ca="1" si="22"/>
        <v>46229</v>
      </c>
      <c r="S743" s="7">
        <f t="shared" ca="1" si="23"/>
        <v>2.1643835616438358</v>
      </c>
    </row>
    <row r="744" spans="1:19" x14ac:dyDescent="0.25">
      <c r="A744">
        <v>4078450</v>
      </c>
      <c r="B744" t="s">
        <v>544</v>
      </c>
      <c r="C744" t="s">
        <v>17</v>
      </c>
      <c r="D744" s="6" t="s">
        <v>22</v>
      </c>
      <c r="E744" t="s">
        <v>21</v>
      </c>
      <c r="G744" s="6" t="s">
        <v>968</v>
      </c>
      <c r="H744" s="59" t="s">
        <v>1027</v>
      </c>
      <c r="I744" s="58" t="s">
        <v>1413</v>
      </c>
      <c r="J744" t="s">
        <v>847</v>
      </c>
      <c r="K744" t="s">
        <v>830</v>
      </c>
      <c r="L744" t="s">
        <v>1038</v>
      </c>
      <c r="M744" t="s">
        <v>1163</v>
      </c>
      <c r="N744" s="57">
        <v>1200</v>
      </c>
      <c r="O744" t="s">
        <v>100</v>
      </c>
      <c r="P744" t="s">
        <v>93</v>
      </c>
      <c r="Q744" s="3">
        <v>44945</v>
      </c>
      <c r="R744" s="10">
        <f t="shared" ca="1" si="22"/>
        <v>46229</v>
      </c>
      <c r="S744" s="7">
        <f t="shared" ca="1" si="23"/>
        <v>3.5178082191780824</v>
      </c>
    </row>
    <row r="745" spans="1:19" x14ac:dyDescent="0.25">
      <c r="A745">
        <v>4087439</v>
      </c>
      <c r="B745" t="s">
        <v>563</v>
      </c>
      <c r="C745" t="s">
        <v>17</v>
      </c>
      <c r="D745" s="6" t="s">
        <v>22</v>
      </c>
      <c r="E745" t="s">
        <v>21</v>
      </c>
      <c r="G745" s="6" t="s">
        <v>968</v>
      </c>
      <c r="H745" s="59" t="s">
        <v>1027</v>
      </c>
      <c r="I745" s="58" t="s">
        <v>1413</v>
      </c>
      <c r="J745" t="s">
        <v>847</v>
      </c>
      <c r="K745" t="s">
        <v>830</v>
      </c>
      <c r="L745" t="s">
        <v>1038</v>
      </c>
      <c r="M745" t="s">
        <v>1163</v>
      </c>
      <c r="N745" s="57">
        <v>1200</v>
      </c>
      <c r="O745" t="s">
        <v>100</v>
      </c>
      <c r="P745" t="s">
        <v>93</v>
      </c>
      <c r="Q745" s="3">
        <v>45036</v>
      </c>
      <c r="R745" s="10">
        <f t="shared" ca="1" si="22"/>
        <v>46229</v>
      </c>
      <c r="S745" s="7">
        <f t="shared" ca="1" si="23"/>
        <v>3.2684931506849315</v>
      </c>
    </row>
    <row r="746" spans="1:19" x14ac:dyDescent="0.25">
      <c r="A746">
        <v>4089278</v>
      </c>
      <c r="B746" t="s">
        <v>571</v>
      </c>
      <c r="C746" t="s">
        <v>17</v>
      </c>
      <c r="D746" s="6" t="s">
        <v>22</v>
      </c>
      <c r="E746" t="s">
        <v>21</v>
      </c>
      <c r="G746" s="6" t="s">
        <v>968</v>
      </c>
      <c r="H746" s="59" t="s">
        <v>1027</v>
      </c>
      <c r="I746" s="58" t="s">
        <v>1413</v>
      </c>
      <c r="J746" t="s">
        <v>847</v>
      </c>
      <c r="K746" t="s">
        <v>830</v>
      </c>
      <c r="L746" t="s">
        <v>1038</v>
      </c>
      <c r="M746" t="s">
        <v>1163</v>
      </c>
      <c r="N746" s="57">
        <v>1200</v>
      </c>
      <c r="O746" t="s">
        <v>100</v>
      </c>
      <c r="P746" t="s">
        <v>93</v>
      </c>
      <c r="Q746" s="3">
        <v>45071</v>
      </c>
      <c r="R746" s="10">
        <f t="shared" ca="1" si="22"/>
        <v>46229</v>
      </c>
      <c r="S746" s="7">
        <f t="shared" ca="1" si="23"/>
        <v>3.1726027397260275</v>
      </c>
    </row>
    <row r="747" spans="1:19" x14ac:dyDescent="0.25">
      <c r="A747">
        <v>4094710</v>
      </c>
      <c r="B747" t="s">
        <v>583</v>
      </c>
      <c r="C747" t="s">
        <v>17</v>
      </c>
      <c r="D747" s="6" t="s">
        <v>22</v>
      </c>
      <c r="E747" t="s">
        <v>21</v>
      </c>
      <c r="G747" s="6" t="s">
        <v>968</v>
      </c>
      <c r="H747" s="59" t="s">
        <v>1027</v>
      </c>
      <c r="I747" s="58" t="s">
        <v>1413</v>
      </c>
      <c r="J747" t="s">
        <v>847</v>
      </c>
      <c r="K747" t="s">
        <v>830</v>
      </c>
      <c r="L747" t="s">
        <v>1038</v>
      </c>
      <c r="M747" t="s">
        <v>1163</v>
      </c>
      <c r="N747" s="57">
        <v>1200</v>
      </c>
      <c r="O747" t="s">
        <v>100</v>
      </c>
      <c r="P747" t="s">
        <v>93</v>
      </c>
      <c r="Q747" s="3">
        <v>45166</v>
      </c>
      <c r="R747" s="10">
        <f t="shared" ca="1" si="22"/>
        <v>46229</v>
      </c>
      <c r="S747" s="7">
        <f t="shared" ca="1" si="23"/>
        <v>2.9123287671232876</v>
      </c>
    </row>
    <row r="748" spans="1:19" x14ac:dyDescent="0.25">
      <c r="A748">
        <v>4099948</v>
      </c>
      <c r="B748" t="s">
        <v>593</v>
      </c>
      <c r="C748" t="s">
        <v>17</v>
      </c>
      <c r="D748" s="6" t="s">
        <v>22</v>
      </c>
      <c r="E748" t="s">
        <v>21</v>
      </c>
      <c r="G748" s="6" t="s">
        <v>968</v>
      </c>
      <c r="H748" s="59" t="s">
        <v>1027</v>
      </c>
      <c r="I748" s="58" t="s">
        <v>1413</v>
      </c>
      <c r="J748" t="s">
        <v>847</v>
      </c>
      <c r="K748" t="s">
        <v>830</v>
      </c>
      <c r="L748" t="s">
        <v>1038</v>
      </c>
      <c r="M748" t="s">
        <v>1163</v>
      </c>
      <c r="N748" s="57">
        <v>1200</v>
      </c>
      <c r="O748" t="s">
        <v>100</v>
      </c>
      <c r="P748" t="s">
        <v>93</v>
      </c>
      <c r="Q748" s="3">
        <v>45411</v>
      </c>
      <c r="R748" s="10">
        <f t="shared" ca="1" si="22"/>
        <v>46229</v>
      </c>
      <c r="S748" s="7">
        <f t="shared" ca="1" si="23"/>
        <v>2.2410958904109588</v>
      </c>
    </row>
    <row r="749" spans="1:19" x14ac:dyDescent="0.25">
      <c r="A749">
        <v>4099949</v>
      </c>
      <c r="B749" t="s">
        <v>594</v>
      </c>
      <c r="C749" t="s">
        <v>17</v>
      </c>
      <c r="D749" s="6" t="s">
        <v>22</v>
      </c>
      <c r="E749" t="s">
        <v>21</v>
      </c>
      <c r="G749" s="6" t="s">
        <v>968</v>
      </c>
      <c r="H749" s="59" t="s">
        <v>1027</v>
      </c>
      <c r="I749" s="58" t="s">
        <v>1413</v>
      </c>
      <c r="J749" t="s">
        <v>847</v>
      </c>
      <c r="K749" t="s">
        <v>830</v>
      </c>
      <c r="L749" t="s">
        <v>25</v>
      </c>
      <c r="M749" t="s">
        <v>1163</v>
      </c>
      <c r="N749" s="57">
        <v>1200</v>
      </c>
      <c r="O749" t="s">
        <v>100</v>
      </c>
      <c r="P749" t="s">
        <v>93</v>
      </c>
      <c r="Q749" s="3">
        <v>45411</v>
      </c>
      <c r="R749" s="10">
        <f t="shared" ca="1" si="22"/>
        <v>46229</v>
      </c>
      <c r="S749" s="7">
        <f t="shared" ca="1" si="23"/>
        <v>2.2410958904109588</v>
      </c>
    </row>
    <row r="750" spans="1:19" x14ac:dyDescent="0.25">
      <c r="A750">
        <v>4099962</v>
      </c>
      <c r="B750" t="s">
        <v>598</v>
      </c>
      <c r="C750" t="s">
        <v>17</v>
      </c>
      <c r="D750" s="6" t="s">
        <v>22</v>
      </c>
      <c r="E750" t="s">
        <v>55</v>
      </c>
      <c r="G750" s="6" t="s">
        <v>968</v>
      </c>
      <c r="H750" s="59" t="s">
        <v>1027</v>
      </c>
      <c r="I750" s="58" t="s">
        <v>1413</v>
      </c>
      <c r="J750" t="s">
        <v>847</v>
      </c>
      <c r="K750" t="s">
        <v>830</v>
      </c>
      <c r="L750" t="s">
        <v>1038</v>
      </c>
      <c r="M750" t="s">
        <v>1163</v>
      </c>
      <c r="N750" s="57">
        <v>1200</v>
      </c>
      <c r="O750" t="s">
        <v>100</v>
      </c>
      <c r="P750" t="s">
        <v>93</v>
      </c>
      <c r="Q750" s="3">
        <v>45411</v>
      </c>
      <c r="R750" s="10">
        <f t="shared" ca="1" si="22"/>
        <v>46229</v>
      </c>
      <c r="S750" s="7">
        <f t="shared" ca="1" si="23"/>
        <v>2.2410958904109588</v>
      </c>
    </row>
    <row r="751" spans="1:19" x14ac:dyDescent="0.25">
      <c r="A751">
        <v>4099966</v>
      </c>
      <c r="B751" t="s">
        <v>600</v>
      </c>
      <c r="C751" t="s">
        <v>17</v>
      </c>
      <c r="D751" s="6" t="s">
        <v>22</v>
      </c>
      <c r="E751" t="s">
        <v>21</v>
      </c>
      <c r="G751" s="6" t="s">
        <v>968</v>
      </c>
      <c r="H751" s="59" t="s">
        <v>1027</v>
      </c>
      <c r="I751" s="58" t="s">
        <v>1413</v>
      </c>
      <c r="J751" t="s">
        <v>847</v>
      </c>
      <c r="K751" t="s">
        <v>830</v>
      </c>
      <c r="L751" t="s">
        <v>1038</v>
      </c>
      <c r="M751" t="s">
        <v>1163</v>
      </c>
      <c r="N751" s="57">
        <v>1200</v>
      </c>
      <c r="O751" t="s">
        <v>100</v>
      </c>
      <c r="P751" t="s">
        <v>93</v>
      </c>
      <c r="Q751" s="3">
        <v>45411</v>
      </c>
      <c r="R751" s="10">
        <f t="shared" ca="1" si="22"/>
        <v>46229</v>
      </c>
      <c r="S751" s="7">
        <f t="shared" ca="1" si="23"/>
        <v>2.2410958904109588</v>
      </c>
    </row>
    <row r="752" spans="1:19" x14ac:dyDescent="0.25">
      <c r="A752">
        <v>4100897</v>
      </c>
      <c r="B752" t="s">
        <v>612</v>
      </c>
      <c r="C752" t="s">
        <v>17</v>
      </c>
      <c r="D752" s="6" t="s">
        <v>22</v>
      </c>
      <c r="E752" t="s">
        <v>21</v>
      </c>
      <c r="G752" s="6" t="s">
        <v>968</v>
      </c>
      <c r="H752" s="59" t="s">
        <v>1027</v>
      </c>
      <c r="I752" s="58" t="s">
        <v>1413</v>
      </c>
      <c r="J752" t="s">
        <v>847</v>
      </c>
      <c r="K752" t="s">
        <v>830</v>
      </c>
      <c r="L752" t="s">
        <v>1038</v>
      </c>
      <c r="M752" t="s">
        <v>1163</v>
      </c>
      <c r="N752" s="57">
        <v>1200</v>
      </c>
      <c r="O752" t="s">
        <v>100</v>
      </c>
      <c r="P752" t="s">
        <v>93</v>
      </c>
      <c r="Q752" s="3">
        <v>45442</v>
      </c>
      <c r="R752" s="10">
        <f t="shared" ca="1" si="22"/>
        <v>46229</v>
      </c>
      <c r="S752" s="7">
        <f t="shared" ca="1" si="23"/>
        <v>2.1561643835616437</v>
      </c>
    </row>
    <row r="753" spans="1:19" x14ac:dyDescent="0.25">
      <c r="A753">
        <v>4102089</v>
      </c>
      <c r="B753" t="s">
        <v>621</v>
      </c>
      <c r="C753" t="s">
        <v>17</v>
      </c>
      <c r="D753" s="6" t="s">
        <v>22</v>
      </c>
      <c r="E753" t="s">
        <v>21</v>
      </c>
      <c r="G753" s="6" t="s">
        <v>968</v>
      </c>
      <c r="H753" s="59" t="s">
        <v>1027</v>
      </c>
      <c r="I753" s="58" t="s">
        <v>1413</v>
      </c>
      <c r="J753" t="s">
        <v>847</v>
      </c>
      <c r="K753" t="s">
        <v>830</v>
      </c>
      <c r="L753" t="s">
        <v>1038</v>
      </c>
      <c r="M753" t="s">
        <v>1163</v>
      </c>
      <c r="N753" s="57">
        <v>1200</v>
      </c>
      <c r="O753" t="s">
        <v>100</v>
      </c>
      <c r="P753" t="s">
        <v>93</v>
      </c>
      <c r="Q753" s="3">
        <v>45467</v>
      </c>
      <c r="R753" s="10">
        <f t="shared" ca="1" si="22"/>
        <v>46229</v>
      </c>
      <c r="S753" s="7">
        <f t="shared" ca="1" si="23"/>
        <v>2.0876712328767124</v>
      </c>
    </row>
    <row r="754" spans="1:19" x14ac:dyDescent="0.25">
      <c r="A754">
        <v>4104686</v>
      </c>
      <c r="B754" t="s">
        <v>648</v>
      </c>
      <c r="C754" t="s">
        <v>17</v>
      </c>
      <c r="D754" s="6" t="s">
        <v>22</v>
      </c>
      <c r="E754" t="s">
        <v>55</v>
      </c>
      <c r="G754" s="6" t="s">
        <v>968</v>
      </c>
      <c r="H754" s="59" t="s">
        <v>1027</v>
      </c>
      <c r="I754" s="58" t="s">
        <v>1413</v>
      </c>
      <c r="J754" t="s">
        <v>847</v>
      </c>
      <c r="K754" t="s">
        <v>830</v>
      </c>
      <c r="L754" t="s">
        <v>1038</v>
      </c>
      <c r="M754" t="s">
        <v>1163</v>
      </c>
      <c r="N754" s="57">
        <v>1200</v>
      </c>
      <c r="O754" t="s">
        <v>100</v>
      </c>
      <c r="P754" t="s">
        <v>93</v>
      </c>
      <c r="Q754" s="3">
        <v>45533</v>
      </c>
      <c r="R754" s="10">
        <f t="shared" ca="1" si="22"/>
        <v>46229</v>
      </c>
      <c r="S754" s="7">
        <f t="shared" ca="1" si="23"/>
        <v>1.9068493150684931</v>
      </c>
    </row>
    <row r="755" spans="1:19" x14ac:dyDescent="0.25">
      <c r="A755">
        <v>4110742</v>
      </c>
      <c r="B755" t="s">
        <v>1644</v>
      </c>
      <c r="C755" t="s">
        <v>1044</v>
      </c>
      <c r="D755" s="6" t="s">
        <v>22</v>
      </c>
      <c r="E755" t="s">
        <v>21</v>
      </c>
      <c r="G755" s="6" t="s">
        <v>968</v>
      </c>
      <c r="H755" s="59" t="s">
        <v>1027</v>
      </c>
      <c r="I755" s="58" t="s">
        <v>1413</v>
      </c>
      <c r="J755" t="s">
        <v>847</v>
      </c>
      <c r="K755" t="s">
        <v>830</v>
      </c>
      <c r="L755" t="s">
        <v>1038</v>
      </c>
      <c r="M755" t="s">
        <v>1163</v>
      </c>
      <c r="N755" s="57">
        <v>1200</v>
      </c>
      <c r="O755" t="s">
        <v>100</v>
      </c>
      <c r="P755" t="s">
        <v>93</v>
      </c>
      <c r="Q755" s="3">
        <v>46170</v>
      </c>
      <c r="R755" s="10">
        <f t="shared" ca="1" si="22"/>
        <v>46229</v>
      </c>
      <c r="S755" s="7">
        <f t="shared" ca="1" si="23"/>
        <v>0.16164383561643836</v>
      </c>
    </row>
    <row r="756" spans="1:19" x14ac:dyDescent="0.25">
      <c r="A756">
        <v>4112619</v>
      </c>
      <c r="B756" t="s">
        <v>680</v>
      </c>
      <c r="C756" t="s">
        <v>17</v>
      </c>
      <c r="D756" s="6" t="s">
        <v>22</v>
      </c>
      <c r="E756" t="s">
        <v>21</v>
      </c>
      <c r="G756" s="6" t="s">
        <v>968</v>
      </c>
      <c r="H756" s="59" t="s">
        <v>1027</v>
      </c>
      <c r="I756" s="58" t="s">
        <v>1413</v>
      </c>
      <c r="J756" t="s">
        <v>847</v>
      </c>
      <c r="K756" t="s">
        <v>830</v>
      </c>
      <c r="L756" t="s">
        <v>1038</v>
      </c>
      <c r="M756" t="s">
        <v>1163</v>
      </c>
      <c r="N756" s="57">
        <v>1200</v>
      </c>
      <c r="O756" t="s">
        <v>100</v>
      </c>
      <c r="P756" t="s">
        <v>93</v>
      </c>
      <c r="Q756" s="3">
        <v>45701</v>
      </c>
      <c r="R756" s="10">
        <f t="shared" ca="1" si="22"/>
        <v>46229</v>
      </c>
      <c r="S756" s="7">
        <f t="shared" ca="1" si="23"/>
        <v>1.4465753424657535</v>
      </c>
    </row>
    <row r="757" spans="1:19" x14ac:dyDescent="0.25">
      <c r="A757">
        <v>4113270</v>
      </c>
      <c r="B757" t="s">
        <v>682</v>
      </c>
      <c r="C757" t="s">
        <v>17</v>
      </c>
      <c r="D757" s="6" t="s">
        <v>22</v>
      </c>
      <c r="E757" t="s">
        <v>21</v>
      </c>
      <c r="G757" s="6" t="s">
        <v>968</v>
      </c>
      <c r="H757" s="59" t="s">
        <v>1027</v>
      </c>
      <c r="I757" s="58" t="s">
        <v>1413</v>
      </c>
      <c r="J757" t="s">
        <v>847</v>
      </c>
      <c r="K757" t="s">
        <v>830</v>
      </c>
      <c r="L757" t="s">
        <v>1038</v>
      </c>
      <c r="M757" t="s">
        <v>1163</v>
      </c>
      <c r="N757" s="57">
        <v>1200</v>
      </c>
      <c r="O757" t="s">
        <v>100</v>
      </c>
      <c r="P757" t="s">
        <v>93</v>
      </c>
      <c r="Q757" s="3">
        <v>45729</v>
      </c>
      <c r="R757" s="10">
        <f t="shared" ca="1" si="22"/>
        <v>46229</v>
      </c>
      <c r="S757" s="7">
        <f t="shared" ca="1" si="23"/>
        <v>1.3698630136986301</v>
      </c>
    </row>
    <row r="758" spans="1:19" x14ac:dyDescent="0.25">
      <c r="A758">
        <v>4117970</v>
      </c>
      <c r="B758" t="s">
        <v>1650</v>
      </c>
      <c r="C758" t="s">
        <v>1044</v>
      </c>
      <c r="D758" s="6" t="s">
        <v>22</v>
      </c>
      <c r="E758" t="s">
        <v>21</v>
      </c>
      <c r="G758" s="6" t="s">
        <v>968</v>
      </c>
      <c r="H758" s="59" t="s">
        <v>1027</v>
      </c>
      <c r="I758" s="58" t="s">
        <v>1413</v>
      </c>
      <c r="J758" t="s">
        <v>847</v>
      </c>
      <c r="K758" t="s">
        <v>830</v>
      </c>
      <c r="L758" t="s">
        <v>1038</v>
      </c>
      <c r="M758" t="s">
        <v>1163</v>
      </c>
      <c r="N758" s="57">
        <v>1200</v>
      </c>
      <c r="O758" t="s">
        <v>100</v>
      </c>
      <c r="P758" t="s">
        <v>93</v>
      </c>
      <c r="Q758" s="3">
        <v>46170</v>
      </c>
      <c r="R758" s="10">
        <f t="shared" ca="1" si="22"/>
        <v>46229</v>
      </c>
      <c r="S758" s="7">
        <f t="shared" ca="1" si="23"/>
        <v>0.16164383561643836</v>
      </c>
    </row>
    <row r="759" spans="1:19" x14ac:dyDescent="0.25">
      <c r="A759">
        <v>4121077</v>
      </c>
      <c r="B759" t="s">
        <v>1074</v>
      </c>
      <c r="C759" t="s">
        <v>17</v>
      </c>
      <c r="D759" s="6" t="s">
        <v>22</v>
      </c>
      <c r="E759" t="s">
        <v>21</v>
      </c>
      <c r="G759" s="6" t="s">
        <v>968</v>
      </c>
      <c r="H759" s="59" t="s">
        <v>1027</v>
      </c>
      <c r="I759" s="58" t="s">
        <v>1413</v>
      </c>
      <c r="J759" t="s">
        <v>847</v>
      </c>
      <c r="K759" t="s">
        <v>830</v>
      </c>
      <c r="L759" t="s">
        <v>1038</v>
      </c>
      <c r="M759" t="s">
        <v>1163</v>
      </c>
      <c r="N759" s="57">
        <v>1200</v>
      </c>
      <c r="O759" t="s">
        <v>100</v>
      </c>
      <c r="P759" t="s">
        <v>93</v>
      </c>
      <c r="Q759" s="3">
        <v>46072</v>
      </c>
      <c r="R759" s="10">
        <f t="shared" ca="1" si="22"/>
        <v>46229</v>
      </c>
      <c r="S759" s="7">
        <f t="shared" ca="1" si="23"/>
        <v>0.43013698630136987</v>
      </c>
    </row>
    <row r="760" spans="1:19" x14ac:dyDescent="0.25">
      <c r="A760">
        <v>4122556</v>
      </c>
      <c r="B760" t="s">
        <v>1264</v>
      </c>
      <c r="C760" t="s">
        <v>1044</v>
      </c>
      <c r="D760" s="6" t="s">
        <v>22</v>
      </c>
      <c r="E760" t="s">
        <v>21</v>
      </c>
      <c r="G760" s="6" t="s">
        <v>968</v>
      </c>
      <c r="H760" s="59" t="s">
        <v>1027</v>
      </c>
      <c r="I760" s="58" t="s">
        <v>1413</v>
      </c>
      <c r="J760" t="s">
        <v>847</v>
      </c>
      <c r="K760" t="s">
        <v>830</v>
      </c>
      <c r="L760" t="s">
        <v>1038</v>
      </c>
      <c r="M760" t="s">
        <v>1163</v>
      </c>
      <c r="N760" s="57">
        <v>1200</v>
      </c>
      <c r="O760" t="s">
        <v>100</v>
      </c>
      <c r="P760" t="s">
        <v>93</v>
      </c>
      <c r="Q760" s="3">
        <v>46118</v>
      </c>
      <c r="R760" s="10">
        <f t="shared" ca="1" si="22"/>
        <v>46229</v>
      </c>
      <c r="S760" s="7">
        <f t="shared" ca="1" si="23"/>
        <v>0.30410958904109592</v>
      </c>
    </row>
    <row r="761" spans="1:19" x14ac:dyDescent="0.25">
      <c r="A761">
        <v>4124189</v>
      </c>
      <c r="B761" t="s">
        <v>1656</v>
      </c>
      <c r="C761" t="s">
        <v>1044</v>
      </c>
      <c r="D761" s="6" t="s">
        <v>22</v>
      </c>
      <c r="E761" t="s">
        <v>21</v>
      </c>
      <c r="G761" s="6" t="s">
        <v>968</v>
      </c>
      <c r="H761" s="59" t="s">
        <v>1027</v>
      </c>
      <c r="I761" s="58" t="s">
        <v>1413</v>
      </c>
      <c r="J761" t="s">
        <v>847</v>
      </c>
      <c r="K761" t="s">
        <v>830</v>
      </c>
      <c r="L761" t="s">
        <v>1038</v>
      </c>
      <c r="M761" t="s">
        <v>1163</v>
      </c>
      <c r="N761" s="57">
        <v>1200</v>
      </c>
      <c r="O761" t="s">
        <v>100</v>
      </c>
      <c r="P761" t="s">
        <v>93</v>
      </c>
      <c r="Q761" s="3">
        <v>46170</v>
      </c>
      <c r="R761" s="10">
        <f t="shared" ca="1" si="22"/>
        <v>46229</v>
      </c>
      <c r="S761" s="7">
        <f t="shared" ca="1" si="23"/>
        <v>0.16164383561643836</v>
      </c>
    </row>
    <row r="762" spans="1:19" x14ac:dyDescent="0.25">
      <c r="A762">
        <v>4124196</v>
      </c>
      <c r="B762" t="s">
        <v>1661</v>
      </c>
      <c r="C762" t="s">
        <v>1044</v>
      </c>
      <c r="D762" s="6" t="s">
        <v>22</v>
      </c>
      <c r="E762" t="s">
        <v>21</v>
      </c>
      <c r="G762" s="6" t="s">
        <v>968</v>
      </c>
      <c r="H762" s="59" t="s">
        <v>1027</v>
      </c>
      <c r="I762" s="58" t="s">
        <v>1413</v>
      </c>
      <c r="J762" t="s">
        <v>847</v>
      </c>
      <c r="K762" t="s">
        <v>830</v>
      </c>
      <c r="L762" t="s">
        <v>1038</v>
      </c>
      <c r="M762" t="s">
        <v>1163</v>
      </c>
      <c r="N762" s="57">
        <v>1200</v>
      </c>
      <c r="O762" t="s">
        <v>100</v>
      </c>
      <c r="P762" t="s">
        <v>93</v>
      </c>
      <c r="Q762" s="3">
        <v>46170</v>
      </c>
      <c r="R762" s="10">
        <f t="shared" ca="1" si="22"/>
        <v>46229</v>
      </c>
      <c r="S762" s="7">
        <f t="shared" ca="1" si="23"/>
        <v>0.16164383561643836</v>
      </c>
    </row>
    <row r="763" spans="1:19" x14ac:dyDescent="0.25">
      <c r="A763">
        <v>921059</v>
      </c>
      <c r="B763" t="s">
        <v>762</v>
      </c>
      <c r="C763" t="s">
        <v>17</v>
      </c>
      <c r="D763" s="6" t="s">
        <v>22</v>
      </c>
      <c r="E763" t="s">
        <v>21</v>
      </c>
      <c r="G763" s="6" t="s">
        <v>968</v>
      </c>
      <c r="H763" s="59" t="s">
        <v>1027</v>
      </c>
      <c r="I763" s="58" t="s">
        <v>1413</v>
      </c>
      <c r="J763" t="s">
        <v>847</v>
      </c>
      <c r="K763" t="s">
        <v>830</v>
      </c>
      <c r="L763" t="s">
        <v>1038</v>
      </c>
      <c r="M763" t="s">
        <v>1163</v>
      </c>
      <c r="N763" s="57">
        <v>1200</v>
      </c>
      <c r="O763" t="s">
        <v>100</v>
      </c>
      <c r="P763" t="s">
        <v>93</v>
      </c>
      <c r="Q763" s="3">
        <v>45565</v>
      </c>
      <c r="R763" s="10">
        <f t="shared" ca="1" si="22"/>
        <v>46229</v>
      </c>
      <c r="S763" s="7">
        <f t="shared" ca="1" si="23"/>
        <v>1.8191780821917809</v>
      </c>
    </row>
    <row r="764" spans="1:19" x14ac:dyDescent="0.25">
      <c r="A764">
        <v>926154</v>
      </c>
      <c r="B764" t="s">
        <v>765</v>
      </c>
      <c r="C764" t="s">
        <v>17</v>
      </c>
      <c r="D764" s="6" t="s">
        <v>22</v>
      </c>
      <c r="E764" t="s">
        <v>66</v>
      </c>
      <c r="G764" s="6" t="s">
        <v>968</v>
      </c>
      <c r="H764" s="59" t="s">
        <v>1027</v>
      </c>
      <c r="I764" s="58" t="s">
        <v>1413</v>
      </c>
      <c r="J764" t="s">
        <v>847</v>
      </c>
      <c r="K764" t="s">
        <v>830</v>
      </c>
      <c r="L764" t="s">
        <v>1038</v>
      </c>
      <c r="M764" t="s">
        <v>1163</v>
      </c>
      <c r="N764" s="57">
        <v>1400</v>
      </c>
      <c r="O764" t="s">
        <v>100</v>
      </c>
      <c r="P764" t="s">
        <v>93</v>
      </c>
      <c r="Q764" s="3">
        <v>44231</v>
      </c>
      <c r="R764" s="10">
        <f t="shared" ca="1" si="22"/>
        <v>46229</v>
      </c>
      <c r="S764" s="7">
        <f t="shared" ca="1" si="23"/>
        <v>5.4739726027397264</v>
      </c>
    </row>
    <row r="765" spans="1:19" x14ac:dyDescent="0.25">
      <c r="A765">
        <v>995167</v>
      </c>
      <c r="B765" t="s">
        <v>815</v>
      </c>
      <c r="C765" t="s">
        <v>17</v>
      </c>
      <c r="D765" s="6" t="s">
        <v>22</v>
      </c>
      <c r="E765" t="s">
        <v>21</v>
      </c>
      <c r="G765" s="6" t="s">
        <v>968</v>
      </c>
      <c r="H765" s="59" t="s">
        <v>1027</v>
      </c>
      <c r="I765" s="58" t="s">
        <v>1413</v>
      </c>
      <c r="J765" t="s">
        <v>847</v>
      </c>
      <c r="K765" t="s">
        <v>830</v>
      </c>
      <c r="L765" t="s">
        <v>1038</v>
      </c>
      <c r="M765" t="s">
        <v>1163</v>
      </c>
      <c r="N765" s="57">
        <v>1200</v>
      </c>
      <c r="O765" t="s">
        <v>100</v>
      </c>
      <c r="P765" t="s">
        <v>93</v>
      </c>
      <c r="Q765" s="3">
        <v>44809</v>
      </c>
      <c r="R765" s="10">
        <f t="shared" ca="1" si="22"/>
        <v>46229</v>
      </c>
      <c r="S765" s="7">
        <f t="shared" ca="1" si="23"/>
        <v>3.8904109589041096</v>
      </c>
    </row>
    <row r="766" spans="1:19" x14ac:dyDescent="0.25">
      <c r="A766">
        <v>1003062</v>
      </c>
      <c r="B766" t="s">
        <v>105</v>
      </c>
      <c r="C766" t="s">
        <v>17</v>
      </c>
      <c r="D766" s="6" t="s">
        <v>22</v>
      </c>
      <c r="E766" t="s">
        <v>77</v>
      </c>
      <c r="G766" s="6" t="s">
        <v>16</v>
      </c>
      <c r="H766" s="59" t="s">
        <v>1025</v>
      </c>
      <c r="I766" s="58" t="s">
        <v>1531</v>
      </c>
      <c r="J766" t="s">
        <v>823</v>
      </c>
      <c r="K766" t="s">
        <v>824</v>
      </c>
      <c r="L766" t="s">
        <v>91</v>
      </c>
      <c r="M766" t="s">
        <v>1163</v>
      </c>
      <c r="N766" s="57">
        <v>1300</v>
      </c>
      <c r="O766" t="s">
        <v>100</v>
      </c>
      <c r="P766" t="s">
        <v>93</v>
      </c>
      <c r="Q766" s="3">
        <v>45026</v>
      </c>
      <c r="R766" s="10">
        <f t="shared" ca="1" si="22"/>
        <v>46229</v>
      </c>
      <c r="S766" s="7">
        <f t="shared" ca="1" si="23"/>
        <v>3.2958904109589042</v>
      </c>
    </row>
    <row r="767" spans="1:19" x14ac:dyDescent="0.25">
      <c r="A767">
        <v>1027765</v>
      </c>
      <c r="B767" t="s">
        <v>136</v>
      </c>
      <c r="C767" t="s">
        <v>17</v>
      </c>
      <c r="D767" s="6" t="s">
        <v>22</v>
      </c>
      <c r="E767" t="s">
        <v>77</v>
      </c>
      <c r="G767" s="6" t="s">
        <v>16</v>
      </c>
      <c r="H767" s="59" t="s">
        <v>1025</v>
      </c>
      <c r="I767" s="58" t="s">
        <v>1531</v>
      </c>
      <c r="J767" t="s">
        <v>823</v>
      </c>
      <c r="K767" t="s">
        <v>824</v>
      </c>
      <c r="L767" t="s">
        <v>25</v>
      </c>
      <c r="M767" t="s">
        <v>1163</v>
      </c>
      <c r="N767" s="57">
        <v>1300</v>
      </c>
      <c r="O767" t="s">
        <v>100</v>
      </c>
      <c r="P767" t="s">
        <v>93</v>
      </c>
      <c r="Q767" s="3">
        <v>44935</v>
      </c>
      <c r="R767" s="10">
        <f t="shared" ca="1" si="22"/>
        <v>46229</v>
      </c>
      <c r="S767" s="7">
        <f t="shared" ca="1" si="23"/>
        <v>3.5452054794520547</v>
      </c>
    </row>
    <row r="768" spans="1:19" x14ac:dyDescent="0.25">
      <c r="A768">
        <v>1127759</v>
      </c>
      <c r="B768" t="s">
        <v>162</v>
      </c>
      <c r="C768" t="s">
        <v>17</v>
      </c>
      <c r="D768" s="6" t="s">
        <v>22</v>
      </c>
      <c r="E768" t="s">
        <v>77</v>
      </c>
      <c r="G768" s="6" t="s">
        <v>16</v>
      </c>
      <c r="H768" s="59" t="s">
        <v>1025</v>
      </c>
      <c r="I768" s="58" t="s">
        <v>1531</v>
      </c>
      <c r="J768" t="s">
        <v>823</v>
      </c>
      <c r="K768" t="s">
        <v>824</v>
      </c>
      <c r="L768" t="s">
        <v>1038</v>
      </c>
      <c r="M768" t="s">
        <v>1163</v>
      </c>
      <c r="N768" s="57">
        <v>1300</v>
      </c>
      <c r="O768" t="s">
        <v>100</v>
      </c>
      <c r="P768" t="s">
        <v>93</v>
      </c>
      <c r="Q768" s="3">
        <v>44312</v>
      </c>
      <c r="R768" s="10">
        <f t="shared" ca="1" si="22"/>
        <v>46229</v>
      </c>
      <c r="S768" s="7">
        <f t="shared" ca="1" si="23"/>
        <v>5.2520547945205482</v>
      </c>
    </row>
    <row r="769" spans="1:19" x14ac:dyDescent="0.25">
      <c r="A769">
        <v>1151497</v>
      </c>
      <c r="B769" t="s">
        <v>174</v>
      </c>
      <c r="C769" t="s">
        <v>17</v>
      </c>
      <c r="D769" s="6" t="s">
        <v>22</v>
      </c>
      <c r="E769" t="s">
        <v>77</v>
      </c>
      <c r="G769" s="6" t="s">
        <v>16</v>
      </c>
      <c r="H769" s="59" t="s">
        <v>1025</v>
      </c>
      <c r="I769" s="58" t="s">
        <v>1531</v>
      </c>
      <c r="J769" t="s">
        <v>823</v>
      </c>
      <c r="K769" t="s">
        <v>824</v>
      </c>
      <c r="L769" t="s">
        <v>91</v>
      </c>
      <c r="M769" t="s">
        <v>1163</v>
      </c>
      <c r="N769" s="57">
        <v>1300</v>
      </c>
      <c r="O769" t="s">
        <v>100</v>
      </c>
      <c r="P769" t="s">
        <v>93</v>
      </c>
      <c r="Q769" s="3">
        <v>44669</v>
      </c>
      <c r="R769" s="10">
        <f t="shared" ca="1" si="22"/>
        <v>46229</v>
      </c>
      <c r="S769" s="7">
        <f t="shared" ca="1" si="23"/>
        <v>4.2739726027397262</v>
      </c>
    </row>
    <row r="770" spans="1:19" x14ac:dyDescent="0.25">
      <c r="A770">
        <v>1174353</v>
      </c>
      <c r="B770" t="s">
        <v>213</v>
      </c>
      <c r="C770" t="s">
        <v>17</v>
      </c>
      <c r="D770" s="6" t="s">
        <v>22</v>
      </c>
      <c r="E770" t="s">
        <v>77</v>
      </c>
      <c r="G770" s="6" t="s">
        <v>16</v>
      </c>
      <c r="H770" s="59" t="s">
        <v>1025</v>
      </c>
      <c r="I770" s="58" t="s">
        <v>1531</v>
      </c>
      <c r="J770" t="s">
        <v>823</v>
      </c>
      <c r="K770" t="s">
        <v>824</v>
      </c>
      <c r="L770" t="s">
        <v>1038</v>
      </c>
      <c r="M770" t="s">
        <v>1163</v>
      </c>
      <c r="N770" s="57">
        <v>1300</v>
      </c>
      <c r="O770" t="s">
        <v>100</v>
      </c>
      <c r="P770" t="s">
        <v>93</v>
      </c>
      <c r="Q770" s="3">
        <v>44970</v>
      </c>
      <c r="R770" s="10">
        <f t="shared" ca="1" si="22"/>
        <v>46229</v>
      </c>
      <c r="S770" s="7">
        <f t="shared" ca="1" si="23"/>
        <v>3.4493150684931506</v>
      </c>
    </row>
    <row r="771" spans="1:19" x14ac:dyDescent="0.25">
      <c r="A771">
        <v>1174354</v>
      </c>
      <c r="B771" t="s">
        <v>214</v>
      </c>
      <c r="C771" t="s">
        <v>17</v>
      </c>
      <c r="D771" s="6" t="s">
        <v>22</v>
      </c>
      <c r="E771" t="s">
        <v>77</v>
      </c>
      <c r="G771" s="6" t="s">
        <v>16</v>
      </c>
      <c r="H771" s="59" t="s">
        <v>1025</v>
      </c>
      <c r="I771" s="58" t="s">
        <v>1531</v>
      </c>
      <c r="J771" t="s">
        <v>823</v>
      </c>
      <c r="K771" t="s">
        <v>824</v>
      </c>
      <c r="L771" t="s">
        <v>91</v>
      </c>
      <c r="M771" t="s">
        <v>1163</v>
      </c>
      <c r="N771" s="57">
        <v>1300</v>
      </c>
      <c r="O771" t="s">
        <v>100</v>
      </c>
      <c r="P771" t="s">
        <v>93</v>
      </c>
      <c r="Q771" s="3">
        <v>44970</v>
      </c>
      <c r="R771" s="10">
        <f t="shared" ref="R771:R834" ca="1" si="24">TODAY()</f>
        <v>46229</v>
      </c>
      <c r="S771" s="7">
        <f t="shared" ref="S771:S834" ca="1" si="25">(R771-Q771)/365</f>
        <v>3.4493150684931506</v>
      </c>
    </row>
    <row r="772" spans="1:19" x14ac:dyDescent="0.25">
      <c r="A772">
        <v>1179315</v>
      </c>
      <c r="B772" t="s">
        <v>230</v>
      </c>
      <c r="C772" t="s">
        <v>17</v>
      </c>
      <c r="D772" s="6" t="s">
        <v>22</v>
      </c>
      <c r="E772" t="s">
        <v>77</v>
      </c>
      <c r="G772" s="6" t="s">
        <v>16</v>
      </c>
      <c r="H772" s="59" t="s">
        <v>1025</v>
      </c>
      <c r="I772" s="58" t="s">
        <v>1531</v>
      </c>
      <c r="J772" t="s">
        <v>823</v>
      </c>
      <c r="K772" t="s">
        <v>824</v>
      </c>
      <c r="L772" t="s">
        <v>91</v>
      </c>
      <c r="M772" t="s">
        <v>1163</v>
      </c>
      <c r="N772" s="57">
        <v>1300</v>
      </c>
      <c r="O772" t="s">
        <v>100</v>
      </c>
      <c r="P772" t="s">
        <v>93</v>
      </c>
      <c r="Q772" s="3">
        <v>45096</v>
      </c>
      <c r="R772" s="10">
        <f t="shared" ca="1" si="24"/>
        <v>46229</v>
      </c>
      <c r="S772" s="7">
        <f t="shared" ca="1" si="25"/>
        <v>3.1041095890410957</v>
      </c>
    </row>
    <row r="773" spans="1:19" x14ac:dyDescent="0.25">
      <c r="A773">
        <v>1179734</v>
      </c>
      <c r="B773" t="s">
        <v>235</v>
      </c>
      <c r="C773" t="s">
        <v>17</v>
      </c>
      <c r="D773" s="6" t="s">
        <v>22</v>
      </c>
      <c r="E773" t="s">
        <v>56</v>
      </c>
      <c r="G773" s="6" t="s">
        <v>16</v>
      </c>
      <c r="H773" s="59" t="s">
        <v>1025</v>
      </c>
      <c r="I773" s="58" t="s">
        <v>1531</v>
      </c>
      <c r="J773" t="s">
        <v>823</v>
      </c>
      <c r="K773" t="s">
        <v>824</v>
      </c>
      <c r="L773" t="s">
        <v>1038</v>
      </c>
      <c r="M773" t="s">
        <v>1163</v>
      </c>
      <c r="N773" s="57">
        <v>1300</v>
      </c>
      <c r="O773" t="s">
        <v>100</v>
      </c>
      <c r="P773" t="s">
        <v>93</v>
      </c>
      <c r="Q773" s="3">
        <v>45110</v>
      </c>
      <c r="R773" s="10">
        <f t="shared" ca="1" si="24"/>
        <v>46229</v>
      </c>
      <c r="S773" s="7">
        <f t="shared" ca="1" si="25"/>
        <v>3.0657534246575344</v>
      </c>
    </row>
    <row r="774" spans="1:19" x14ac:dyDescent="0.25">
      <c r="A774">
        <v>1180074</v>
      </c>
      <c r="B774" t="s">
        <v>238</v>
      </c>
      <c r="C774" t="s">
        <v>17</v>
      </c>
      <c r="D774" s="6" t="s">
        <v>22</v>
      </c>
      <c r="E774" t="s">
        <v>56</v>
      </c>
      <c r="G774" s="6" t="s">
        <v>16</v>
      </c>
      <c r="H774" s="59" t="s">
        <v>1025</v>
      </c>
      <c r="I774" s="58" t="s">
        <v>1531</v>
      </c>
      <c r="J774" t="s">
        <v>823</v>
      </c>
      <c r="K774" t="s">
        <v>824</v>
      </c>
      <c r="L774" t="s">
        <v>91</v>
      </c>
      <c r="M774" t="s">
        <v>1163</v>
      </c>
      <c r="N774" s="57">
        <v>1300</v>
      </c>
      <c r="O774" t="s">
        <v>100</v>
      </c>
      <c r="P774" t="s">
        <v>93</v>
      </c>
      <c r="Q774" s="3">
        <v>45117</v>
      </c>
      <c r="R774" s="10">
        <f t="shared" ca="1" si="24"/>
        <v>46229</v>
      </c>
      <c r="S774" s="7">
        <f t="shared" ca="1" si="25"/>
        <v>3.0465753424657533</v>
      </c>
    </row>
    <row r="775" spans="1:19" x14ac:dyDescent="0.25">
      <c r="A775">
        <v>1182913</v>
      </c>
      <c r="B775" t="s">
        <v>249</v>
      </c>
      <c r="C775" t="s">
        <v>17</v>
      </c>
      <c r="D775" s="6" t="s">
        <v>22</v>
      </c>
      <c r="E775" t="s">
        <v>56</v>
      </c>
      <c r="G775" s="6" t="s">
        <v>16</v>
      </c>
      <c r="H775" s="59" t="s">
        <v>1025</v>
      </c>
      <c r="I775" s="58" t="s">
        <v>1531</v>
      </c>
      <c r="J775" t="s">
        <v>823</v>
      </c>
      <c r="K775" t="s">
        <v>824</v>
      </c>
      <c r="L775" t="s">
        <v>1038</v>
      </c>
      <c r="M775" t="s">
        <v>1163</v>
      </c>
      <c r="N775" s="57">
        <v>1300</v>
      </c>
      <c r="O775" t="s">
        <v>100</v>
      </c>
      <c r="P775" t="s">
        <v>944</v>
      </c>
      <c r="Q775" s="3">
        <v>45187</v>
      </c>
      <c r="R775" s="10">
        <f t="shared" ca="1" si="24"/>
        <v>46229</v>
      </c>
      <c r="S775" s="7">
        <f t="shared" ca="1" si="25"/>
        <v>2.8547945205479452</v>
      </c>
    </row>
    <row r="776" spans="1:19" x14ac:dyDescent="0.25">
      <c r="A776">
        <v>1197573</v>
      </c>
      <c r="B776" t="s">
        <v>273</v>
      </c>
      <c r="C776" t="s">
        <v>17</v>
      </c>
      <c r="D776" s="6" t="s">
        <v>22</v>
      </c>
      <c r="E776" t="s">
        <v>77</v>
      </c>
      <c r="G776" s="6" t="s">
        <v>16</v>
      </c>
      <c r="H776" s="59" t="s">
        <v>1025</v>
      </c>
      <c r="I776" s="58" t="s">
        <v>1531</v>
      </c>
      <c r="J776" t="s">
        <v>823</v>
      </c>
      <c r="K776" t="s">
        <v>824</v>
      </c>
      <c r="L776" t="s">
        <v>25</v>
      </c>
      <c r="M776" t="s">
        <v>1163</v>
      </c>
      <c r="N776" s="57">
        <v>1300</v>
      </c>
      <c r="O776" t="s">
        <v>100</v>
      </c>
      <c r="P776" t="s">
        <v>93</v>
      </c>
      <c r="Q776" s="3">
        <v>45593</v>
      </c>
      <c r="R776" s="10">
        <f t="shared" ca="1" si="24"/>
        <v>46229</v>
      </c>
      <c r="S776" s="7">
        <f t="shared" ca="1" si="25"/>
        <v>1.7424657534246575</v>
      </c>
    </row>
    <row r="777" spans="1:19" x14ac:dyDescent="0.25">
      <c r="A777">
        <v>1229440</v>
      </c>
      <c r="B777" t="s">
        <v>1180</v>
      </c>
      <c r="C777" t="s">
        <v>17</v>
      </c>
      <c r="D777" s="6" t="s">
        <v>22</v>
      </c>
      <c r="E777" t="s">
        <v>77</v>
      </c>
      <c r="G777" s="6" t="s">
        <v>16</v>
      </c>
      <c r="H777" s="59" t="s">
        <v>1025</v>
      </c>
      <c r="I777" s="58" t="s">
        <v>1531</v>
      </c>
      <c r="J777" t="s">
        <v>823</v>
      </c>
      <c r="K777" t="s">
        <v>824</v>
      </c>
      <c r="L777" t="s">
        <v>25</v>
      </c>
      <c r="M777" t="s">
        <v>1163</v>
      </c>
      <c r="N777" s="57">
        <v>1300</v>
      </c>
      <c r="O777" t="s">
        <v>100</v>
      </c>
      <c r="P777" t="s">
        <v>93</v>
      </c>
      <c r="Q777" s="3">
        <v>46111</v>
      </c>
      <c r="R777" s="10">
        <f t="shared" ca="1" si="24"/>
        <v>46229</v>
      </c>
      <c r="S777" s="7">
        <f t="shared" ca="1" si="25"/>
        <v>0.32328767123287672</v>
      </c>
    </row>
    <row r="778" spans="1:19" x14ac:dyDescent="0.25">
      <c r="A778">
        <v>21552</v>
      </c>
      <c r="B778" t="s">
        <v>305</v>
      </c>
      <c r="C778" t="s">
        <v>17</v>
      </c>
      <c r="D778" s="6" t="s">
        <v>22</v>
      </c>
      <c r="E778" t="s">
        <v>77</v>
      </c>
      <c r="G778" s="6" t="s">
        <v>16</v>
      </c>
      <c r="H778" s="59" t="s">
        <v>1025</v>
      </c>
      <c r="I778" s="58" t="s">
        <v>1531</v>
      </c>
      <c r="J778" t="s">
        <v>823</v>
      </c>
      <c r="K778" t="s">
        <v>824</v>
      </c>
      <c r="L778" t="s">
        <v>91</v>
      </c>
      <c r="M778" t="s">
        <v>1163</v>
      </c>
      <c r="N778" s="57">
        <v>1300</v>
      </c>
      <c r="O778" t="s">
        <v>100</v>
      </c>
      <c r="P778" t="s">
        <v>93</v>
      </c>
      <c r="Q778" s="3">
        <v>42569</v>
      </c>
      <c r="R778" s="10">
        <f t="shared" ca="1" si="24"/>
        <v>46229</v>
      </c>
      <c r="S778" s="7">
        <f t="shared" ca="1" si="25"/>
        <v>10.027397260273972</v>
      </c>
    </row>
    <row r="779" spans="1:19" x14ac:dyDescent="0.25">
      <c r="A779">
        <v>27673</v>
      </c>
      <c r="B779" t="s">
        <v>337</v>
      </c>
      <c r="C779" t="s">
        <v>17</v>
      </c>
      <c r="D779" s="6" t="s">
        <v>22</v>
      </c>
      <c r="E779" t="s">
        <v>77</v>
      </c>
      <c r="G779" s="6" t="s">
        <v>16</v>
      </c>
      <c r="H779" s="59" t="s">
        <v>1025</v>
      </c>
      <c r="I779" s="58" t="s">
        <v>1531</v>
      </c>
      <c r="J779" t="s">
        <v>823</v>
      </c>
      <c r="K779" t="s">
        <v>824</v>
      </c>
      <c r="L779" t="s">
        <v>25</v>
      </c>
      <c r="M779" t="s">
        <v>1163</v>
      </c>
      <c r="N779" s="57">
        <v>1300</v>
      </c>
      <c r="O779" t="s">
        <v>100</v>
      </c>
      <c r="P779" t="s">
        <v>93</v>
      </c>
      <c r="Q779" s="3">
        <v>39405</v>
      </c>
      <c r="R779" s="10">
        <f t="shared" ca="1" si="24"/>
        <v>46229</v>
      </c>
      <c r="S779" s="7">
        <f t="shared" ca="1" si="25"/>
        <v>18.695890410958903</v>
      </c>
    </row>
    <row r="780" spans="1:19" x14ac:dyDescent="0.25">
      <c r="A780">
        <v>3002028</v>
      </c>
      <c r="B780" t="s">
        <v>361</v>
      </c>
      <c r="C780" t="s">
        <v>17</v>
      </c>
      <c r="D780" s="6" t="s">
        <v>22</v>
      </c>
      <c r="E780" t="s">
        <v>77</v>
      </c>
      <c r="G780" s="6" t="s">
        <v>16</v>
      </c>
      <c r="H780" s="59" t="s">
        <v>1025</v>
      </c>
      <c r="I780" s="58" t="s">
        <v>1531</v>
      </c>
      <c r="J780" t="s">
        <v>823</v>
      </c>
      <c r="K780" t="s">
        <v>824</v>
      </c>
      <c r="L780" t="s">
        <v>25</v>
      </c>
      <c r="M780" t="s">
        <v>1163</v>
      </c>
      <c r="N780" s="57">
        <v>1300</v>
      </c>
      <c r="O780" t="s">
        <v>100</v>
      </c>
      <c r="P780" t="s">
        <v>93</v>
      </c>
      <c r="Q780" s="3">
        <v>44879</v>
      </c>
      <c r="R780" s="10">
        <f t="shared" ca="1" si="24"/>
        <v>46229</v>
      </c>
      <c r="S780" s="7">
        <f t="shared" ca="1" si="25"/>
        <v>3.6986301369863015</v>
      </c>
    </row>
    <row r="781" spans="1:19" x14ac:dyDescent="0.25">
      <c r="A781">
        <v>31764</v>
      </c>
      <c r="B781" t="s">
        <v>380</v>
      </c>
      <c r="C781" t="s">
        <v>17</v>
      </c>
      <c r="D781" s="6" t="s">
        <v>22</v>
      </c>
      <c r="E781" t="s">
        <v>72</v>
      </c>
      <c r="G781" s="6" t="s">
        <v>16</v>
      </c>
      <c r="H781" s="59" t="s">
        <v>1025</v>
      </c>
      <c r="I781" s="58" t="s">
        <v>1531</v>
      </c>
      <c r="J781" t="s">
        <v>823</v>
      </c>
      <c r="K781" t="s">
        <v>824</v>
      </c>
      <c r="L781" t="s">
        <v>1038</v>
      </c>
      <c r="M781" t="s">
        <v>1163</v>
      </c>
      <c r="N781" s="57">
        <v>1300</v>
      </c>
      <c r="O781" t="s">
        <v>100</v>
      </c>
      <c r="P781" t="s">
        <v>93</v>
      </c>
      <c r="Q781" s="3">
        <v>43339</v>
      </c>
      <c r="R781" s="10">
        <f t="shared" ca="1" si="24"/>
        <v>46229</v>
      </c>
      <c r="S781" s="7">
        <f t="shared" ca="1" si="25"/>
        <v>7.9178082191780819</v>
      </c>
    </row>
    <row r="782" spans="1:19" x14ac:dyDescent="0.25">
      <c r="A782">
        <v>35754</v>
      </c>
      <c r="B782" t="s">
        <v>410</v>
      </c>
      <c r="C782" t="s">
        <v>17</v>
      </c>
      <c r="D782" s="6" t="s">
        <v>22</v>
      </c>
      <c r="E782" t="s">
        <v>69</v>
      </c>
      <c r="G782" s="6" t="s">
        <v>16</v>
      </c>
      <c r="H782" s="59" t="s">
        <v>1025</v>
      </c>
      <c r="I782" s="58" t="s">
        <v>1531</v>
      </c>
      <c r="J782" t="s">
        <v>823</v>
      </c>
      <c r="K782" t="s">
        <v>824</v>
      </c>
      <c r="L782" t="s">
        <v>1038</v>
      </c>
      <c r="M782" t="s">
        <v>1163</v>
      </c>
      <c r="N782" s="57">
        <v>1300</v>
      </c>
      <c r="O782" t="s">
        <v>100</v>
      </c>
      <c r="P782" t="s">
        <v>93</v>
      </c>
      <c r="Q782" s="3">
        <v>45852</v>
      </c>
      <c r="R782" s="10">
        <f t="shared" ca="1" si="24"/>
        <v>46229</v>
      </c>
      <c r="S782" s="7">
        <f t="shared" ca="1" si="25"/>
        <v>1.0328767123287672</v>
      </c>
    </row>
    <row r="783" spans="1:19" x14ac:dyDescent="0.25">
      <c r="A783">
        <v>4001551</v>
      </c>
      <c r="B783" t="s">
        <v>420</v>
      </c>
      <c r="C783" t="s">
        <v>17</v>
      </c>
      <c r="D783" s="6" t="s">
        <v>22</v>
      </c>
      <c r="E783" t="s">
        <v>77</v>
      </c>
      <c r="G783" s="6" t="s">
        <v>16</v>
      </c>
      <c r="H783" s="59" t="s">
        <v>1025</v>
      </c>
      <c r="I783" s="58" t="s">
        <v>1531</v>
      </c>
      <c r="J783" t="s">
        <v>823</v>
      </c>
      <c r="K783" t="s">
        <v>824</v>
      </c>
      <c r="L783" t="s">
        <v>1038</v>
      </c>
      <c r="M783" t="s">
        <v>1163</v>
      </c>
      <c r="N783" s="57">
        <v>1300</v>
      </c>
      <c r="O783" t="s">
        <v>100</v>
      </c>
      <c r="P783" t="s">
        <v>93</v>
      </c>
      <c r="Q783" s="3">
        <v>44557</v>
      </c>
      <c r="R783" s="10">
        <f t="shared" ca="1" si="24"/>
        <v>46229</v>
      </c>
      <c r="S783" s="7">
        <f t="shared" ca="1" si="25"/>
        <v>4.580821917808219</v>
      </c>
    </row>
    <row r="784" spans="1:19" x14ac:dyDescent="0.25">
      <c r="A784">
        <v>4005469</v>
      </c>
      <c r="B784" t="s">
        <v>424</v>
      </c>
      <c r="C784" t="s">
        <v>17</v>
      </c>
      <c r="D784" s="6" t="s">
        <v>22</v>
      </c>
      <c r="E784" t="s">
        <v>77</v>
      </c>
      <c r="G784" s="6" t="s">
        <v>16</v>
      </c>
      <c r="H784" s="59" t="s">
        <v>1025</v>
      </c>
      <c r="I784" s="58" t="s">
        <v>1531</v>
      </c>
      <c r="J784" t="s">
        <v>823</v>
      </c>
      <c r="K784" t="s">
        <v>824</v>
      </c>
      <c r="L784" t="s">
        <v>91</v>
      </c>
      <c r="M784" t="s">
        <v>1163</v>
      </c>
      <c r="N784" s="57">
        <v>1300</v>
      </c>
      <c r="O784" t="s">
        <v>100</v>
      </c>
      <c r="P784" t="s">
        <v>93</v>
      </c>
      <c r="Q784" s="3">
        <v>44942</v>
      </c>
      <c r="R784" s="10">
        <f t="shared" ca="1" si="24"/>
        <v>46229</v>
      </c>
      <c r="S784" s="7">
        <f t="shared" ca="1" si="25"/>
        <v>3.526027397260274</v>
      </c>
    </row>
    <row r="785" spans="1:19" x14ac:dyDescent="0.25">
      <c r="A785">
        <v>847873</v>
      </c>
      <c r="B785" t="s">
        <v>740</v>
      </c>
      <c r="C785" t="s">
        <v>17</v>
      </c>
      <c r="D785" s="6" t="s">
        <v>22</v>
      </c>
      <c r="E785" t="s">
        <v>77</v>
      </c>
      <c r="G785" s="6" t="s">
        <v>16</v>
      </c>
      <c r="H785" s="59" t="s">
        <v>1025</v>
      </c>
      <c r="I785" s="58" t="s">
        <v>1531</v>
      </c>
      <c r="J785" t="s">
        <v>823</v>
      </c>
      <c r="K785" t="s">
        <v>824</v>
      </c>
      <c r="L785" t="s">
        <v>91</v>
      </c>
      <c r="M785" t="s">
        <v>1163</v>
      </c>
      <c r="N785" s="57">
        <v>1300</v>
      </c>
      <c r="O785" t="s">
        <v>100</v>
      </c>
      <c r="P785" t="s">
        <v>93</v>
      </c>
      <c r="Q785" s="3">
        <v>44837</v>
      </c>
      <c r="R785" s="10">
        <f t="shared" ca="1" si="24"/>
        <v>46229</v>
      </c>
      <c r="S785" s="7">
        <f t="shared" ca="1" si="25"/>
        <v>3.8136986301369862</v>
      </c>
    </row>
    <row r="786" spans="1:19" x14ac:dyDescent="0.25">
      <c r="A786">
        <v>959699</v>
      </c>
      <c r="B786" t="s">
        <v>781</v>
      </c>
      <c r="C786" t="s">
        <v>17</v>
      </c>
      <c r="D786" s="6" t="s">
        <v>22</v>
      </c>
      <c r="E786" t="s">
        <v>77</v>
      </c>
      <c r="G786" s="6" t="s">
        <v>16</v>
      </c>
      <c r="H786" s="59" t="s">
        <v>1025</v>
      </c>
      <c r="I786" s="58" t="s">
        <v>1531</v>
      </c>
      <c r="J786" t="s">
        <v>823</v>
      </c>
      <c r="K786" t="s">
        <v>824</v>
      </c>
      <c r="L786" t="s">
        <v>25</v>
      </c>
      <c r="M786" t="s">
        <v>1163</v>
      </c>
      <c r="N786" s="57">
        <v>1300</v>
      </c>
      <c r="O786" t="s">
        <v>100</v>
      </c>
      <c r="P786" t="s">
        <v>93</v>
      </c>
      <c r="Q786" s="3">
        <v>44746</v>
      </c>
      <c r="R786" s="10">
        <f t="shared" ca="1" si="24"/>
        <v>46229</v>
      </c>
      <c r="S786" s="7">
        <f t="shared" ca="1" si="25"/>
        <v>4.0630136986301366</v>
      </c>
    </row>
    <row r="787" spans="1:19" x14ac:dyDescent="0.25">
      <c r="A787">
        <v>963576</v>
      </c>
      <c r="B787" t="s">
        <v>786</v>
      </c>
      <c r="C787" t="s">
        <v>17</v>
      </c>
      <c r="D787" s="6" t="s">
        <v>22</v>
      </c>
      <c r="E787" t="s">
        <v>77</v>
      </c>
      <c r="G787" s="6" t="s">
        <v>16</v>
      </c>
      <c r="H787" s="59" t="s">
        <v>1025</v>
      </c>
      <c r="I787" s="58" t="s">
        <v>1531</v>
      </c>
      <c r="J787" t="s">
        <v>823</v>
      </c>
      <c r="K787" t="s">
        <v>824</v>
      </c>
      <c r="L787" t="s">
        <v>25</v>
      </c>
      <c r="M787" t="s">
        <v>1163</v>
      </c>
      <c r="N787" s="57">
        <v>1300</v>
      </c>
      <c r="O787" t="s">
        <v>100</v>
      </c>
      <c r="P787" t="s">
        <v>38</v>
      </c>
      <c r="Q787" s="3">
        <v>42492</v>
      </c>
      <c r="R787" s="10">
        <f t="shared" ca="1" si="24"/>
        <v>46229</v>
      </c>
      <c r="S787" s="7">
        <f t="shared" ca="1" si="25"/>
        <v>10.238356164383562</v>
      </c>
    </row>
    <row r="788" spans="1:19" x14ac:dyDescent="0.25">
      <c r="A788">
        <v>1011220</v>
      </c>
      <c r="B788" t="s">
        <v>123</v>
      </c>
      <c r="C788" t="s">
        <v>17</v>
      </c>
      <c r="D788" s="6" t="s">
        <v>22</v>
      </c>
      <c r="E788" t="s">
        <v>68</v>
      </c>
      <c r="G788" s="6" t="s">
        <v>967</v>
      </c>
      <c r="H788" s="59" t="s">
        <v>1023</v>
      </c>
      <c r="I788" s="58" t="s">
        <v>858</v>
      </c>
      <c r="J788" t="s">
        <v>826</v>
      </c>
      <c r="K788" t="s">
        <v>827</v>
      </c>
      <c r="L788" t="s">
        <v>25</v>
      </c>
      <c r="M788" t="s">
        <v>1163</v>
      </c>
      <c r="N788" s="57">
        <v>1500</v>
      </c>
      <c r="O788" t="s">
        <v>100</v>
      </c>
      <c r="P788" t="s">
        <v>93</v>
      </c>
      <c r="Q788" s="3">
        <v>44707</v>
      </c>
      <c r="R788" s="10">
        <f t="shared" ca="1" si="24"/>
        <v>46229</v>
      </c>
      <c r="S788" s="7">
        <f t="shared" ca="1" si="25"/>
        <v>4.1698630136986301</v>
      </c>
    </row>
    <row r="789" spans="1:19" x14ac:dyDescent="0.25">
      <c r="A789">
        <v>4052195</v>
      </c>
      <c r="B789" t="s">
        <v>481</v>
      </c>
      <c r="C789" t="s">
        <v>17</v>
      </c>
      <c r="D789" s="6" t="s">
        <v>22</v>
      </c>
      <c r="E789" t="s">
        <v>53</v>
      </c>
      <c r="G789" s="6" t="s">
        <v>967</v>
      </c>
      <c r="H789" s="59" t="s">
        <v>1023</v>
      </c>
      <c r="I789" s="58" t="s">
        <v>858</v>
      </c>
      <c r="J789" t="s">
        <v>826</v>
      </c>
      <c r="K789" t="s">
        <v>827</v>
      </c>
      <c r="L789" t="s">
        <v>25</v>
      </c>
      <c r="M789" t="s">
        <v>1163</v>
      </c>
      <c r="N789" s="57">
        <v>1200</v>
      </c>
      <c r="O789" t="s">
        <v>100</v>
      </c>
      <c r="P789" t="s">
        <v>93</v>
      </c>
      <c r="Q789" s="3">
        <v>45442</v>
      </c>
      <c r="R789" s="10">
        <f t="shared" ca="1" si="24"/>
        <v>46229</v>
      </c>
      <c r="S789" s="7">
        <f t="shared" ca="1" si="25"/>
        <v>2.1561643835616437</v>
      </c>
    </row>
    <row r="790" spans="1:19" x14ac:dyDescent="0.25">
      <c r="A790">
        <v>4077568</v>
      </c>
      <c r="B790" t="s">
        <v>542</v>
      </c>
      <c r="C790" t="s">
        <v>17</v>
      </c>
      <c r="D790" s="6" t="s">
        <v>22</v>
      </c>
      <c r="E790" t="s">
        <v>88</v>
      </c>
      <c r="G790" s="6" t="s">
        <v>967</v>
      </c>
      <c r="H790" s="59" t="s">
        <v>1023</v>
      </c>
      <c r="I790" s="58" t="s">
        <v>858</v>
      </c>
      <c r="J790" t="s">
        <v>826</v>
      </c>
      <c r="K790" t="s">
        <v>827</v>
      </c>
      <c r="L790" t="s">
        <v>25</v>
      </c>
      <c r="M790" t="s">
        <v>1163</v>
      </c>
      <c r="N790" s="57">
        <v>1500</v>
      </c>
      <c r="O790" t="s">
        <v>100</v>
      </c>
      <c r="P790" t="s">
        <v>943</v>
      </c>
      <c r="Q790" s="3">
        <v>44938</v>
      </c>
      <c r="R790" s="10">
        <f t="shared" ca="1" si="24"/>
        <v>46229</v>
      </c>
      <c r="S790" s="7">
        <f t="shared" ca="1" si="25"/>
        <v>3.536986301369863</v>
      </c>
    </row>
    <row r="791" spans="1:19" x14ac:dyDescent="0.25">
      <c r="A791">
        <v>4122591</v>
      </c>
      <c r="B791" t="s">
        <v>1271</v>
      </c>
      <c r="C791" t="s">
        <v>1044</v>
      </c>
      <c r="D791" s="6" t="s">
        <v>22</v>
      </c>
      <c r="E791" t="s">
        <v>53</v>
      </c>
      <c r="G791" s="6" t="s">
        <v>967</v>
      </c>
      <c r="H791" s="59" t="s">
        <v>1023</v>
      </c>
      <c r="I791" s="58" t="s">
        <v>858</v>
      </c>
      <c r="J791" t="s">
        <v>826</v>
      </c>
      <c r="K791" t="s">
        <v>827</v>
      </c>
      <c r="L791" t="s">
        <v>25</v>
      </c>
      <c r="M791" t="s">
        <v>1163</v>
      </c>
      <c r="N791" s="57">
        <v>1500</v>
      </c>
      <c r="O791" t="s">
        <v>100</v>
      </c>
      <c r="P791" t="s">
        <v>93</v>
      </c>
      <c r="Q791" s="3">
        <v>46118</v>
      </c>
      <c r="R791" s="10">
        <f t="shared" ca="1" si="24"/>
        <v>46229</v>
      </c>
      <c r="S791" s="7">
        <f t="shared" ca="1" si="25"/>
        <v>0.30410958904109592</v>
      </c>
    </row>
    <row r="792" spans="1:19" x14ac:dyDescent="0.25">
      <c r="A792">
        <v>4122592</v>
      </c>
      <c r="B792" t="s">
        <v>1272</v>
      </c>
      <c r="C792" t="s">
        <v>1044</v>
      </c>
      <c r="D792" s="6" t="s">
        <v>22</v>
      </c>
      <c r="E792" t="s">
        <v>53</v>
      </c>
      <c r="G792" s="6" t="s">
        <v>967</v>
      </c>
      <c r="H792" s="59" t="s">
        <v>1023</v>
      </c>
      <c r="I792" s="58" t="s">
        <v>858</v>
      </c>
      <c r="J792" t="s">
        <v>826</v>
      </c>
      <c r="K792" t="s">
        <v>827</v>
      </c>
      <c r="L792" t="s">
        <v>25</v>
      </c>
      <c r="M792" t="s">
        <v>1163</v>
      </c>
      <c r="N792" s="57">
        <v>1500</v>
      </c>
      <c r="O792" t="s">
        <v>100</v>
      </c>
      <c r="P792" t="s">
        <v>93</v>
      </c>
      <c r="Q792" s="3">
        <v>46118</v>
      </c>
      <c r="R792" s="10">
        <f t="shared" ca="1" si="24"/>
        <v>46229</v>
      </c>
      <c r="S792" s="7">
        <f t="shared" ca="1" si="25"/>
        <v>0.30410958904109592</v>
      </c>
    </row>
    <row r="793" spans="1:19" x14ac:dyDescent="0.25">
      <c r="A793">
        <v>4122595</v>
      </c>
      <c r="B793" t="s">
        <v>1275</v>
      </c>
      <c r="C793" t="s">
        <v>1044</v>
      </c>
      <c r="D793" s="6" t="s">
        <v>22</v>
      </c>
      <c r="E793" t="s">
        <v>53</v>
      </c>
      <c r="G793" s="6" t="s">
        <v>967</v>
      </c>
      <c r="H793" s="59" t="s">
        <v>1023</v>
      </c>
      <c r="I793" s="58" t="s">
        <v>858</v>
      </c>
      <c r="J793" t="s">
        <v>826</v>
      </c>
      <c r="K793" t="s">
        <v>827</v>
      </c>
      <c r="L793" t="s">
        <v>25</v>
      </c>
      <c r="M793" t="s">
        <v>1163</v>
      </c>
      <c r="N793" s="57">
        <v>1500</v>
      </c>
      <c r="O793" t="s">
        <v>100</v>
      </c>
      <c r="P793" t="s">
        <v>93</v>
      </c>
      <c r="Q793" s="3">
        <v>46118</v>
      </c>
      <c r="R793" s="10">
        <f t="shared" ca="1" si="24"/>
        <v>46229</v>
      </c>
      <c r="S793" s="7">
        <f t="shared" ca="1" si="25"/>
        <v>0.30410958904109592</v>
      </c>
    </row>
    <row r="794" spans="1:19" x14ac:dyDescent="0.25">
      <c r="A794">
        <v>891619</v>
      </c>
      <c r="B794" t="s">
        <v>754</v>
      </c>
      <c r="C794" t="s">
        <v>17</v>
      </c>
      <c r="D794" s="6" t="s">
        <v>22</v>
      </c>
      <c r="E794" t="s">
        <v>53</v>
      </c>
      <c r="G794" s="6" t="s">
        <v>967</v>
      </c>
      <c r="H794" s="59" t="s">
        <v>1023</v>
      </c>
      <c r="I794" s="58" t="s">
        <v>858</v>
      </c>
      <c r="J794" t="s">
        <v>826</v>
      </c>
      <c r="K794" t="s">
        <v>827</v>
      </c>
      <c r="L794" t="s">
        <v>25</v>
      </c>
      <c r="M794" t="s">
        <v>1163</v>
      </c>
      <c r="N794" s="57">
        <v>1200</v>
      </c>
      <c r="O794" t="s">
        <v>100</v>
      </c>
      <c r="P794" t="s">
        <v>93</v>
      </c>
      <c r="Q794" s="3">
        <v>45495</v>
      </c>
      <c r="R794" s="10">
        <f t="shared" ca="1" si="24"/>
        <v>46229</v>
      </c>
      <c r="S794" s="7">
        <f t="shared" ca="1" si="25"/>
        <v>2.010958904109589</v>
      </c>
    </row>
    <row r="795" spans="1:19" x14ac:dyDescent="0.25">
      <c r="A795">
        <v>1005829</v>
      </c>
      <c r="B795" t="s">
        <v>108</v>
      </c>
      <c r="C795" t="s">
        <v>17</v>
      </c>
      <c r="D795" s="6" t="s">
        <v>22</v>
      </c>
      <c r="E795" t="s">
        <v>21</v>
      </c>
      <c r="G795" s="6" t="s">
        <v>968</v>
      </c>
      <c r="H795" s="59" t="s">
        <v>1019</v>
      </c>
      <c r="I795" s="58" t="s">
        <v>931</v>
      </c>
      <c r="J795" t="s">
        <v>829</v>
      </c>
      <c r="K795" t="s">
        <v>830</v>
      </c>
      <c r="L795" t="s">
        <v>91</v>
      </c>
      <c r="M795" t="s">
        <v>1163</v>
      </c>
      <c r="N795" s="57">
        <v>1200</v>
      </c>
      <c r="O795" t="s">
        <v>100</v>
      </c>
      <c r="P795" t="s">
        <v>93</v>
      </c>
      <c r="Q795" s="3">
        <v>44749</v>
      </c>
      <c r="R795" s="10">
        <f t="shared" ca="1" si="24"/>
        <v>46229</v>
      </c>
      <c r="S795" s="7">
        <f t="shared" ca="1" si="25"/>
        <v>4.0547945205479454</v>
      </c>
    </row>
    <row r="796" spans="1:19" x14ac:dyDescent="0.25">
      <c r="A796">
        <v>1005924</v>
      </c>
      <c r="B796" t="s">
        <v>1352</v>
      </c>
      <c r="C796" t="s">
        <v>1044</v>
      </c>
      <c r="D796" s="6" t="s">
        <v>22</v>
      </c>
      <c r="E796" t="s">
        <v>21</v>
      </c>
      <c r="G796" s="6" t="s">
        <v>968</v>
      </c>
      <c r="H796" s="59" t="s">
        <v>1019</v>
      </c>
      <c r="I796" s="58" t="s">
        <v>931</v>
      </c>
      <c r="J796" t="s">
        <v>829</v>
      </c>
      <c r="K796" t="s">
        <v>830</v>
      </c>
      <c r="L796" t="s">
        <v>91</v>
      </c>
      <c r="M796" t="s">
        <v>1163</v>
      </c>
      <c r="N796" s="57">
        <v>1200</v>
      </c>
      <c r="O796" t="s">
        <v>100</v>
      </c>
      <c r="P796" t="s">
        <v>93</v>
      </c>
      <c r="Q796" s="3">
        <v>46125</v>
      </c>
      <c r="R796" s="10">
        <f t="shared" ca="1" si="24"/>
        <v>46229</v>
      </c>
      <c r="S796" s="7">
        <f t="shared" ca="1" si="25"/>
        <v>0.28493150684931506</v>
      </c>
    </row>
    <row r="797" spans="1:19" x14ac:dyDescent="0.25">
      <c r="A797">
        <v>4045716</v>
      </c>
      <c r="B797" t="s">
        <v>1619</v>
      </c>
      <c r="C797" t="s">
        <v>17</v>
      </c>
      <c r="D797" s="6" t="s">
        <v>22</v>
      </c>
      <c r="E797" t="s">
        <v>21</v>
      </c>
      <c r="G797" s="6" t="s">
        <v>968</v>
      </c>
      <c r="H797" s="59" t="s">
        <v>1019</v>
      </c>
      <c r="I797" s="58" t="s">
        <v>931</v>
      </c>
      <c r="J797" t="s">
        <v>829</v>
      </c>
      <c r="K797" t="s">
        <v>830</v>
      </c>
      <c r="L797" t="s">
        <v>91</v>
      </c>
      <c r="M797" t="s">
        <v>1163</v>
      </c>
      <c r="N797" s="57">
        <v>1200</v>
      </c>
      <c r="O797" t="s">
        <v>100</v>
      </c>
      <c r="P797" t="s">
        <v>93</v>
      </c>
      <c r="Q797" s="3">
        <v>45596</v>
      </c>
      <c r="R797" s="10">
        <f t="shared" ca="1" si="24"/>
        <v>46229</v>
      </c>
      <c r="S797" s="7">
        <f t="shared" ca="1" si="25"/>
        <v>1.7342465753424658</v>
      </c>
    </row>
    <row r="798" spans="1:19" x14ac:dyDescent="0.25">
      <c r="A798">
        <v>4053911</v>
      </c>
      <c r="B798" t="s">
        <v>1622</v>
      </c>
      <c r="C798" t="s">
        <v>1044</v>
      </c>
      <c r="D798" s="6" t="s">
        <v>22</v>
      </c>
      <c r="E798" t="s">
        <v>21</v>
      </c>
      <c r="G798" s="6" t="s">
        <v>968</v>
      </c>
      <c r="H798" s="59" t="s">
        <v>1019</v>
      </c>
      <c r="I798" s="58" t="s">
        <v>931</v>
      </c>
      <c r="J798" t="s">
        <v>829</v>
      </c>
      <c r="K798" t="s">
        <v>830</v>
      </c>
      <c r="L798" t="s">
        <v>91</v>
      </c>
      <c r="M798" t="s">
        <v>1163</v>
      </c>
      <c r="N798" s="57">
        <v>1200</v>
      </c>
      <c r="O798" t="s">
        <v>100</v>
      </c>
      <c r="P798" t="s">
        <v>93</v>
      </c>
      <c r="Q798" s="3">
        <v>46170</v>
      </c>
      <c r="R798" s="10">
        <f t="shared" ca="1" si="24"/>
        <v>46229</v>
      </c>
      <c r="S798" s="7">
        <f t="shared" ca="1" si="25"/>
        <v>0.16164383561643836</v>
      </c>
    </row>
    <row r="799" spans="1:19" x14ac:dyDescent="0.25">
      <c r="A799">
        <v>4078431</v>
      </c>
      <c r="B799" t="s">
        <v>543</v>
      </c>
      <c r="C799" t="s">
        <v>17</v>
      </c>
      <c r="D799" s="6" t="s">
        <v>22</v>
      </c>
      <c r="E799" t="s">
        <v>21</v>
      </c>
      <c r="G799" s="6" t="s">
        <v>968</v>
      </c>
      <c r="H799" s="59" t="s">
        <v>1019</v>
      </c>
      <c r="I799" s="58" t="s">
        <v>931</v>
      </c>
      <c r="J799" t="s">
        <v>829</v>
      </c>
      <c r="K799" t="s">
        <v>830</v>
      </c>
      <c r="L799" t="s">
        <v>91</v>
      </c>
      <c r="M799" t="s">
        <v>1163</v>
      </c>
      <c r="N799" s="57">
        <v>1200</v>
      </c>
      <c r="O799" t="s">
        <v>100</v>
      </c>
      <c r="P799" t="s">
        <v>93</v>
      </c>
      <c r="Q799" s="3">
        <v>44945</v>
      </c>
      <c r="R799" s="10">
        <f t="shared" ca="1" si="24"/>
        <v>46229</v>
      </c>
      <c r="S799" s="7">
        <f t="shared" ca="1" si="25"/>
        <v>3.5178082191780824</v>
      </c>
    </row>
    <row r="800" spans="1:19" x14ac:dyDescent="0.25">
      <c r="A800">
        <v>4096058</v>
      </c>
      <c r="B800" t="s">
        <v>1243</v>
      </c>
      <c r="C800" t="s">
        <v>1044</v>
      </c>
      <c r="D800" s="6" t="s">
        <v>22</v>
      </c>
      <c r="E800" t="s">
        <v>21</v>
      </c>
      <c r="G800" s="6" t="s">
        <v>968</v>
      </c>
      <c r="H800" s="59" t="s">
        <v>1019</v>
      </c>
      <c r="I800" s="58" t="s">
        <v>931</v>
      </c>
      <c r="J800" t="s">
        <v>829</v>
      </c>
      <c r="K800" t="s">
        <v>830</v>
      </c>
      <c r="L800" t="s">
        <v>91</v>
      </c>
      <c r="M800" t="s">
        <v>1163</v>
      </c>
      <c r="N800" s="57">
        <v>1200</v>
      </c>
      <c r="O800" t="s">
        <v>100</v>
      </c>
      <c r="P800" t="s">
        <v>93</v>
      </c>
      <c r="Q800" s="3">
        <v>46121</v>
      </c>
      <c r="R800" s="10">
        <f t="shared" ca="1" si="24"/>
        <v>46229</v>
      </c>
      <c r="S800" s="7">
        <f t="shared" ca="1" si="25"/>
        <v>0.29589041095890412</v>
      </c>
    </row>
    <row r="801" spans="1:19" x14ac:dyDescent="0.25">
      <c r="A801">
        <v>4099991</v>
      </c>
      <c r="B801" t="s">
        <v>603</v>
      </c>
      <c r="C801" t="s">
        <v>17</v>
      </c>
      <c r="D801" s="6" t="s">
        <v>22</v>
      </c>
      <c r="E801" t="s">
        <v>21</v>
      </c>
      <c r="G801" s="6" t="s">
        <v>968</v>
      </c>
      <c r="H801" s="59" t="s">
        <v>1019</v>
      </c>
      <c r="I801" s="58" t="s">
        <v>931</v>
      </c>
      <c r="J801" t="s">
        <v>829</v>
      </c>
      <c r="K801" t="s">
        <v>830</v>
      </c>
      <c r="L801" t="s">
        <v>91</v>
      </c>
      <c r="M801" t="s">
        <v>1163</v>
      </c>
      <c r="N801" s="57">
        <v>1200</v>
      </c>
      <c r="O801" t="s">
        <v>100</v>
      </c>
      <c r="P801" t="s">
        <v>93</v>
      </c>
      <c r="Q801" s="3">
        <v>45414</v>
      </c>
      <c r="R801" s="10">
        <f t="shared" ca="1" si="24"/>
        <v>46229</v>
      </c>
      <c r="S801" s="7">
        <f t="shared" ca="1" si="25"/>
        <v>2.2328767123287672</v>
      </c>
    </row>
    <row r="802" spans="1:19" x14ac:dyDescent="0.25">
      <c r="A802">
        <v>4103038</v>
      </c>
      <c r="B802" t="s">
        <v>1062</v>
      </c>
      <c r="C802" t="s">
        <v>17</v>
      </c>
      <c r="D802" s="6" t="s">
        <v>22</v>
      </c>
      <c r="E802" t="s">
        <v>21</v>
      </c>
      <c r="G802" s="6" t="s">
        <v>968</v>
      </c>
      <c r="H802" s="59" t="s">
        <v>1019</v>
      </c>
      <c r="I802" s="58" t="s">
        <v>931</v>
      </c>
      <c r="J802" t="s">
        <v>829</v>
      </c>
      <c r="K802" t="s">
        <v>830</v>
      </c>
      <c r="L802" t="s">
        <v>91</v>
      </c>
      <c r="M802" t="s">
        <v>1163</v>
      </c>
      <c r="N802" s="57">
        <v>1200</v>
      </c>
      <c r="O802" t="s">
        <v>100</v>
      </c>
      <c r="P802" t="s">
        <v>93</v>
      </c>
      <c r="Q802" s="3">
        <v>46072</v>
      </c>
      <c r="R802" s="10">
        <f t="shared" ca="1" si="24"/>
        <v>46229</v>
      </c>
      <c r="S802" s="7">
        <f t="shared" ca="1" si="25"/>
        <v>0.43013698630136987</v>
      </c>
    </row>
    <row r="803" spans="1:19" x14ac:dyDescent="0.25">
      <c r="A803">
        <v>4103044</v>
      </c>
      <c r="B803" t="s">
        <v>634</v>
      </c>
      <c r="C803" t="s">
        <v>17</v>
      </c>
      <c r="D803" s="6" t="s">
        <v>22</v>
      </c>
      <c r="E803" t="s">
        <v>55</v>
      </c>
      <c r="G803" s="6" t="s">
        <v>968</v>
      </c>
      <c r="H803" s="59" t="s">
        <v>1019</v>
      </c>
      <c r="I803" s="58" t="s">
        <v>931</v>
      </c>
      <c r="J803" t="s">
        <v>829</v>
      </c>
      <c r="K803" t="s">
        <v>830</v>
      </c>
      <c r="L803" t="s">
        <v>91</v>
      </c>
      <c r="M803" t="s">
        <v>1163</v>
      </c>
      <c r="N803" s="57">
        <v>1500</v>
      </c>
      <c r="O803" t="s">
        <v>100</v>
      </c>
      <c r="P803" t="s">
        <v>93</v>
      </c>
      <c r="Q803" s="3">
        <v>45495</v>
      </c>
      <c r="R803" s="10">
        <f t="shared" ca="1" si="24"/>
        <v>46229</v>
      </c>
      <c r="S803" s="7">
        <f t="shared" ca="1" si="25"/>
        <v>2.010958904109589</v>
      </c>
    </row>
    <row r="804" spans="1:19" x14ac:dyDescent="0.25">
      <c r="A804">
        <v>4103361</v>
      </c>
      <c r="B804" t="s">
        <v>645</v>
      </c>
      <c r="C804" t="s">
        <v>17</v>
      </c>
      <c r="D804" s="6" t="s">
        <v>22</v>
      </c>
      <c r="E804" t="s">
        <v>21</v>
      </c>
      <c r="G804" s="6" t="s">
        <v>968</v>
      </c>
      <c r="H804" s="59" t="s">
        <v>1019</v>
      </c>
      <c r="I804" s="58" t="s">
        <v>931</v>
      </c>
      <c r="J804" t="s">
        <v>829</v>
      </c>
      <c r="K804" t="s">
        <v>830</v>
      </c>
      <c r="L804" t="s">
        <v>91</v>
      </c>
      <c r="M804" t="s">
        <v>1163</v>
      </c>
      <c r="N804" s="57">
        <v>1200</v>
      </c>
      <c r="O804" t="s">
        <v>100</v>
      </c>
      <c r="P804" t="s">
        <v>93</v>
      </c>
      <c r="Q804" s="3">
        <v>45505</v>
      </c>
      <c r="R804" s="10">
        <f t="shared" ca="1" si="24"/>
        <v>46229</v>
      </c>
      <c r="S804" s="7">
        <f t="shared" ca="1" si="25"/>
        <v>1.9835616438356165</v>
      </c>
    </row>
    <row r="805" spans="1:19" x14ac:dyDescent="0.25">
      <c r="A805">
        <v>4104534</v>
      </c>
      <c r="B805" t="s">
        <v>1368</v>
      </c>
      <c r="C805" t="s">
        <v>1044</v>
      </c>
      <c r="D805" s="6" t="s">
        <v>22</v>
      </c>
      <c r="E805" t="s">
        <v>21</v>
      </c>
      <c r="G805" s="6" t="s">
        <v>968</v>
      </c>
      <c r="H805" s="59" t="s">
        <v>1019</v>
      </c>
      <c r="I805" s="58" t="s">
        <v>931</v>
      </c>
      <c r="J805" t="s">
        <v>829</v>
      </c>
      <c r="K805" t="s">
        <v>830</v>
      </c>
      <c r="L805" t="s">
        <v>91</v>
      </c>
      <c r="M805" t="s">
        <v>1163</v>
      </c>
      <c r="N805" s="57">
        <v>1200</v>
      </c>
      <c r="O805" t="s">
        <v>100</v>
      </c>
      <c r="P805" t="s">
        <v>93</v>
      </c>
      <c r="Q805" s="3">
        <v>46125</v>
      </c>
      <c r="R805" s="10">
        <f t="shared" ca="1" si="24"/>
        <v>46229</v>
      </c>
      <c r="S805" s="7">
        <f t="shared" ca="1" si="25"/>
        <v>0.28493150684931506</v>
      </c>
    </row>
    <row r="806" spans="1:19" x14ac:dyDescent="0.25">
      <c r="A806">
        <v>4106583</v>
      </c>
      <c r="B806" t="s">
        <v>661</v>
      </c>
      <c r="C806" t="s">
        <v>17</v>
      </c>
      <c r="D806" s="6" t="s">
        <v>22</v>
      </c>
      <c r="E806" t="s">
        <v>21</v>
      </c>
      <c r="G806" s="6" t="s">
        <v>968</v>
      </c>
      <c r="H806" s="59" t="s">
        <v>1019</v>
      </c>
      <c r="I806" s="58" t="s">
        <v>931</v>
      </c>
      <c r="J806" t="s">
        <v>829</v>
      </c>
      <c r="K806" t="s">
        <v>830</v>
      </c>
      <c r="L806" t="s">
        <v>91</v>
      </c>
      <c r="M806" t="s">
        <v>1163</v>
      </c>
      <c r="N806" s="57">
        <v>1200</v>
      </c>
      <c r="O806" t="s">
        <v>100</v>
      </c>
      <c r="P806" t="s">
        <v>93</v>
      </c>
      <c r="Q806" s="3">
        <v>45596</v>
      </c>
      <c r="R806" s="10">
        <f t="shared" ca="1" si="24"/>
        <v>46229</v>
      </c>
      <c r="S806" s="7">
        <f t="shared" ca="1" si="25"/>
        <v>1.7342465753424658</v>
      </c>
    </row>
    <row r="807" spans="1:19" x14ac:dyDescent="0.25">
      <c r="A807">
        <v>4109654</v>
      </c>
      <c r="B807" t="s">
        <v>668</v>
      </c>
      <c r="C807" t="s">
        <v>17</v>
      </c>
      <c r="D807" s="6" t="s">
        <v>22</v>
      </c>
      <c r="E807" t="s">
        <v>21</v>
      </c>
      <c r="G807" s="6" t="s">
        <v>968</v>
      </c>
      <c r="H807" s="59" t="s">
        <v>1019</v>
      </c>
      <c r="I807" s="58" t="s">
        <v>931</v>
      </c>
      <c r="J807" t="s">
        <v>829</v>
      </c>
      <c r="K807" t="s">
        <v>830</v>
      </c>
      <c r="L807" t="s">
        <v>91</v>
      </c>
      <c r="M807" t="s">
        <v>1163</v>
      </c>
      <c r="N807" s="57">
        <v>1200</v>
      </c>
      <c r="O807" t="s">
        <v>100</v>
      </c>
      <c r="P807" t="s">
        <v>93</v>
      </c>
      <c r="Q807" s="3">
        <v>45666</v>
      </c>
      <c r="R807" s="10">
        <f t="shared" ca="1" si="24"/>
        <v>46229</v>
      </c>
      <c r="S807" s="7">
        <f t="shared" ca="1" si="25"/>
        <v>1.5424657534246575</v>
      </c>
    </row>
    <row r="808" spans="1:19" x14ac:dyDescent="0.25">
      <c r="A808">
        <v>4122395</v>
      </c>
      <c r="B808" t="s">
        <v>1189</v>
      </c>
      <c r="C808" t="s">
        <v>1044</v>
      </c>
      <c r="D808" s="6" t="s">
        <v>22</v>
      </c>
      <c r="E808" t="s">
        <v>21</v>
      </c>
      <c r="G808" s="6" t="s">
        <v>968</v>
      </c>
      <c r="H808" s="59" t="s">
        <v>1019</v>
      </c>
      <c r="I808" s="58" t="s">
        <v>931</v>
      </c>
      <c r="J808" t="s">
        <v>829</v>
      </c>
      <c r="K808" t="s">
        <v>830</v>
      </c>
      <c r="L808" t="s">
        <v>91</v>
      </c>
      <c r="M808" t="s">
        <v>1163</v>
      </c>
      <c r="N808" s="57">
        <v>1200</v>
      </c>
      <c r="O808" t="s">
        <v>100</v>
      </c>
      <c r="P808" t="s">
        <v>93</v>
      </c>
      <c r="Q808" s="3">
        <v>46107</v>
      </c>
      <c r="R808" s="10">
        <f t="shared" ca="1" si="24"/>
        <v>46229</v>
      </c>
      <c r="S808" s="7">
        <f t="shared" ca="1" si="25"/>
        <v>0.33424657534246577</v>
      </c>
    </row>
    <row r="809" spans="1:19" x14ac:dyDescent="0.25">
      <c r="A809">
        <v>4122549</v>
      </c>
      <c r="B809" t="s">
        <v>1258</v>
      </c>
      <c r="C809" t="s">
        <v>1044</v>
      </c>
      <c r="D809" s="6" t="s">
        <v>22</v>
      </c>
      <c r="E809" t="s">
        <v>21</v>
      </c>
      <c r="G809" s="6" t="s">
        <v>968</v>
      </c>
      <c r="H809" s="59" t="s">
        <v>1019</v>
      </c>
      <c r="I809" s="58" t="s">
        <v>931</v>
      </c>
      <c r="J809" t="s">
        <v>829</v>
      </c>
      <c r="K809" t="s">
        <v>830</v>
      </c>
      <c r="L809" t="s">
        <v>91</v>
      </c>
      <c r="M809" t="s">
        <v>1163</v>
      </c>
      <c r="N809" s="57">
        <v>1200</v>
      </c>
      <c r="O809" t="s">
        <v>100</v>
      </c>
      <c r="P809" t="s">
        <v>93</v>
      </c>
      <c r="Q809" s="3">
        <v>46118</v>
      </c>
      <c r="R809" s="10">
        <f t="shared" ca="1" si="24"/>
        <v>46229</v>
      </c>
      <c r="S809" s="7">
        <f t="shared" ca="1" si="25"/>
        <v>0.30410958904109592</v>
      </c>
    </row>
    <row r="810" spans="1:19" x14ac:dyDescent="0.25">
      <c r="A810">
        <v>4122776</v>
      </c>
      <c r="B810" t="s">
        <v>1311</v>
      </c>
      <c r="C810" t="s">
        <v>1044</v>
      </c>
      <c r="D810" s="6" t="s">
        <v>22</v>
      </c>
      <c r="E810" t="s">
        <v>21</v>
      </c>
      <c r="G810" s="6" t="s">
        <v>968</v>
      </c>
      <c r="H810" s="59" t="s">
        <v>1019</v>
      </c>
      <c r="I810" s="58" t="s">
        <v>931</v>
      </c>
      <c r="J810" t="s">
        <v>829</v>
      </c>
      <c r="K810" t="s">
        <v>830</v>
      </c>
      <c r="L810" t="s">
        <v>91</v>
      </c>
      <c r="M810" t="s">
        <v>1163</v>
      </c>
      <c r="N810" s="57">
        <v>1200</v>
      </c>
      <c r="O810" t="s">
        <v>100</v>
      </c>
      <c r="P810" t="s">
        <v>93</v>
      </c>
      <c r="Q810" s="3">
        <v>46121</v>
      </c>
      <c r="R810" s="10">
        <f t="shared" ca="1" si="24"/>
        <v>46229</v>
      </c>
      <c r="S810" s="7">
        <f t="shared" ca="1" si="25"/>
        <v>0.29589041095890412</v>
      </c>
    </row>
    <row r="811" spans="1:19" x14ac:dyDescent="0.25">
      <c r="A811">
        <v>4122780</v>
      </c>
      <c r="B811" t="s">
        <v>1313</v>
      </c>
      <c r="C811" t="s">
        <v>1044</v>
      </c>
      <c r="D811" s="6" t="s">
        <v>22</v>
      </c>
      <c r="E811" t="s">
        <v>21</v>
      </c>
      <c r="G811" s="6" t="s">
        <v>968</v>
      </c>
      <c r="H811" s="59" t="s">
        <v>1019</v>
      </c>
      <c r="I811" s="58" t="s">
        <v>931</v>
      </c>
      <c r="J811" t="s">
        <v>829</v>
      </c>
      <c r="K811" t="s">
        <v>830</v>
      </c>
      <c r="L811" t="s">
        <v>91</v>
      </c>
      <c r="M811" t="s">
        <v>1163</v>
      </c>
      <c r="N811" s="57">
        <v>1200</v>
      </c>
      <c r="O811" t="s">
        <v>100</v>
      </c>
      <c r="P811" t="s">
        <v>93</v>
      </c>
      <c r="Q811" s="3">
        <v>46121</v>
      </c>
      <c r="R811" s="10">
        <f t="shared" ca="1" si="24"/>
        <v>46229</v>
      </c>
      <c r="S811" s="7">
        <f t="shared" ca="1" si="25"/>
        <v>0.29589041095890412</v>
      </c>
    </row>
    <row r="812" spans="1:19" x14ac:dyDescent="0.25">
      <c r="A812">
        <v>4122781</v>
      </c>
      <c r="B812" t="s">
        <v>1314</v>
      </c>
      <c r="C812" t="s">
        <v>1044</v>
      </c>
      <c r="D812" s="6" t="s">
        <v>22</v>
      </c>
      <c r="E812" t="s">
        <v>21</v>
      </c>
      <c r="G812" s="6" t="s">
        <v>968</v>
      </c>
      <c r="H812" s="59" t="s">
        <v>1019</v>
      </c>
      <c r="I812" s="58" t="s">
        <v>931</v>
      </c>
      <c r="J812" t="s">
        <v>829</v>
      </c>
      <c r="K812" t="s">
        <v>830</v>
      </c>
      <c r="L812" t="s">
        <v>91</v>
      </c>
      <c r="M812" t="s">
        <v>1163</v>
      </c>
      <c r="N812" s="57">
        <v>1200</v>
      </c>
      <c r="O812" t="s">
        <v>100</v>
      </c>
      <c r="P812" t="s">
        <v>93</v>
      </c>
      <c r="Q812" s="3">
        <v>46121</v>
      </c>
      <c r="R812" s="10">
        <f t="shared" ca="1" si="24"/>
        <v>46229</v>
      </c>
      <c r="S812" s="7">
        <f t="shared" ca="1" si="25"/>
        <v>0.29589041095890412</v>
      </c>
    </row>
    <row r="813" spans="1:19" x14ac:dyDescent="0.25">
      <c r="A813">
        <v>4122808</v>
      </c>
      <c r="B813" t="s">
        <v>1330</v>
      </c>
      <c r="C813" t="s">
        <v>1044</v>
      </c>
      <c r="D813" s="6" t="s">
        <v>22</v>
      </c>
      <c r="E813" t="s">
        <v>21</v>
      </c>
      <c r="G813" s="6" t="s">
        <v>968</v>
      </c>
      <c r="H813" s="59" t="s">
        <v>1019</v>
      </c>
      <c r="I813" s="58" t="s">
        <v>931</v>
      </c>
      <c r="J813" t="s">
        <v>829</v>
      </c>
      <c r="K813" t="s">
        <v>830</v>
      </c>
      <c r="L813" t="s">
        <v>91</v>
      </c>
      <c r="M813" t="s">
        <v>1163</v>
      </c>
      <c r="N813" s="57">
        <v>1200</v>
      </c>
      <c r="O813" t="s">
        <v>100</v>
      </c>
      <c r="P813" t="s">
        <v>93</v>
      </c>
      <c r="Q813" s="3">
        <v>46121</v>
      </c>
      <c r="R813" s="10">
        <f t="shared" ca="1" si="24"/>
        <v>46229</v>
      </c>
      <c r="S813" s="7">
        <f t="shared" ca="1" si="25"/>
        <v>0.29589041095890412</v>
      </c>
    </row>
    <row r="814" spans="1:19" x14ac:dyDescent="0.25">
      <c r="A814">
        <v>4122873</v>
      </c>
      <c r="B814" t="s">
        <v>1376</v>
      </c>
      <c r="C814" t="s">
        <v>1044</v>
      </c>
      <c r="D814" s="6" t="s">
        <v>22</v>
      </c>
      <c r="E814" t="s">
        <v>21</v>
      </c>
      <c r="G814" s="6" t="s">
        <v>968</v>
      </c>
      <c r="H814" s="59" t="s">
        <v>1019</v>
      </c>
      <c r="I814" s="58" t="s">
        <v>931</v>
      </c>
      <c r="J814" t="s">
        <v>829</v>
      </c>
      <c r="K814" t="s">
        <v>830</v>
      </c>
      <c r="L814" t="s">
        <v>91</v>
      </c>
      <c r="M814" t="s">
        <v>1163</v>
      </c>
      <c r="N814" s="57">
        <v>1200</v>
      </c>
      <c r="O814" t="s">
        <v>100</v>
      </c>
      <c r="P814" t="s">
        <v>93</v>
      </c>
      <c r="Q814" s="3">
        <v>46125</v>
      </c>
      <c r="R814" s="10">
        <f t="shared" ca="1" si="24"/>
        <v>46229</v>
      </c>
      <c r="S814" s="7">
        <f t="shared" ca="1" si="25"/>
        <v>0.28493150684931506</v>
      </c>
    </row>
    <row r="815" spans="1:19" x14ac:dyDescent="0.25">
      <c r="A815">
        <v>4122960</v>
      </c>
      <c r="B815" t="s">
        <v>1394</v>
      </c>
      <c r="C815" t="s">
        <v>1044</v>
      </c>
      <c r="D815" s="6" t="s">
        <v>22</v>
      </c>
      <c r="E815" t="s">
        <v>21</v>
      </c>
      <c r="G815" s="6" t="s">
        <v>968</v>
      </c>
      <c r="H815" s="59" t="s">
        <v>1019</v>
      </c>
      <c r="I815" s="58" t="s">
        <v>931</v>
      </c>
      <c r="J815" t="s">
        <v>829</v>
      </c>
      <c r="K815" t="s">
        <v>830</v>
      </c>
      <c r="L815" t="s">
        <v>91</v>
      </c>
      <c r="M815" t="s">
        <v>1163</v>
      </c>
      <c r="N815" s="57">
        <v>1200</v>
      </c>
      <c r="O815" t="s">
        <v>100</v>
      </c>
      <c r="P815" t="s">
        <v>93</v>
      </c>
      <c r="Q815" s="3">
        <v>46128</v>
      </c>
      <c r="R815" s="10">
        <f t="shared" ca="1" si="24"/>
        <v>46229</v>
      </c>
      <c r="S815" s="7">
        <f t="shared" ca="1" si="25"/>
        <v>0.27671232876712326</v>
      </c>
    </row>
    <row r="816" spans="1:19" x14ac:dyDescent="0.25">
      <c r="A816">
        <v>4122998</v>
      </c>
      <c r="B816" t="s">
        <v>1400</v>
      </c>
      <c r="C816" t="s">
        <v>1044</v>
      </c>
      <c r="D816" s="6" t="s">
        <v>22</v>
      </c>
      <c r="E816" t="s">
        <v>21</v>
      </c>
      <c r="G816" s="6" t="s">
        <v>968</v>
      </c>
      <c r="H816" s="59" t="s">
        <v>1019</v>
      </c>
      <c r="I816" s="58" t="s">
        <v>931</v>
      </c>
      <c r="J816" t="s">
        <v>829</v>
      </c>
      <c r="K816" t="s">
        <v>830</v>
      </c>
      <c r="L816" t="s">
        <v>91</v>
      </c>
      <c r="M816" t="s">
        <v>1163</v>
      </c>
      <c r="N816" s="57">
        <v>1200</v>
      </c>
      <c r="O816" t="s">
        <v>100</v>
      </c>
      <c r="P816" t="s">
        <v>93</v>
      </c>
      <c r="Q816" s="3">
        <v>46128</v>
      </c>
      <c r="R816" s="10">
        <f t="shared" ca="1" si="24"/>
        <v>46229</v>
      </c>
      <c r="S816" s="7">
        <f t="shared" ca="1" si="25"/>
        <v>0.27671232876712326</v>
      </c>
    </row>
    <row r="817" spans="1:19" x14ac:dyDescent="0.25">
      <c r="A817">
        <v>4123029</v>
      </c>
      <c r="B817" t="s">
        <v>1406</v>
      </c>
      <c r="C817" t="s">
        <v>1044</v>
      </c>
      <c r="D817" s="6" t="s">
        <v>22</v>
      </c>
      <c r="E817" t="s">
        <v>21</v>
      </c>
      <c r="G817" s="6" t="s">
        <v>968</v>
      </c>
      <c r="H817" s="59" t="s">
        <v>1019</v>
      </c>
      <c r="I817" s="58" t="s">
        <v>931</v>
      </c>
      <c r="J817" t="s">
        <v>829</v>
      </c>
      <c r="K817" t="s">
        <v>830</v>
      </c>
      <c r="L817" t="s">
        <v>91</v>
      </c>
      <c r="M817" t="s">
        <v>1163</v>
      </c>
      <c r="N817" s="57">
        <v>1200</v>
      </c>
      <c r="O817" t="s">
        <v>100</v>
      </c>
      <c r="P817" t="s">
        <v>93</v>
      </c>
      <c r="Q817" s="3">
        <v>46128</v>
      </c>
      <c r="R817" s="10">
        <f t="shared" ca="1" si="24"/>
        <v>46229</v>
      </c>
      <c r="S817" s="7">
        <f t="shared" ca="1" si="25"/>
        <v>0.27671232876712326</v>
      </c>
    </row>
    <row r="818" spans="1:19" x14ac:dyDescent="0.25">
      <c r="A818">
        <v>4124115</v>
      </c>
      <c r="B818" t="s">
        <v>1562</v>
      </c>
      <c r="C818" t="s">
        <v>1044</v>
      </c>
      <c r="D818" s="6" t="s">
        <v>22</v>
      </c>
      <c r="E818" t="s">
        <v>21</v>
      </c>
      <c r="G818" s="6" t="s">
        <v>968</v>
      </c>
      <c r="H818" s="59" t="s">
        <v>1019</v>
      </c>
      <c r="I818" s="58" t="s">
        <v>931</v>
      </c>
      <c r="J818" t="s">
        <v>829</v>
      </c>
      <c r="K818" t="s">
        <v>830</v>
      </c>
      <c r="L818" t="s">
        <v>91</v>
      </c>
      <c r="M818" t="s">
        <v>1163</v>
      </c>
      <c r="N818" s="57">
        <v>1200</v>
      </c>
      <c r="O818" t="s">
        <v>100</v>
      </c>
      <c r="P818" t="s">
        <v>93</v>
      </c>
      <c r="Q818" s="3">
        <v>46167</v>
      </c>
      <c r="R818" s="10">
        <f t="shared" ca="1" si="24"/>
        <v>46229</v>
      </c>
      <c r="S818" s="7">
        <f t="shared" ca="1" si="25"/>
        <v>0.16986301369863013</v>
      </c>
    </row>
    <row r="819" spans="1:19" x14ac:dyDescent="0.25">
      <c r="A819">
        <v>4124142</v>
      </c>
      <c r="B819" t="s">
        <v>1573</v>
      </c>
      <c r="C819" t="s">
        <v>1044</v>
      </c>
      <c r="D819" s="6" t="s">
        <v>22</v>
      </c>
      <c r="E819" t="s">
        <v>21</v>
      </c>
      <c r="G819" s="6" t="s">
        <v>968</v>
      </c>
      <c r="H819" s="59" t="s">
        <v>1019</v>
      </c>
      <c r="I819" s="58" t="s">
        <v>931</v>
      </c>
      <c r="J819" t="s">
        <v>829</v>
      </c>
      <c r="K819" t="s">
        <v>830</v>
      </c>
      <c r="L819" t="s">
        <v>91</v>
      </c>
      <c r="M819" t="s">
        <v>1163</v>
      </c>
      <c r="N819" s="57">
        <v>1200</v>
      </c>
      <c r="O819" t="s">
        <v>100</v>
      </c>
      <c r="P819" t="s">
        <v>93</v>
      </c>
      <c r="Q819" s="3">
        <v>46167</v>
      </c>
      <c r="R819" s="10">
        <f t="shared" ca="1" si="24"/>
        <v>46229</v>
      </c>
      <c r="S819" s="7">
        <f t="shared" ca="1" si="25"/>
        <v>0.16986301369863013</v>
      </c>
    </row>
    <row r="820" spans="1:19" x14ac:dyDescent="0.25">
      <c r="A820">
        <v>4124212</v>
      </c>
      <c r="B820" t="s">
        <v>1677</v>
      </c>
      <c r="C820" t="s">
        <v>1044</v>
      </c>
      <c r="D820" s="6" t="s">
        <v>22</v>
      </c>
      <c r="E820" t="s">
        <v>21</v>
      </c>
      <c r="G820" s="6" t="s">
        <v>968</v>
      </c>
      <c r="H820" s="59" t="s">
        <v>1019</v>
      </c>
      <c r="I820" s="58" t="s">
        <v>931</v>
      </c>
      <c r="J820" t="s">
        <v>829</v>
      </c>
      <c r="K820" t="s">
        <v>830</v>
      </c>
      <c r="L820" t="s">
        <v>91</v>
      </c>
      <c r="M820" t="s">
        <v>1163</v>
      </c>
      <c r="N820" s="57">
        <v>1200</v>
      </c>
      <c r="O820" t="s">
        <v>100</v>
      </c>
      <c r="P820" t="s">
        <v>93</v>
      </c>
      <c r="Q820" s="3">
        <v>46170</v>
      </c>
      <c r="R820" s="10">
        <f t="shared" ca="1" si="24"/>
        <v>46229</v>
      </c>
      <c r="S820" s="7">
        <f t="shared" ca="1" si="25"/>
        <v>0.16164383561643836</v>
      </c>
    </row>
    <row r="821" spans="1:19" x14ac:dyDescent="0.25">
      <c r="A821">
        <v>4124214</v>
      </c>
      <c r="B821" t="s">
        <v>1679</v>
      </c>
      <c r="C821" t="s">
        <v>1044</v>
      </c>
      <c r="D821" s="6" t="s">
        <v>22</v>
      </c>
      <c r="E821" t="s">
        <v>21</v>
      </c>
      <c r="G821" s="6" t="s">
        <v>968</v>
      </c>
      <c r="H821" s="59" t="s">
        <v>1019</v>
      </c>
      <c r="I821" s="58" t="s">
        <v>931</v>
      </c>
      <c r="J821" t="s">
        <v>829</v>
      </c>
      <c r="K821" t="s">
        <v>830</v>
      </c>
      <c r="L821" t="s">
        <v>91</v>
      </c>
      <c r="M821" t="s">
        <v>1163</v>
      </c>
      <c r="N821" s="57">
        <v>1200</v>
      </c>
      <c r="O821" t="s">
        <v>100</v>
      </c>
      <c r="P821" t="s">
        <v>93</v>
      </c>
      <c r="Q821" s="3">
        <v>46170</v>
      </c>
      <c r="R821" s="10">
        <f t="shared" ca="1" si="24"/>
        <v>46229</v>
      </c>
      <c r="S821" s="7">
        <f t="shared" ca="1" si="25"/>
        <v>0.16164383561643836</v>
      </c>
    </row>
    <row r="822" spans="1:19" x14ac:dyDescent="0.25">
      <c r="A822">
        <v>847273</v>
      </c>
      <c r="B822" t="s">
        <v>739</v>
      </c>
      <c r="C822" t="s">
        <v>17</v>
      </c>
      <c r="D822" s="6" t="s">
        <v>22</v>
      </c>
      <c r="E822" t="s">
        <v>21</v>
      </c>
      <c r="G822" s="6" t="s">
        <v>968</v>
      </c>
      <c r="H822" s="59" t="s">
        <v>1019</v>
      </c>
      <c r="I822" s="58" t="s">
        <v>931</v>
      </c>
      <c r="J822" t="s">
        <v>829</v>
      </c>
      <c r="K822" t="s">
        <v>830</v>
      </c>
      <c r="L822" t="s">
        <v>91</v>
      </c>
      <c r="M822" t="s">
        <v>1163</v>
      </c>
      <c r="N822" s="57">
        <v>1200</v>
      </c>
      <c r="O822" t="s">
        <v>100</v>
      </c>
      <c r="P822" t="s">
        <v>93</v>
      </c>
      <c r="Q822" s="3">
        <v>44987</v>
      </c>
      <c r="R822" s="10">
        <f t="shared" ca="1" si="24"/>
        <v>46229</v>
      </c>
      <c r="S822" s="7">
        <f t="shared" ca="1" si="25"/>
        <v>3.4027397260273973</v>
      </c>
    </row>
    <row r="823" spans="1:19" x14ac:dyDescent="0.25">
      <c r="A823">
        <v>958392</v>
      </c>
      <c r="B823" t="s">
        <v>1190</v>
      </c>
      <c r="C823" t="s">
        <v>1044</v>
      </c>
      <c r="D823" s="6" t="s">
        <v>22</v>
      </c>
      <c r="E823" t="s">
        <v>21</v>
      </c>
      <c r="G823" s="6" t="s">
        <v>968</v>
      </c>
      <c r="H823" s="59" t="s">
        <v>1019</v>
      </c>
      <c r="I823" s="58" t="s">
        <v>931</v>
      </c>
      <c r="J823" t="s">
        <v>829</v>
      </c>
      <c r="K823" t="s">
        <v>830</v>
      </c>
      <c r="L823" t="s">
        <v>25</v>
      </c>
      <c r="M823" t="s">
        <v>1163</v>
      </c>
      <c r="N823" s="57">
        <v>1200</v>
      </c>
      <c r="O823" t="s">
        <v>100</v>
      </c>
      <c r="P823" t="s">
        <v>93</v>
      </c>
      <c r="Q823" s="3">
        <v>46107</v>
      </c>
      <c r="R823" s="10">
        <f t="shared" ca="1" si="24"/>
        <v>46229</v>
      </c>
      <c r="S823" s="7">
        <f t="shared" ca="1" si="25"/>
        <v>0.33424657534246577</v>
      </c>
    </row>
    <row r="824" spans="1:19" x14ac:dyDescent="0.25">
      <c r="A824">
        <v>4124268</v>
      </c>
      <c r="B824" t="s">
        <v>1719</v>
      </c>
      <c r="C824" t="s">
        <v>1044</v>
      </c>
      <c r="D824" s="6" t="s">
        <v>22</v>
      </c>
      <c r="E824" t="s">
        <v>21</v>
      </c>
      <c r="G824" s="6" t="s">
        <v>968</v>
      </c>
      <c r="H824" s="59" t="s">
        <v>1019</v>
      </c>
      <c r="I824" s="58" t="s">
        <v>931</v>
      </c>
      <c r="J824" t="s">
        <v>829</v>
      </c>
      <c r="K824" t="s">
        <v>830</v>
      </c>
      <c r="L824" t="s">
        <v>91</v>
      </c>
      <c r="M824" t="s">
        <v>1163</v>
      </c>
      <c r="N824" s="57">
        <v>1200</v>
      </c>
      <c r="O824" t="s">
        <v>100</v>
      </c>
      <c r="P824" t="s">
        <v>93</v>
      </c>
      <c r="Q824" s="3">
        <v>46170</v>
      </c>
      <c r="R824" s="10">
        <f t="shared" ca="1" si="24"/>
        <v>46229</v>
      </c>
      <c r="S824" s="7">
        <f t="shared" ca="1" si="25"/>
        <v>0.16164383561643836</v>
      </c>
    </row>
    <row r="825" spans="1:19" x14ac:dyDescent="0.25">
      <c r="A825">
        <v>21069</v>
      </c>
      <c r="B825" t="s">
        <v>300</v>
      </c>
      <c r="C825" t="s">
        <v>17</v>
      </c>
      <c r="D825" s="6" t="s">
        <v>39</v>
      </c>
      <c r="E825" t="s">
        <v>960</v>
      </c>
      <c r="G825" s="6" t="s">
        <v>1011</v>
      </c>
      <c r="H825" s="59" t="s">
        <v>92</v>
      </c>
      <c r="I825" s="58" t="s">
        <v>37</v>
      </c>
      <c r="J825" t="s">
        <v>99</v>
      </c>
      <c r="K825" t="s">
        <v>27</v>
      </c>
      <c r="L825" t="s">
        <v>966</v>
      </c>
      <c r="M825" t="s">
        <v>1163</v>
      </c>
      <c r="N825" s="57">
        <v>5700</v>
      </c>
      <c r="O825" t="s">
        <v>100</v>
      </c>
      <c r="P825" t="s">
        <v>38</v>
      </c>
      <c r="Q825" s="3">
        <v>44928</v>
      </c>
      <c r="R825" s="10">
        <f t="shared" ca="1" si="24"/>
        <v>46229</v>
      </c>
      <c r="S825" s="7">
        <f t="shared" ca="1" si="25"/>
        <v>3.5643835616438357</v>
      </c>
    </row>
    <row r="826" spans="1:19" x14ac:dyDescent="0.25">
      <c r="A826">
        <v>29723</v>
      </c>
      <c r="B826" t="s">
        <v>1605</v>
      </c>
      <c r="C826" t="s">
        <v>17</v>
      </c>
      <c r="D826" s="6" t="s">
        <v>39</v>
      </c>
      <c r="E826" t="s">
        <v>948</v>
      </c>
      <c r="G826" s="6" t="s">
        <v>1011</v>
      </c>
      <c r="H826" s="59" t="s">
        <v>92</v>
      </c>
      <c r="I826" s="58" t="s">
        <v>37</v>
      </c>
      <c r="J826" t="s">
        <v>99</v>
      </c>
      <c r="K826" t="s">
        <v>27</v>
      </c>
      <c r="L826" t="s">
        <v>966</v>
      </c>
      <c r="M826" t="s">
        <v>1163</v>
      </c>
      <c r="N826" s="57">
        <v>5700</v>
      </c>
      <c r="O826" t="s">
        <v>100</v>
      </c>
      <c r="P826" t="s">
        <v>38</v>
      </c>
      <c r="Q826" s="3">
        <v>46181</v>
      </c>
      <c r="R826" s="10">
        <f t="shared" ca="1" si="24"/>
        <v>46229</v>
      </c>
      <c r="S826" s="7">
        <f t="shared" ca="1" si="25"/>
        <v>0.13150684931506848</v>
      </c>
    </row>
    <row r="827" spans="1:19" x14ac:dyDescent="0.25">
      <c r="A827">
        <v>881455</v>
      </c>
      <c r="B827" t="s">
        <v>1464</v>
      </c>
      <c r="C827" t="s">
        <v>17</v>
      </c>
      <c r="D827" s="6" t="s">
        <v>39</v>
      </c>
      <c r="E827" t="s">
        <v>948</v>
      </c>
      <c r="G827" s="6" t="s">
        <v>1011</v>
      </c>
      <c r="H827" s="59" t="s">
        <v>92</v>
      </c>
      <c r="I827" s="58" t="s">
        <v>37</v>
      </c>
      <c r="J827" t="s">
        <v>99</v>
      </c>
      <c r="K827" t="s">
        <v>27</v>
      </c>
      <c r="L827" t="s">
        <v>966</v>
      </c>
      <c r="M827" t="s">
        <v>1163</v>
      </c>
      <c r="N827" s="57">
        <v>5700</v>
      </c>
      <c r="O827" t="s">
        <v>100</v>
      </c>
      <c r="P827" t="s">
        <v>38</v>
      </c>
      <c r="Q827" s="3">
        <v>42548</v>
      </c>
      <c r="R827" s="10">
        <f t="shared" ca="1" si="24"/>
        <v>46229</v>
      </c>
      <c r="S827" s="7">
        <f t="shared" ca="1" si="25"/>
        <v>10.084931506849315</v>
      </c>
    </row>
    <row r="828" spans="1:19" x14ac:dyDescent="0.25">
      <c r="A828">
        <v>1180833</v>
      </c>
      <c r="B828" t="s">
        <v>242</v>
      </c>
      <c r="C828" t="s">
        <v>17</v>
      </c>
      <c r="D828" s="6" t="s">
        <v>39</v>
      </c>
      <c r="E828" t="s">
        <v>63</v>
      </c>
      <c r="G828" s="6" t="s">
        <v>970</v>
      </c>
      <c r="H828" s="59" t="s">
        <v>92</v>
      </c>
      <c r="I828" s="58" t="s">
        <v>836</v>
      </c>
      <c r="J828" t="s">
        <v>837</v>
      </c>
      <c r="K828" t="s">
        <v>94</v>
      </c>
      <c r="L828" t="s">
        <v>966</v>
      </c>
      <c r="M828" t="s">
        <v>1163</v>
      </c>
      <c r="N828" s="57">
        <v>5800</v>
      </c>
      <c r="O828" t="s">
        <v>100</v>
      </c>
      <c r="P828" t="s">
        <v>93</v>
      </c>
      <c r="Q828" s="3">
        <v>45138</v>
      </c>
      <c r="R828" s="10">
        <f t="shared" ca="1" si="24"/>
        <v>46229</v>
      </c>
      <c r="S828" s="7">
        <f t="shared" ca="1" si="25"/>
        <v>2.989041095890411</v>
      </c>
    </row>
    <row r="829" spans="1:19" x14ac:dyDescent="0.25">
      <c r="A829">
        <v>1229704</v>
      </c>
      <c r="B829" t="s">
        <v>1195</v>
      </c>
      <c r="C829" t="s">
        <v>17</v>
      </c>
      <c r="D829" s="6" t="s">
        <v>39</v>
      </c>
      <c r="E829" t="s">
        <v>63</v>
      </c>
      <c r="G829" s="6" t="s">
        <v>970</v>
      </c>
      <c r="H829" s="59" t="s">
        <v>92</v>
      </c>
      <c r="I829" s="58" t="s">
        <v>836</v>
      </c>
      <c r="J829" t="s">
        <v>837</v>
      </c>
      <c r="K829" t="s">
        <v>94</v>
      </c>
      <c r="L829" t="s">
        <v>966</v>
      </c>
      <c r="M829" t="s">
        <v>1163</v>
      </c>
      <c r="N829" s="57">
        <v>5800</v>
      </c>
      <c r="O829" t="s">
        <v>100</v>
      </c>
      <c r="P829" t="s">
        <v>38</v>
      </c>
      <c r="Q829" s="3">
        <v>46118</v>
      </c>
      <c r="R829" s="10">
        <f t="shared" ca="1" si="24"/>
        <v>46229</v>
      </c>
      <c r="S829" s="7">
        <f t="shared" ca="1" si="25"/>
        <v>0.30410958904109592</v>
      </c>
    </row>
    <row r="830" spans="1:19" x14ac:dyDescent="0.25">
      <c r="A830">
        <v>841533</v>
      </c>
      <c r="B830" t="s">
        <v>1526</v>
      </c>
      <c r="C830" t="s">
        <v>17</v>
      </c>
      <c r="D830" s="6" t="s">
        <v>39</v>
      </c>
      <c r="E830" t="s">
        <v>1537</v>
      </c>
      <c r="G830" s="6" t="s">
        <v>970</v>
      </c>
      <c r="H830" s="59" t="s">
        <v>92</v>
      </c>
      <c r="I830" s="58" t="s">
        <v>836</v>
      </c>
      <c r="J830" t="s">
        <v>837</v>
      </c>
      <c r="K830" t="s">
        <v>94</v>
      </c>
      <c r="L830" t="s">
        <v>966</v>
      </c>
      <c r="M830" t="s">
        <v>1163</v>
      </c>
      <c r="N830" s="57">
        <v>5800</v>
      </c>
      <c r="O830" t="s">
        <v>100</v>
      </c>
      <c r="P830" t="s">
        <v>38</v>
      </c>
      <c r="Q830" s="3">
        <v>41372</v>
      </c>
      <c r="R830" s="10">
        <f t="shared" ca="1" si="24"/>
        <v>46229</v>
      </c>
      <c r="S830" s="7">
        <f t="shared" ca="1" si="25"/>
        <v>13.306849315068494</v>
      </c>
    </row>
    <row r="831" spans="1:19" x14ac:dyDescent="0.25">
      <c r="A831">
        <v>1146319</v>
      </c>
      <c r="B831" t="s">
        <v>166</v>
      </c>
      <c r="C831" t="s">
        <v>17</v>
      </c>
      <c r="D831" s="6" t="s">
        <v>22</v>
      </c>
      <c r="E831" t="s">
        <v>57</v>
      </c>
      <c r="G831" s="6" t="s">
        <v>967</v>
      </c>
      <c r="H831" s="59" t="s">
        <v>1023</v>
      </c>
      <c r="I831" s="58" t="s">
        <v>827</v>
      </c>
      <c r="J831" t="s">
        <v>28</v>
      </c>
      <c r="K831" t="s">
        <v>27</v>
      </c>
      <c r="L831" t="s">
        <v>966</v>
      </c>
      <c r="M831" t="s">
        <v>1163</v>
      </c>
      <c r="N831" s="57">
        <v>1500</v>
      </c>
      <c r="O831" t="s">
        <v>100</v>
      </c>
      <c r="P831" t="s">
        <v>943</v>
      </c>
      <c r="Q831" s="3">
        <v>44600</v>
      </c>
      <c r="R831" s="10">
        <f t="shared" ca="1" si="24"/>
        <v>46229</v>
      </c>
      <c r="S831" s="7">
        <f t="shared" ca="1" si="25"/>
        <v>4.463013698630137</v>
      </c>
    </row>
    <row r="832" spans="1:19" x14ac:dyDescent="0.25">
      <c r="A832">
        <v>31593</v>
      </c>
      <c r="B832" t="s">
        <v>1609</v>
      </c>
      <c r="C832" t="s">
        <v>17</v>
      </c>
      <c r="D832" s="6" t="s">
        <v>22</v>
      </c>
      <c r="E832" t="s">
        <v>66</v>
      </c>
      <c r="G832" s="6" t="s">
        <v>970</v>
      </c>
      <c r="H832" s="59" t="s">
        <v>1031</v>
      </c>
      <c r="I832" s="58" t="s">
        <v>1578</v>
      </c>
      <c r="J832" t="s">
        <v>1532</v>
      </c>
      <c r="K832" t="s">
        <v>837</v>
      </c>
      <c r="L832" t="s">
        <v>966</v>
      </c>
      <c r="M832" t="s">
        <v>1163</v>
      </c>
      <c r="N832" s="57">
        <v>1400</v>
      </c>
      <c r="O832" t="s">
        <v>100</v>
      </c>
      <c r="P832" t="s">
        <v>93</v>
      </c>
      <c r="Q832" s="3">
        <v>38082</v>
      </c>
      <c r="R832" s="10">
        <f t="shared" ca="1" si="24"/>
        <v>46229</v>
      </c>
      <c r="S832" s="7">
        <f t="shared" ca="1" si="25"/>
        <v>22.32054794520548</v>
      </c>
    </row>
    <row r="833" spans="1:19" x14ac:dyDescent="0.25">
      <c r="A833">
        <v>852342</v>
      </c>
      <c r="B833" t="s">
        <v>1784</v>
      </c>
      <c r="C833" t="s">
        <v>17</v>
      </c>
      <c r="D833" s="6" t="s">
        <v>22</v>
      </c>
      <c r="E833" t="s">
        <v>66</v>
      </c>
      <c r="G833" s="6" t="s">
        <v>970</v>
      </c>
      <c r="H833" s="59" t="s">
        <v>1031</v>
      </c>
      <c r="I833" s="58" t="s">
        <v>1578</v>
      </c>
      <c r="J833" t="s">
        <v>1532</v>
      </c>
      <c r="K833" t="s">
        <v>837</v>
      </c>
      <c r="L833" t="s">
        <v>1038</v>
      </c>
      <c r="M833" t="s">
        <v>1163</v>
      </c>
      <c r="N833" s="57">
        <v>1400</v>
      </c>
      <c r="O833" t="s">
        <v>100</v>
      </c>
      <c r="P833" t="s">
        <v>93</v>
      </c>
      <c r="Q833" s="3">
        <v>41491</v>
      </c>
      <c r="R833" s="10">
        <f t="shared" ca="1" si="24"/>
        <v>46229</v>
      </c>
      <c r="S833" s="7">
        <f t="shared" ca="1" si="25"/>
        <v>12.980821917808219</v>
      </c>
    </row>
    <row r="834" spans="1:19" x14ac:dyDescent="0.25">
      <c r="A834">
        <v>963530</v>
      </c>
      <c r="B834" t="s">
        <v>1788</v>
      </c>
      <c r="C834" t="s">
        <v>17</v>
      </c>
      <c r="D834" s="6" t="s">
        <v>22</v>
      </c>
      <c r="E834" t="s">
        <v>66</v>
      </c>
      <c r="G834" s="6" t="s">
        <v>970</v>
      </c>
      <c r="H834" s="59" t="s">
        <v>1031</v>
      </c>
      <c r="I834" s="58" t="s">
        <v>1578</v>
      </c>
      <c r="J834" t="s">
        <v>1532</v>
      </c>
      <c r="K834" t="s">
        <v>837</v>
      </c>
      <c r="L834" t="s">
        <v>25</v>
      </c>
      <c r="M834" t="s">
        <v>1163</v>
      </c>
      <c r="N834" s="57">
        <v>1400</v>
      </c>
      <c r="O834" t="s">
        <v>100</v>
      </c>
      <c r="P834" t="s">
        <v>93</v>
      </c>
      <c r="Q834" s="3">
        <v>42653</v>
      </c>
      <c r="R834" s="10">
        <f t="shared" ca="1" si="24"/>
        <v>46229</v>
      </c>
      <c r="S834" s="7">
        <f t="shared" ca="1" si="25"/>
        <v>9.7972602739726025</v>
      </c>
    </row>
    <row r="835" spans="1:19" x14ac:dyDescent="0.25">
      <c r="A835">
        <v>33512</v>
      </c>
      <c r="B835" t="s">
        <v>1485</v>
      </c>
      <c r="C835" t="s">
        <v>17</v>
      </c>
      <c r="D835" s="6" t="s">
        <v>22</v>
      </c>
      <c r="E835" t="s">
        <v>66</v>
      </c>
      <c r="G835" s="6" t="s">
        <v>970</v>
      </c>
      <c r="H835" s="59" t="s">
        <v>1031</v>
      </c>
      <c r="I835" s="58" t="s">
        <v>1578</v>
      </c>
      <c r="J835" t="s">
        <v>1532</v>
      </c>
      <c r="K835" t="s">
        <v>837</v>
      </c>
      <c r="L835" t="s">
        <v>25</v>
      </c>
      <c r="M835" t="s">
        <v>1163</v>
      </c>
      <c r="N835" s="57">
        <v>1400</v>
      </c>
      <c r="O835" t="s">
        <v>100</v>
      </c>
      <c r="P835" t="s">
        <v>93</v>
      </c>
      <c r="Q835" s="3">
        <v>39461</v>
      </c>
      <c r="R835" s="10">
        <f t="shared" ref="R835:R898" ca="1" si="26">TODAY()</f>
        <v>46229</v>
      </c>
      <c r="S835" s="7">
        <f t="shared" ref="S835:S898" ca="1" si="27">(R835-Q835)/365</f>
        <v>18.542465753424658</v>
      </c>
    </row>
    <row r="836" spans="1:19" x14ac:dyDescent="0.25">
      <c r="A836">
        <v>4009259</v>
      </c>
      <c r="B836" t="s">
        <v>425</v>
      </c>
      <c r="C836" t="s">
        <v>17</v>
      </c>
      <c r="D836" s="6" t="s">
        <v>22</v>
      </c>
      <c r="E836" t="s">
        <v>50</v>
      </c>
      <c r="G836" s="6" t="s">
        <v>970</v>
      </c>
      <c r="H836" s="59" t="s">
        <v>1031</v>
      </c>
      <c r="I836" s="58" t="s">
        <v>1578</v>
      </c>
      <c r="J836" t="s">
        <v>1532</v>
      </c>
      <c r="K836" t="s">
        <v>837</v>
      </c>
      <c r="L836" t="s">
        <v>91</v>
      </c>
      <c r="M836" t="s">
        <v>1163</v>
      </c>
      <c r="N836" s="57">
        <v>1400</v>
      </c>
      <c r="O836" t="s">
        <v>100</v>
      </c>
      <c r="P836" t="s">
        <v>93</v>
      </c>
      <c r="Q836" s="3">
        <v>45537</v>
      </c>
      <c r="R836" s="10">
        <f t="shared" ca="1" si="26"/>
        <v>46229</v>
      </c>
      <c r="S836" s="7">
        <f t="shared" ca="1" si="27"/>
        <v>1.8958904109589041</v>
      </c>
    </row>
    <row r="837" spans="1:19" x14ac:dyDescent="0.25">
      <c r="A837">
        <v>4013223</v>
      </c>
      <c r="B837" t="s">
        <v>1486</v>
      </c>
      <c r="C837" t="s">
        <v>17</v>
      </c>
      <c r="D837" s="6" t="s">
        <v>22</v>
      </c>
      <c r="E837" t="s">
        <v>50</v>
      </c>
      <c r="G837" s="6" t="s">
        <v>970</v>
      </c>
      <c r="H837" s="59" t="s">
        <v>1031</v>
      </c>
      <c r="I837" s="58" t="s">
        <v>1578</v>
      </c>
      <c r="J837" t="s">
        <v>1532</v>
      </c>
      <c r="K837" t="s">
        <v>837</v>
      </c>
      <c r="L837" t="s">
        <v>25</v>
      </c>
      <c r="M837" t="s">
        <v>1163</v>
      </c>
      <c r="N837" s="57">
        <v>1400</v>
      </c>
      <c r="O837" t="s">
        <v>100</v>
      </c>
      <c r="P837" t="s">
        <v>93</v>
      </c>
      <c r="Q837" s="3">
        <v>45512</v>
      </c>
      <c r="R837" s="10">
        <f t="shared" ca="1" si="26"/>
        <v>46229</v>
      </c>
      <c r="S837" s="7">
        <f t="shared" ca="1" si="27"/>
        <v>1.9643835616438357</v>
      </c>
    </row>
    <row r="838" spans="1:19" x14ac:dyDescent="0.25">
      <c r="A838">
        <v>4031555</v>
      </c>
      <c r="B838" t="s">
        <v>1487</v>
      </c>
      <c r="C838" t="s">
        <v>17</v>
      </c>
      <c r="D838" s="6" t="s">
        <v>22</v>
      </c>
      <c r="E838" t="s">
        <v>50</v>
      </c>
      <c r="G838" s="6" t="s">
        <v>970</v>
      </c>
      <c r="H838" s="59" t="s">
        <v>1031</v>
      </c>
      <c r="I838" s="58" t="s">
        <v>1578</v>
      </c>
      <c r="J838" t="s">
        <v>1532</v>
      </c>
      <c r="K838" t="s">
        <v>837</v>
      </c>
      <c r="L838" t="s">
        <v>1038</v>
      </c>
      <c r="M838" t="s">
        <v>1163</v>
      </c>
      <c r="N838" s="57">
        <v>1400</v>
      </c>
      <c r="O838" t="s">
        <v>100</v>
      </c>
      <c r="P838" t="s">
        <v>93</v>
      </c>
      <c r="Q838" s="3">
        <v>45939</v>
      </c>
      <c r="R838" s="10">
        <f t="shared" ca="1" si="26"/>
        <v>46229</v>
      </c>
      <c r="S838" s="7">
        <f t="shared" ca="1" si="27"/>
        <v>0.79452054794520544</v>
      </c>
    </row>
    <row r="839" spans="1:19" x14ac:dyDescent="0.25">
      <c r="A839">
        <v>4040104</v>
      </c>
      <c r="B839" t="s">
        <v>1489</v>
      </c>
      <c r="C839" t="s">
        <v>17</v>
      </c>
      <c r="D839" s="6" t="s">
        <v>22</v>
      </c>
      <c r="E839" t="s">
        <v>50</v>
      </c>
      <c r="G839" s="6" t="s">
        <v>970</v>
      </c>
      <c r="H839" s="59" t="s">
        <v>1031</v>
      </c>
      <c r="I839" s="58" t="s">
        <v>1578</v>
      </c>
      <c r="J839" t="s">
        <v>1532</v>
      </c>
      <c r="K839" t="s">
        <v>837</v>
      </c>
      <c r="L839" t="s">
        <v>1038</v>
      </c>
      <c r="M839" t="s">
        <v>1163</v>
      </c>
      <c r="N839" s="57">
        <v>1400</v>
      </c>
      <c r="O839" t="s">
        <v>100</v>
      </c>
      <c r="P839" t="s">
        <v>93</v>
      </c>
      <c r="Q839" s="3">
        <v>44431</v>
      </c>
      <c r="R839" s="10">
        <f t="shared" ca="1" si="26"/>
        <v>46229</v>
      </c>
      <c r="S839" s="7">
        <f t="shared" ca="1" si="27"/>
        <v>4.9260273972602739</v>
      </c>
    </row>
    <row r="840" spans="1:19" x14ac:dyDescent="0.25">
      <c r="A840">
        <v>4060565</v>
      </c>
      <c r="B840" t="s">
        <v>500</v>
      </c>
      <c r="C840" t="s">
        <v>17</v>
      </c>
      <c r="D840" s="6" t="s">
        <v>22</v>
      </c>
      <c r="E840" t="s">
        <v>71</v>
      </c>
      <c r="G840" s="6" t="s">
        <v>970</v>
      </c>
      <c r="H840" s="59" t="s">
        <v>1031</v>
      </c>
      <c r="I840" s="58" t="s">
        <v>1578</v>
      </c>
      <c r="J840" t="s">
        <v>1532</v>
      </c>
      <c r="K840" t="s">
        <v>837</v>
      </c>
      <c r="L840" t="s">
        <v>1038</v>
      </c>
      <c r="M840" t="s">
        <v>1163</v>
      </c>
      <c r="N840" s="57">
        <v>1400</v>
      </c>
      <c r="O840" t="s">
        <v>100</v>
      </c>
      <c r="P840" t="s">
        <v>93</v>
      </c>
      <c r="Q840" s="3">
        <v>44739</v>
      </c>
      <c r="R840" s="10">
        <f t="shared" ca="1" si="26"/>
        <v>46229</v>
      </c>
      <c r="S840" s="7">
        <f t="shared" ca="1" si="27"/>
        <v>4.0821917808219181</v>
      </c>
    </row>
    <row r="841" spans="1:19" x14ac:dyDescent="0.25">
      <c r="A841">
        <v>4073727</v>
      </c>
      <c r="B841" t="s">
        <v>1490</v>
      </c>
      <c r="C841" t="s">
        <v>17</v>
      </c>
      <c r="D841" s="6" t="s">
        <v>22</v>
      </c>
      <c r="E841" t="s">
        <v>50</v>
      </c>
      <c r="G841" s="6" t="s">
        <v>970</v>
      </c>
      <c r="H841" s="59" t="s">
        <v>1031</v>
      </c>
      <c r="I841" s="58" t="s">
        <v>1578</v>
      </c>
      <c r="J841" t="s">
        <v>1532</v>
      </c>
      <c r="K841" t="s">
        <v>837</v>
      </c>
      <c r="L841" t="s">
        <v>1038</v>
      </c>
      <c r="M841" t="s">
        <v>1163</v>
      </c>
      <c r="N841" s="57">
        <v>1200</v>
      </c>
      <c r="O841" t="s">
        <v>100</v>
      </c>
      <c r="P841" t="s">
        <v>93</v>
      </c>
      <c r="Q841" s="3">
        <v>45001</v>
      </c>
      <c r="R841" s="10">
        <f t="shared" ca="1" si="26"/>
        <v>46229</v>
      </c>
      <c r="S841" s="7">
        <f t="shared" ca="1" si="27"/>
        <v>3.3643835616438356</v>
      </c>
    </row>
    <row r="842" spans="1:19" x14ac:dyDescent="0.25">
      <c r="A842">
        <v>4122553</v>
      </c>
      <c r="B842" t="s">
        <v>1261</v>
      </c>
      <c r="C842" t="s">
        <v>1044</v>
      </c>
      <c r="D842" s="6" t="s">
        <v>22</v>
      </c>
      <c r="E842" t="s">
        <v>50</v>
      </c>
      <c r="G842" s="6" t="s">
        <v>970</v>
      </c>
      <c r="H842" s="59" t="s">
        <v>1031</v>
      </c>
      <c r="I842" s="58" t="s">
        <v>1578</v>
      </c>
      <c r="J842" t="s">
        <v>1532</v>
      </c>
      <c r="K842" t="s">
        <v>837</v>
      </c>
      <c r="L842" t="s">
        <v>1038</v>
      </c>
      <c r="M842" t="s">
        <v>1163</v>
      </c>
      <c r="N842" s="57">
        <v>1400</v>
      </c>
      <c r="O842" t="s">
        <v>100</v>
      </c>
      <c r="P842" t="s">
        <v>93</v>
      </c>
      <c r="Q842" s="3">
        <v>46118</v>
      </c>
      <c r="R842" s="10">
        <f t="shared" ca="1" si="26"/>
        <v>46229</v>
      </c>
      <c r="S842" s="7">
        <f t="shared" ca="1" si="27"/>
        <v>0.30410958904109592</v>
      </c>
    </row>
    <row r="843" spans="1:19" x14ac:dyDescent="0.25">
      <c r="A843">
        <v>943047</v>
      </c>
      <c r="B843" t="s">
        <v>1495</v>
      </c>
      <c r="C843" t="s">
        <v>17</v>
      </c>
      <c r="D843" s="6" t="s">
        <v>22</v>
      </c>
      <c r="E843" t="s">
        <v>66</v>
      </c>
      <c r="G843" s="6" t="s">
        <v>970</v>
      </c>
      <c r="H843" s="59" t="s">
        <v>1031</v>
      </c>
      <c r="I843" s="58" t="s">
        <v>1578</v>
      </c>
      <c r="J843" t="s">
        <v>1532</v>
      </c>
      <c r="K843" t="s">
        <v>837</v>
      </c>
      <c r="L843" t="s">
        <v>91</v>
      </c>
      <c r="M843" t="s">
        <v>1163</v>
      </c>
      <c r="N843" s="57">
        <v>1400</v>
      </c>
      <c r="O843" t="s">
        <v>100</v>
      </c>
      <c r="P843" t="s">
        <v>93</v>
      </c>
      <c r="Q843" s="3">
        <v>44217</v>
      </c>
      <c r="R843" s="10">
        <f t="shared" ca="1" si="26"/>
        <v>46229</v>
      </c>
      <c r="S843" s="7">
        <f t="shared" ca="1" si="27"/>
        <v>5.5123287671232877</v>
      </c>
    </row>
    <row r="844" spans="1:19" x14ac:dyDescent="0.25">
      <c r="A844">
        <v>1014788</v>
      </c>
      <c r="B844" t="s">
        <v>132</v>
      </c>
      <c r="C844" t="s">
        <v>17</v>
      </c>
      <c r="D844" s="6" t="s">
        <v>39</v>
      </c>
      <c r="E844" t="s">
        <v>47</v>
      </c>
      <c r="G844" s="6" t="s">
        <v>971</v>
      </c>
      <c r="H844" s="59" t="s">
        <v>92</v>
      </c>
      <c r="I844" s="58" t="s">
        <v>845</v>
      </c>
      <c r="J844" t="s">
        <v>31</v>
      </c>
      <c r="K844" t="s">
        <v>94</v>
      </c>
      <c r="L844" t="s">
        <v>966</v>
      </c>
      <c r="M844" t="s">
        <v>1163</v>
      </c>
      <c r="N844" s="57">
        <v>6900</v>
      </c>
      <c r="O844" t="s">
        <v>100</v>
      </c>
      <c r="P844" t="s">
        <v>38</v>
      </c>
      <c r="Q844" s="3">
        <v>45166</v>
      </c>
      <c r="R844" s="10">
        <f t="shared" ca="1" si="26"/>
        <v>46229</v>
      </c>
      <c r="S844" s="7">
        <f t="shared" ca="1" si="27"/>
        <v>2.9123287671232876</v>
      </c>
    </row>
    <row r="845" spans="1:19" x14ac:dyDescent="0.25">
      <c r="A845">
        <v>1047764</v>
      </c>
      <c r="B845" t="s">
        <v>1354</v>
      </c>
      <c r="C845" t="s">
        <v>17</v>
      </c>
      <c r="D845" s="6" t="s">
        <v>39</v>
      </c>
      <c r="E845" t="s">
        <v>47</v>
      </c>
      <c r="G845" s="6" t="s">
        <v>971</v>
      </c>
      <c r="H845" s="59" t="s">
        <v>92</v>
      </c>
      <c r="I845" s="58" t="s">
        <v>845</v>
      </c>
      <c r="J845" t="s">
        <v>31</v>
      </c>
      <c r="K845" t="s">
        <v>94</v>
      </c>
      <c r="L845" t="s">
        <v>966</v>
      </c>
      <c r="M845" t="s">
        <v>1163</v>
      </c>
      <c r="N845" s="57">
        <v>6900</v>
      </c>
      <c r="O845" t="s">
        <v>100</v>
      </c>
      <c r="P845" t="s">
        <v>38</v>
      </c>
      <c r="Q845" s="3">
        <v>46132</v>
      </c>
      <c r="R845" s="10">
        <f t="shared" ca="1" si="26"/>
        <v>46229</v>
      </c>
      <c r="S845" s="7">
        <f t="shared" ca="1" si="27"/>
        <v>0.26575342465753427</v>
      </c>
    </row>
    <row r="846" spans="1:19" x14ac:dyDescent="0.25">
      <c r="A846">
        <v>1182904</v>
      </c>
      <c r="B846" t="s">
        <v>248</v>
      </c>
      <c r="C846" t="s">
        <v>17</v>
      </c>
      <c r="D846" s="6" t="s">
        <v>39</v>
      </c>
      <c r="E846" t="s">
        <v>47</v>
      </c>
      <c r="G846" s="6" t="s">
        <v>971</v>
      </c>
      <c r="H846" s="59" t="s">
        <v>92</v>
      </c>
      <c r="I846" s="58" t="s">
        <v>845</v>
      </c>
      <c r="J846" t="s">
        <v>31</v>
      </c>
      <c r="K846" t="s">
        <v>94</v>
      </c>
      <c r="L846" t="s">
        <v>966</v>
      </c>
      <c r="M846" t="s">
        <v>1163</v>
      </c>
      <c r="N846" s="57">
        <v>6900</v>
      </c>
      <c r="O846" t="s">
        <v>100</v>
      </c>
      <c r="P846" t="s">
        <v>38</v>
      </c>
      <c r="Q846" s="3">
        <v>45187</v>
      </c>
      <c r="R846" s="10">
        <f t="shared" ca="1" si="26"/>
        <v>46229</v>
      </c>
      <c r="S846" s="7">
        <f t="shared" ca="1" si="27"/>
        <v>2.8547945205479452</v>
      </c>
    </row>
    <row r="847" spans="1:19" x14ac:dyDescent="0.25">
      <c r="A847">
        <v>1183099</v>
      </c>
      <c r="B847" t="s">
        <v>251</v>
      </c>
      <c r="C847" t="s">
        <v>17</v>
      </c>
      <c r="D847" s="6" t="s">
        <v>39</v>
      </c>
      <c r="E847" t="s">
        <v>47</v>
      </c>
      <c r="G847" s="6" t="s">
        <v>971</v>
      </c>
      <c r="H847" s="59" t="s">
        <v>92</v>
      </c>
      <c r="I847" s="58" t="s">
        <v>845</v>
      </c>
      <c r="J847" t="s">
        <v>31</v>
      </c>
      <c r="K847" t="s">
        <v>94</v>
      </c>
      <c r="L847" t="s">
        <v>966</v>
      </c>
      <c r="M847" t="s">
        <v>1163</v>
      </c>
      <c r="N847" s="57">
        <v>6900</v>
      </c>
      <c r="O847" t="s">
        <v>100</v>
      </c>
      <c r="P847" t="s">
        <v>38</v>
      </c>
      <c r="Q847" s="3">
        <v>45194</v>
      </c>
      <c r="R847" s="10">
        <f t="shared" ca="1" si="26"/>
        <v>46229</v>
      </c>
      <c r="S847" s="7">
        <f t="shared" ca="1" si="27"/>
        <v>2.8356164383561642</v>
      </c>
    </row>
    <row r="848" spans="1:19" x14ac:dyDescent="0.25">
      <c r="A848">
        <v>1201047</v>
      </c>
      <c r="B848" t="s">
        <v>277</v>
      </c>
      <c r="C848" t="s">
        <v>17</v>
      </c>
      <c r="D848" s="6" t="s">
        <v>39</v>
      </c>
      <c r="E848" t="s">
        <v>47</v>
      </c>
      <c r="G848" s="6" t="s">
        <v>971</v>
      </c>
      <c r="H848" s="59" t="s">
        <v>92</v>
      </c>
      <c r="I848" s="58" t="s">
        <v>845</v>
      </c>
      <c r="J848" t="s">
        <v>31</v>
      </c>
      <c r="K848" t="s">
        <v>94</v>
      </c>
      <c r="L848" t="s">
        <v>966</v>
      </c>
      <c r="M848" t="s">
        <v>1163</v>
      </c>
      <c r="N848" s="57">
        <v>6900</v>
      </c>
      <c r="O848" t="s">
        <v>100</v>
      </c>
      <c r="P848" t="s">
        <v>38</v>
      </c>
      <c r="Q848" s="3">
        <v>45684</v>
      </c>
      <c r="R848" s="10">
        <f t="shared" ca="1" si="26"/>
        <v>46229</v>
      </c>
      <c r="S848" s="7">
        <f t="shared" ca="1" si="27"/>
        <v>1.4931506849315068</v>
      </c>
    </row>
    <row r="849" spans="1:19" x14ac:dyDescent="0.25">
      <c r="A849">
        <v>1231777</v>
      </c>
      <c r="B849" t="s">
        <v>1457</v>
      </c>
      <c r="C849" t="s">
        <v>17</v>
      </c>
      <c r="D849" s="6" t="s">
        <v>39</v>
      </c>
      <c r="E849" t="s">
        <v>47</v>
      </c>
      <c r="G849" s="6" t="s">
        <v>971</v>
      </c>
      <c r="H849" s="59" t="s">
        <v>92</v>
      </c>
      <c r="I849" s="58" t="s">
        <v>845</v>
      </c>
      <c r="J849" t="s">
        <v>31</v>
      </c>
      <c r="K849" t="s">
        <v>94</v>
      </c>
      <c r="L849" t="s">
        <v>966</v>
      </c>
      <c r="M849" t="s">
        <v>1163</v>
      </c>
      <c r="N849" s="57">
        <v>6900</v>
      </c>
      <c r="O849" t="s">
        <v>100</v>
      </c>
      <c r="P849" t="s">
        <v>38</v>
      </c>
      <c r="Q849" s="3">
        <v>46153</v>
      </c>
      <c r="R849" s="10">
        <f t="shared" ca="1" si="26"/>
        <v>46229</v>
      </c>
      <c r="S849" s="7">
        <f t="shared" ca="1" si="27"/>
        <v>0.20821917808219179</v>
      </c>
    </row>
    <row r="850" spans="1:19" x14ac:dyDescent="0.25">
      <c r="A850">
        <v>23779</v>
      </c>
      <c r="B850" t="s">
        <v>1459</v>
      </c>
      <c r="C850" t="s">
        <v>17</v>
      </c>
      <c r="D850" s="6" t="s">
        <v>39</v>
      </c>
      <c r="E850" t="s">
        <v>47</v>
      </c>
      <c r="G850" s="6" t="s">
        <v>971</v>
      </c>
      <c r="H850" s="59" t="s">
        <v>92</v>
      </c>
      <c r="I850" s="58" t="s">
        <v>845</v>
      </c>
      <c r="J850" t="s">
        <v>31</v>
      </c>
      <c r="K850" t="s">
        <v>94</v>
      </c>
      <c r="L850" t="s">
        <v>966</v>
      </c>
      <c r="M850" t="s">
        <v>1163</v>
      </c>
      <c r="N850" s="57">
        <v>6900</v>
      </c>
      <c r="O850" t="s">
        <v>100</v>
      </c>
      <c r="P850" t="s">
        <v>38</v>
      </c>
      <c r="Q850" s="3">
        <v>46153</v>
      </c>
      <c r="R850" s="10">
        <f t="shared" ca="1" si="26"/>
        <v>46229</v>
      </c>
      <c r="S850" s="7">
        <f t="shared" ca="1" si="27"/>
        <v>0.20821917808219179</v>
      </c>
    </row>
    <row r="851" spans="1:19" x14ac:dyDescent="0.25">
      <c r="A851">
        <v>1233690</v>
      </c>
      <c r="B851" t="s">
        <v>1593</v>
      </c>
      <c r="C851" t="s">
        <v>17</v>
      </c>
      <c r="D851" s="6" t="s">
        <v>39</v>
      </c>
      <c r="E851" t="s">
        <v>47</v>
      </c>
      <c r="G851" s="6" t="s">
        <v>971</v>
      </c>
      <c r="H851" s="59" t="s">
        <v>92</v>
      </c>
      <c r="I851" s="58" t="s">
        <v>845</v>
      </c>
      <c r="J851" t="s">
        <v>31</v>
      </c>
      <c r="K851" t="s">
        <v>94</v>
      </c>
      <c r="L851" t="s">
        <v>966</v>
      </c>
      <c r="M851" t="s">
        <v>1163</v>
      </c>
      <c r="N851" s="57">
        <v>6900</v>
      </c>
      <c r="O851" t="s">
        <v>100</v>
      </c>
      <c r="P851" t="s">
        <v>38</v>
      </c>
      <c r="Q851" s="3">
        <v>46181</v>
      </c>
      <c r="R851" s="10">
        <f t="shared" ca="1" si="26"/>
        <v>46229</v>
      </c>
      <c r="S851" s="7">
        <f t="shared" ca="1" si="27"/>
        <v>0.13150684931506848</v>
      </c>
    </row>
    <row r="852" spans="1:19" x14ac:dyDescent="0.25">
      <c r="A852">
        <v>1233719</v>
      </c>
      <c r="B852" t="s">
        <v>1596</v>
      </c>
      <c r="C852" t="s">
        <v>17</v>
      </c>
      <c r="D852" s="6" t="s">
        <v>39</v>
      </c>
      <c r="E852" t="s">
        <v>47</v>
      </c>
      <c r="G852" s="6" t="s">
        <v>971</v>
      </c>
      <c r="H852" s="59" t="s">
        <v>92</v>
      </c>
      <c r="I852" s="58" t="s">
        <v>845</v>
      </c>
      <c r="J852" t="s">
        <v>31</v>
      </c>
      <c r="K852" t="s">
        <v>94</v>
      </c>
      <c r="L852" t="s">
        <v>966</v>
      </c>
      <c r="M852" t="s">
        <v>1163</v>
      </c>
      <c r="N852" s="57">
        <v>6900</v>
      </c>
      <c r="O852" t="s">
        <v>100</v>
      </c>
      <c r="P852" t="s">
        <v>38</v>
      </c>
      <c r="Q852" s="3">
        <v>46181</v>
      </c>
      <c r="R852" s="10">
        <f t="shared" ca="1" si="26"/>
        <v>46229</v>
      </c>
      <c r="S852" s="7">
        <f t="shared" ca="1" si="27"/>
        <v>0.13150684931506848</v>
      </c>
    </row>
    <row r="853" spans="1:19" x14ac:dyDescent="0.25">
      <c r="A853">
        <v>1132738</v>
      </c>
      <c r="B853" t="s">
        <v>1805</v>
      </c>
      <c r="C853" t="s">
        <v>17</v>
      </c>
      <c r="D853" s="6" t="s">
        <v>39</v>
      </c>
      <c r="E853" t="s">
        <v>62</v>
      </c>
      <c r="G853" s="6" t="s">
        <v>971</v>
      </c>
      <c r="H853" s="59" t="s">
        <v>92</v>
      </c>
      <c r="I853" s="58" t="s">
        <v>845</v>
      </c>
      <c r="J853" t="s">
        <v>31</v>
      </c>
      <c r="K853" t="s">
        <v>94</v>
      </c>
      <c r="L853" t="s">
        <v>966</v>
      </c>
      <c r="M853" t="s">
        <v>1163</v>
      </c>
      <c r="N853" s="57">
        <v>6900</v>
      </c>
      <c r="O853" t="s">
        <v>100</v>
      </c>
      <c r="P853" t="s">
        <v>38</v>
      </c>
      <c r="Q853" s="3">
        <v>46188</v>
      </c>
      <c r="R853" s="10">
        <f t="shared" ca="1" si="26"/>
        <v>46229</v>
      </c>
      <c r="S853" s="7">
        <f t="shared" ca="1" si="27"/>
        <v>0.11232876712328767</v>
      </c>
    </row>
    <row r="854" spans="1:19" x14ac:dyDescent="0.25">
      <c r="A854">
        <v>1234028</v>
      </c>
      <c r="B854" t="s">
        <v>1809</v>
      </c>
      <c r="C854" t="s">
        <v>17</v>
      </c>
      <c r="D854" s="6" t="s">
        <v>39</v>
      </c>
      <c r="E854" t="s">
        <v>62</v>
      </c>
      <c r="G854" s="6" t="s">
        <v>971</v>
      </c>
      <c r="H854" s="59" t="s">
        <v>92</v>
      </c>
      <c r="I854" s="58" t="s">
        <v>845</v>
      </c>
      <c r="J854" t="s">
        <v>31</v>
      </c>
      <c r="K854" t="s">
        <v>94</v>
      </c>
      <c r="L854" t="s">
        <v>966</v>
      </c>
      <c r="M854" t="s">
        <v>1163</v>
      </c>
      <c r="N854" s="57">
        <v>6900</v>
      </c>
      <c r="O854" t="s">
        <v>100</v>
      </c>
      <c r="P854" t="s">
        <v>38</v>
      </c>
      <c r="Q854" s="3">
        <v>46188</v>
      </c>
      <c r="R854" s="10">
        <f t="shared" ca="1" si="26"/>
        <v>46229</v>
      </c>
      <c r="S854" s="7">
        <f t="shared" ca="1" si="27"/>
        <v>0.11232876712328767</v>
      </c>
    </row>
    <row r="855" spans="1:19" x14ac:dyDescent="0.25">
      <c r="A855">
        <v>926184</v>
      </c>
      <c r="B855" t="s">
        <v>766</v>
      </c>
      <c r="C855" t="s">
        <v>17</v>
      </c>
      <c r="D855" s="6" t="s">
        <v>39</v>
      </c>
      <c r="E855" t="s">
        <v>47</v>
      </c>
      <c r="G855" s="6" t="s">
        <v>971</v>
      </c>
      <c r="H855" s="59" t="s">
        <v>92</v>
      </c>
      <c r="I855" s="58" t="s">
        <v>845</v>
      </c>
      <c r="J855" t="s">
        <v>31</v>
      </c>
      <c r="K855" t="s">
        <v>94</v>
      </c>
      <c r="L855" t="s">
        <v>966</v>
      </c>
      <c r="M855" t="s">
        <v>1163</v>
      </c>
      <c r="N855" s="57">
        <v>6900</v>
      </c>
      <c r="O855" t="s">
        <v>100</v>
      </c>
      <c r="P855" t="s">
        <v>38</v>
      </c>
      <c r="Q855" s="3">
        <v>45943</v>
      </c>
      <c r="R855" s="10">
        <f t="shared" ca="1" si="26"/>
        <v>46229</v>
      </c>
      <c r="S855" s="7">
        <f t="shared" ca="1" si="27"/>
        <v>0.78356164383561644</v>
      </c>
    </row>
    <row r="856" spans="1:19" x14ac:dyDescent="0.25">
      <c r="A856">
        <v>1007523</v>
      </c>
      <c r="B856" t="s">
        <v>115</v>
      </c>
      <c r="C856" t="s">
        <v>17</v>
      </c>
      <c r="D856" s="6" t="s">
        <v>22</v>
      </c>
      <c r="E856" t="s">
        <v>72</v>
      </c>
      <c r="G856" s="6" t="s">
        <v>971</v>
      </c>
      <c r="H856" s="59" t="s">
        <v>1028</v>
      </c>
      <c r="I856" s="58" t="s">
        <v>843</v>
      </c>
      <c r="J856" t="s">
        <v>844</v>
      </c>
      <c r="K856" t="s">
        <v>31</v>
      </c>
      <c r="L856" t="s">
        <v>91</v>
      </c>
      <c r="M856" t="s">
        <v>1163</v>
      </c>
      <c r="N856" s="57">
        <v>1300</v>
      </c>
      <c r="O856" t="s">
        <v>100</v>
      </c>
      <c r="P856" t="s">
        <v>93</v>
      </c>
      <c r="Q856" s="3">
        <v>42828</v>
      </c>
      <c r="R856" s="10">
        <f t="shared" ca="1" si="26"/>
        <v>46229</v>
      </c>
      <c r="S856" s="7">
        <f t="shared" ca="1" si="27"/>
        <v>9.3178082191780813</v>
      </c>
    </row>
    <row r="857" spans="1:19" x14ac:dyDescent="0.25">
      <c r="A857">
        <v>3001079</v>
      </c>
      <c r="B857" t="s">
        <v>355</v>
      </c>
      <c r="C857" t="s">
        <v>17</v>
      </c>
      <c r="D857" s="6" t="s">
        <v>22</v>
      </c>
      <c r="E857" t="s">
        <v>72</v>
      </c>
      <c r="G857" s="6" t="s">
        <v>971</v>
      </c>
      <c r="H857" s="59" t="s">
        <v>1028</v>
      </c>
      <c r="I857" s="58" t="s">
        <v>843</v>
      </c>
      <c r="J857" t="s">
        <v>844</v>
      </c>
      <c r="K857" t="s">
        <v>31</v>
      </c>
      <c r="L857" t="s">
        <v>1038</v>
      </c>
      <c r="M857" t="s">
        <v>1163</v>
      </c>
      <c r="N857" s="57">
        <v>1300</v>
      </c>
      <c r="O857" t="s">
        <v>100</v>
      </c>
      <c r="P857" t="s">
        <v>93</v>
      </c>
      <c r="Q857" s="3">
        <v>42961</v>
      </c>
      <c r="R857" s="10">
        <f t="shared" ca="1" si="26"/>
        <v>46229</v>
      </c>
      <c r="S857" s="7">
        <f t="shared" ca="1" si="27"/>
        <v>8.9534246575342458</v>
      </c>
    </row>
    <row r="858" spans="1:19" x14ac:dyDescent="0.25">
      <c r="A858">
        <v>3008708</v>
      </c>
      <c r="B858" t="s">
        <v>1608</v>
      </c>
      <c r="C858" t="s">
        <v>17</v>
      </c>
      <c r="D858" s="6" t="s">
        <v>22</v>
      </c>
      <c r="E858" t="s">
        <v>102</v>
      </c>
      <c r="G858" s="6" t="s">
        <v>971</v>
      </c>
      <c r="H858" s="59" t="s">
        <v>1010</v>
      </c>
      <c r="I858" s="58" t="s">
        <v>1798</v>
      </c>
      <c r="J858" t="s">
        <v>857</v>
      </c>
      <c r="K858" t="s">
        <v>845</v>
      </c>
      <c r="L858" t="s">
        <v>91</v>
      </c>
      <c r="M858" t="s">
        <v>1163</v>
      </c>
      <c r="N858" s="57">
        <v>1300</v>
      </c>
      <c r="O858" t="s">
        <v>100</v>
      </c>
      <c r="P858" t="s">
        <v>93</v>
      </c>
      <c r="Q858" s="3">
        <v>43402</v>
      </c>
      <c r="R858" s="10">
        <f t="shared" ca="1" si="26"/>
        <v>46229</v>
      </c>
      <c r="S858" s="7">
        <f t="shared" ca="1" si="27"/>
        <v>7.7452054794520544</v>
      </c>
    </row>
    <row r="859" spans="1:19" x14ac:dyDescent="0.25">
      <c r="A859">
        <v>1227151</v>
      </c>
      <c r="B859" t="s">
        <v>1046</v>
      </c>
      <c r="C859" t="s">
        <v>17</v>
      </c>
      <c r="D859" s="6" t="s">
        <v>22</v>
      </c>
      <c r="E859" t="s">
        <v>79</v>
      </c>
      <c r="G859" s="6" t="s">
        <v>971</v>
      </c>
      <c r="H859" s="59" t="s">
        <v>1021</v>
      </c>
      <c r="I859" s="58" t="s">
        <v>886</v>
      </c>
      <c r="J859" t="s">
        <v>860</v>
      </c>
      <c r="K859" t="s">
        <v>845</v>
      </c>
      <c r="L859" t="s">
        <v>25</v>
      </c>
      <c r="M859" t="s">
        <v>1163</v>
      </c>
      <c r="N859" s="57">
        <v>1300</v>
      </c>
      <c r="O859" t="s">
        <v>100</v>
      </c>
      <c r="P859" t="s">
        <v>93</v>
      </c>
      <c r="Q859" s="3">
        <v>46076</v>
      </c>
      <c r="R859" s="10">
        <f t="shared" ca="1" si="26"/>
        <v>46229</v>
      </c>
      <c r="S859" s="7">
        <f t="shared" ca="1" si="27"/>
        <v>0.41917808219178082</v>
      </c>
    </row>
    <row r="860" spans="1:19" x14ac:dyDescent="0.25">
      <c r="A860">
        <v>1229766</v>
      </c>
      <c r="B860" t="s">
        <v>1197</v>
      </c>
      <c r="C860" t="s">
        <v>17</v>
      </c>
      <c r="D860" s="6" t="s">
        <v>22</v>
      </c>
      <c r="E860" t="s">
        <v>79</v>
      </c>
      <c r="G860" s="6" t="s">
        <v>971</v>
      </c>
      <c r="H860" s="59" t="s">
        <v>1021</v>
      </c>
      <c r="I860" s="58" t="s">
        <v>886</v>
      </c>
      <c r="J860" t="s">
        <v>860</v>
      </c>
      <c r="K860" t="s">
        <v>845</v>
      </c>
      <c r="L860" t="s">
        <v>25</v>
      </c>
      <c r="M860" t="s">
        <v>1163</v>
      </c>
      <c r="N860" s="57">
        <v>1300</v>
      </c>
      <c r="O860" t="s">
        <v>100</v>
      </c>
      <c r="P860" t="s">
        <v>93</v>
      </c>
      <c r="Q860" s="3">
        <v>46118</v>
      </c>
      <c r="R860" s="10">
        <f t="shared" ca="1" si="26"/>
        <v>46229</v>
      </c>
      <c r="S860" s="7">
        <f t="shared" ca="1" si="27"/>
        <v>0.30410958904109592</v>
      </c>
    </row>
    <row r="861" spans="1:19" x14ac:dyDescent="0.25">
      <c r="A861">
        <v>4106079</v>
      </c>
      <c r="B861" t="s">
        <v>1445</v>
      </c>
      <c r="C861" t="s">
        <v>17</v>
      </c>
      <c r="D861" s="6" t="s">
        <v>22</v>
      </c>
      <c r="E861" t="s">
        <v>79</v>
      </c>
      <c r="G861" s="6" t="s">
        <v>971</v>
      </c>
      <c r="H861" s="59" t="s">
        <v>1021</v>
      </c>
      <c r="I861" s="58" t="s">
        <v>886</v>
      </c>
      <c r="J861" t="s">
        <v>860</v>
      </c>
      <c r="K861" t="s">
        <v>845</v>
      </c>
      <c r="L861" t="s">
        <v>91</v>
      </c>
      <c r="M861" t="s">
        <v>1163</v>
      </c>
      <c r="N861" s="57">
        <v>1300</v>
      </c>
      <c r="O861" t="s">
        <v>100</v>
      </c>
      <c r="P861" t="s">
        <v>93</v>
      </c>
      <c r="Q861" s="3">
        <v>45572</v>
      </c>
      <c r="R861" s="10">
        <f t="shared" ca="1" si="26"/>
        <v>46229</v>
      </c>
      <c r="S861" s="7">
        <f t="shared" ca="1" si="27"/>
        <v>1.8</v>
      </c>
    </row>
    <row r="862" spans="1:19" x14ac:dyDescent="0.25">
      <c r="A862">
        <v>4030052</v>
      </c>
      <c r="B862" t="s">
        <v>442</v>
      </c>
      <c r="C862" t="s">
        <v>17</v>
      </c>
      <c r="D862" s="6" t="s">
        <v>22</v>
      </c>
      <c r="E862" t="s">
        <v>50</v>
      </c>
      <c r="G862" s="6" t="s">
        <v>970</v>
      </c>
      <c r="H862" s="59" t="s">
        <v>1030</v>
      </c>
      <c r="I862" s="58" t="s">
        <v>935</v>
      </c>
      <c r="J862" t="s">
        <v>854</v>
      </c>
      <c r="K862" t="s">
        <v>855</v>
      </c>
      <c r="L862" t="s">
        <v>91</v>
      </c>
      <c r="M862" t="s">
        <v>1163</v>
      </c>
      <c r="N862" s="57">
        <v>1200</v>
      </c>
      <c r="O862" t="s">
        <v>100</v>
      </c>
      <c r="P862" t="s">
        <v>93</v>
      </c>
      <c r="Q862" s="3">
        <v>45491</v>
      </c>
      <c r="R862" s="10">
        <f t="shared" ca="1" si="26"/>
        <v>46229</v>
      </c>
      <c r="S862" s="7">
        <f t="shared" ca="1" si="27"/>
        <v>2.021917808219178</v>
      </c>
    </row>
    <row r="863" spans="1:19" x14ac:dyDescent="0.25">
      <c r="A863">
        <v>4088180</v>
      </c>
      <c r="B863" t="s">
        <v>566</v>
      </c>
      <c r="C863" t="s">
        <v>17</v>
      </c>
      <c r="D863" s="6" t="s">
        <v>22</v>
      </c>
      <c r="E863" t="s">
        <v>50</v>
      </c>
      <c r="G863" s="6" t="s">
        <v>970</v>
      </c>
      <c r="H863" s="59" t="s">
        <v>1030</v>
      </c>
      <c r="I863" s="58" t="s">
        <v>935</v>
      </c>
      <c r="J863" t="s">
        <v>854</v>
      </c>
      <c r="K863" t="s">
        <v>855</v>
      </c>
      <c r="L863" t="s">
        <v>91</v>
      </c>
      <c r="M863" t="s">
        <v>1163</v>
      </c>
      <c r="N863" s="57">
        <v>1400</v>
      </c>
      <c r="O863" t="s">
        <v>100</v>
      </c>
      <c r="P863" t="s">
        <v>93</v>
      </c>
      <c r="Q863" s="3">
        <v>45048</v>
      </c>
      <c r="R863" s="10">
        <f t="shared" ca="1" si="26"/>
        <v>46229</v>
      </c>
      <c r="S863" s="7">
        <f t="shared" ca="1" si="27"/>
        <v>3.2356164383561645</v>
      </c>
    </row>
    <row r="864" spans="1:19" x14ac:dyDescent="0.25">
      <c r="A864">
        <v>4100083</v>
      </c>
      <c r="B864" t="s">
        <v>606</v>
      </c>
      <c r="C864" t="s">
        <v>17</v>
      </c>
      <c r="D864" s="6" t="s">
        <v>22</v>
      </c>
      <c r="E864" t="s">
        <v>50</v>
      </c>
      <c r="G864" s="6" t="s">
        <v>970</v>
      </c>
      <c r="H864" s="59" t="s">
        <v>1030</v>
      </c>
      <c r="I864" s="58" t="s">
        <v>935</v>
      </c>
      <c r="J864" t="s">
        <v>854</v>
      </c>
      <c r="K864" t="s">
        <v>855</v>
      </c>
      <c r="L864" t="s">
        <v>91</v>
      </c>
      <c r="M864" t="s">
        <v>1163</v>
      </c>
      <c r="N864" s="57">
        <v>1200</v>
      </c>
      <c r="O864" t="s">
        <v>100</v>
      </c>
      <c r="P864" t="s">
        <v>93</v>
      </c>
      <c r="Q864" s="3">
        <v>45418</v>
      </c>
      <c r="R864" s="10">
        <f t="shared" ca="1" si="26"/>
        <v>46229</v>
      </c>
      <c r="S864" s="7">
        <f t="shared" ca="1" si="27"/>
        <v>2.2219178082191782</v>
      </c>
    </row>
    <row r="865" spans="1:19" x14ac:dyDescent="0.25">
      <c r="A865">
        <v>4103026</v>
      </c>
      <c r="B865" t="s">
        <v>1041</v>
      </c>
      <c r="C865" t="s">
        <v>17</v>
      </c>
      <c r="D865" s="6" t="s">
        <v>22</v>
      </c>
      <c r="E865" t="s">
        <v>50</v>
      </c>
      <c r="G865" s="6" t="s">
        <v>970</v>
      </c>
      <c r="H865" s="59" t="s">
        <v>1030</v>
      </c>
      <c r="I865" s="58" t="s">
        <v>935</v>
      </c>
      <c r="J865" t="s">
        <v>854</v>
      </c>
      <c r="K865" t="s">
        <v>855</v>
      </c>
      <c r="L865" t="s">
        <v>91</v>
      </c>
      <c r="M865" t="s">
        <v>1163</v>
      </c>
      <c r="N865" s="57">
        <v>1400</v>
      </c>
      <c r="O865" t="s">
        <v>100</v>
      </c>
      <c r="P865" t="s">
        <v>93</v>
      </c>
      <c r="Q865" s="3">
        <v>46065</v>
      </c>
      <c r="R865" s="10">
        <f t="shared" ca="1" si="26"/>
        <v>46229</v>
      </c>
      <c r="S865" s="7">
        <f t="shared" ca="1" si="27"/>
        <v>0.44931506849315067</v>
      </c>
    </row>
    <row r="866" spans="1:19" x14ac:dyDescent="0.25">
      <c r="A866">
        <v>3007721</v>
      </c>
      <c r="B866" t="s">
        <v>1227</v>
      </c>
      <c r="C866" t="s">
        <v>1044</v>
      </c>
      <c r="D866" s="6" t="s">
        <v>22</v>
      </c>
      <c r="E866" t="s">
        <v>21</v>
      </c>
      <c r="G866" s="6" t="s">
        <v>968</v>
      </c>
      <c r="H866" s="59" t="s">
        <v>1020</v>
      </c>
      <c r="I866" s="58" t="s">
        <v>1832</v>
      </c>
      <c r="J866" t="s">
        <v>839</v>
      </c>
      <c r="K866" t="s">
        <v>830</v>
      </c>
      <c r="L866" t="s">
        <v>1038</v>
      </c>
      <c r="M866" t="s">
        <v>1163</v>
      </c>
      <c r="N866" s="57">
        <v>1200</v>
      </c>
      <c r="O866" t="s">
        <v>100</v>
      </c>
      <c r="P866" t="s">
        <v>93</v>
      </c>
      <c r="Q866" s="3">
        <v>46118</v>
      </c>
      <c r="R866" s="10">
        <f t="shared" ca="1" si="26"/>
        <v>46229</v>
      </c>
      <c r="S866" s="7">
        <f t="shared" ca="1" si="27"/>
        <v>0.30410958904109592</v>
      </c>
    </row>
    <row r="867" spans="1:19" x14ac:dyDescent="0.25">
      <c r="A867">
        <v>4055773</v>
      </c>
      <c r="B867" t="s">
        <v>490</v>
      </c>
      <c r="C867" t="s">
        <v>17</v>
      </c>
      <c r="D867" s="6" t="s">
        <v>22</v>
      </c>
      <c r="E867" t="s">
        <v>87</v>
      </c>
      <c r="G867" s="6" t="s">
        <v>968</v>
      </c>
      <c r="H867" s="59" t="s">
        <v>1020</v>
      </c>
      <c r="I867" s="58" t="s">
        <v>1832</v>
      </c>
      <c r="J867" t="s">
        <v>839</v>
      </c>
      <c r="K867" t="s">
        <v>830</v>
      </c>
      <c r="L867" t="s">
        <v>1038</v>
      </c>
      <c r="M867" t="s">
        <v>1163</v>
      </c>
      <c r="N867" s="57">
        <v>1200</v>
      </c>
      <c r="O867" t="s">
        <v>100</v>
      </c>
      <c r="P867" t="s">
        <v>93</v>
      </c>
      <c r="Q867" s="3">
        <v>45502</v>
      </c>
      <c r="R867" s="10">
        <f t="shared" ca="1" si="26"/>
        <v>46229</v>
      </c>
      <c r="S867" s="7">
        <f t="shared" ca="1" si="27"/>
        <v>1.9917808219178081</v>
      </c>
    </row>
    <row r="868" spans="1:19" x14ac:dyDescent="0.25">
      <c r="A868">
        <v>4102491</v>
      </c>
      <c r="B868" t="s">
        <v>1641</v>
      </c>
      <c r="C868" t="s">
        <v>1044</v>
      </c>
      <c r="D868" s="6" t="s">
        <v>22</v>
      </c>
      <c r="E868" t="s">
        <v>21</v>
      </c>
      <c r="G868" s="6" t="s">
        <v>968</v>
      </c>
      <c r="H868" s="59" t="s">
        <v>1020</v>
      </c>
      <c r="I868" s="58" t="s">
        <v>1832</v>
      </c>
      <c r="J868" t="s">
        <v>839</v>
      </c>
      <c r="K868" t="s">
        <v>830</v>
      </c>
      <c r="L868" t="s">
        <v>1038</v>
      </c>
      <c r="M868" t="s">
        <v>1163</v>
      </c>
      <c r="N868" s="57">
        <v>1200</v>
      </c>
      <c r="O868" t="s">
        <v>100</v>
      </c>
      <c r="P868" t="s">
        <v>93</v>
      </c>
      <c r="Q868" s="3">
        <v>46170</v>
      </c>
      <c r="R868" s="10">
        <f t="shared" ca="1" si="26"/>
        <v>46229</v>
      </c>
      <c r="S868" s="7">
        <f t="shared" ca="1" si="27"/>
        <v>0.16164383561643836</v>
      </c>
    </row>
    <row r="869" spans="1:19" x14ac:dyDescent="0.25">
      <c r="A869">
        <v>4103349</v>
      </c>
      <c r="B869" t="s">
        <v>644</v>
      </c>
      <c r="C869" t="s">
        <v>17</v>
      </c>
      <c r="D869" s="6" t="s">
        <v>22</v>
      </c>
      <c r="E869" t="s">
        <v>55</v>
      </c>
      <c r="G869" s="6" t="s">
        <v>968</v>
      </c>
      <c r="H869" s="59" t="s">
        <v>1020</v>
      </c>
      <c r="I869" s="58" t="s">
        <v>1832</v>
      </c>
      <c r="J869" t="s">
        <v>839</v>
      </c>
      <c r="K869" t="s">
        <v>830</v>
      </c>
      <c r="L869" t="s">
        <v>1038</v>
      </c>
      <c r="M869" t="s">
        <v>1163</v>
      </c>
      <c r="N869" s="57">
        <v>1200</v>
      </c>
      <c r="O869" t="s">
        <v>100</v>
      </c>
      <c r="P869" t="s">
        <v>93</v>
      </c>
      <c r="Q869" s="3">
        <v>45505</v>
      </c>
      <c r="R869" s="10">
        <f t="shared" ca="1" si="26"/>
        <v>46229</v>
      </c>
      <c r="S869" s="7">
        <f t="shared" ca="1" si="27"/>
        <v>1.9835616438356165</v>
      </c>
    </row>
    <row r="870" spans="1:19" x14ac:dyDescent="0.25">
      <c r="A870">
        <v>4121072</v>
      </c>
      <c r="B870" t="s">
        <v>1071</v>
      </c>
      <c r="C870" t="s">
        <v>17</v>
      </c>
      <c r="D870" s="6" t="s">
        <v>22</v>
      </c>
      <c r="E870" t="s">
        <v>21</v>
      </c>
      <c r="G870" s="6" t="s">
        <v>968</v>
      </c>
      <c r="H870" s="59" t="s">
        <v>1020</v>
      </c>
      <c r="I870" s="58" t="s">
        <v>1832</v>
      </c>
      <c r="J870" t="s">
        <v>839</v>
      </c>
      <c r="K870" t="s">
        <v>830</v>
      </c>
      <c r="L870" t="s">
        <v>1038</v>
      </c>
      <c r="M870" t="s">
        <v>1163</v>
      </c>
      <c r="N870" s="57">
        <v>1200</v>
      </c>
      <c r="O870" t="s">
        <v>100</v>
      </c>
      <c r="P870" t="s">
        <v>93</v>
      </c>
      <c r="Q870" s="3">
        <v>46072</v>
      </c>
      <c r="R870" s="10">
        <f t="shared" ca="1" si="26"/>
        <v>46229</v>
      </c>
      <c r="S870" s="7">
        <f t="shared" ca="1" si="27"/>
        <v>0.43013698630136987</v>
      </c>
    </row>
    <row r="871" spans="1:19" x14ac:dyDescent="0.25">
      <c r="A871">
        <v>4121074</v>
      </c>
      <c r="B871" t="s">
        <v>1073</v>
      </c>
      <c r="C871" t="s">
        <v>17</v>
      </c>
      <c r="D871" s="6" t="s">
        <v>22</v>
      </c>
      <c r="E871" t="s">
        <v>21</v>
      </c>
      <c r="G871" s="6" t="s">
        <v>968</v>
      </c>
      <c r="H871" s="59" t="s">
        <v>1020</v>
      </c>
      <c r="I871" s="58" t="s">
        <v>1832</v>
      </c>
      <c r="J871" t="s">
        <v>839</v>
      </c>
      <c r="K871" t="s">
        <v>830</v>
      </c>
      <c r="L871" t="s">
        <v>1038</v>
      </c>
      <c r="M871" t="s">
        <v>1163</v>
      </c>
      <c r="N871" s="57">
        <v>1200</v>
      </c>
      <c r="O871" t="s">
        <v>100</v>
      </c>
      <c r="P871" t="s">
        <v>93</v>
      </c>
      <c r="Q871" s="3">
        <v>46072</v>
      </c>
      <c r="R871" s="10">
        <f t="shared" ca="1" si="26"/>
        <v>46229</v>
      </c>
      <c r="S871" s="7">
        <f t="shared" ca="1" si="27"/>
        <v>0.43013698630136987</v>
      </c>
    </row>
    <row r="872" spans="1:19" x14ac:dyDescent="0.25">
      <c r="A872">
        <v>4122502</v>
      </c>
      <c r="B872" t="s">
        <v>1210</v>
      </c>
      <c r="C872" t="s">
        <v>1044</v>
      </c>
      <c r="D872" s="6" t="s">
        <v>22</v>
      </c>
      <c r="E872" t="s">
        <v>21</v>
      </c>
      <c r="G872" s="6" t="s">
        <v>968</v>
      </c>
      <c r="H872" s="59" t="s">
        <v>1020</v>
      </c>
      <c r="I872" s="58" t="s">
        <v>1832</v>
      </c>
      <c r="J872" t="s">
        <v>839</v>
      </c>
      <c r="K872" t="s">
        <v>830</v>
      </c>
      <c r="L872" t="s">
        <v>1038</v>
      </c>
      <c r="M872" t="s">
        <v>1163</v>
      </c>
      <c r="N872" s="57">
        <v>1200</v>
      </c>
      <c r="O872" t="s">
        <v>100</v>
      </c>
      <c r="P872" t="s">
        <v>93</v>
      </c>
      <c r="Q872" s="3">
        <v>46111</v>
      </c>
      <c r="R872" s="10">
        <f t="shared" ca="1" si="26"/>
        <v>46229</v>
      </c>
      <c r="S872" s="7">
        <f t="shared" ca="1" si="27"/>
        <v>0.32328767123287672</v>
      </c>
    </row>
    <row r="873" spans="1:19" x14ac:dyDescent="0.25">
      <c r="A873">
        <v>4122507</v>
      </c>
      <c r="B873" t="s">
        <v>1214</v>
      </c>
      <c r="C873" t="s">
        <v>1044</v>
      </c>
      <c r="D873" s="6" t="s">
        <v>22</v>
      </c>
      <c r="E873" t="s">
        <v>21</v>
      </c>
      <c r="G873" s="6" t="s">
        <v>968</v>
      </c>
      <c r="H873" s="59" t="s">
        <v>1020</v>
      </c>
      <c r="I873" s="58" t="s">
        <v>1832</v>
      </c>
      <c r="J873" t="s">
        <v>839</v>
      </c>
      <c r="K873" t="s">
        <v>830</v>
      </c>
      <c r="L873" t="s">
        <v>1038</v>
      </c>
      <c r="M873" t="s">
        <v>1163</v>
      </c>
      <c r="N873" s="57">
        <v>1200</v>
      </c>
      <c r="O873" t="s">
        <v>100</v>
      </c>
      <c r="P873" t="s">
        <v>93</v>
      </c>
      <c r="Q873" s="3">
        <v>46111</v>
      </c>
      <c r="R873" s="10">
        <f t="shared" ca="1" si="26"/>
        <v>46229</v>
      </c>
      <c r="S873" s="7">
        <f t="shared" ca="1" si="27"/>
        <v>0.32328767123287672</v>
      </c>
    </row>
    <row r="874" spans="1:19" x14ac:dyDescent="0.25">
      <c r="A874">
        <v>4122732</v>
      </c>
      <c r="B874" t="s">
        <v>1279</v>
      </c>
      <c r="C874" t="s">
        <v>1044</v>
      </c>
      <c r="D874" s="6" t="s">
        <v>22</v>
      </c>
      <c r="E874" t="s">
        <v>21</v>
      </c>
      <c r="G874" s="6" t="s">
        <v>968</v>
      </c>
      <c r="H874" s="59" t="s">
        <v>1020</v>
      </c>
      <c r="I874" s="58" t="s">
        <v>1832</v>
      </c>
      <c r="J874" t="s">
        <v>839</v>
      </c>
      <c r="K874" t="s">
        <v>830</v>
      </c>
      <c r="L874" t="s">
        <v>1038</v>
      </c>
      <c r="M874" t="s">
        <v>1163</v>
      </c>
      <c r="N874" s="57">
        <v>1200</v>
      </c>
      <c r="O874" t="s">
        <v>100</v>
      </c>
      <c r="P874" t="s">
        <v>93</v>
      </c>
      <c r="Q874" s="3">
        <v>46121</v>
      </c>
      <c r="R874" s="10">
        <f t="shared" ca="1" si="26"/>
        <v>46229</v>
      </c>
      <c r="S874" s="7">
        <f t="shared" ca="1" si="27"/>
        <v>0.29589041095890412</v>
      </c>
    </row>
    <row r="875" spans="1:19" x14ac:dyDescent="0.25">
      <c r="A875">
        <v>4122906</v>
      </c>
      <c r="B875" t="s">
        <v>1388</v>
      </c>
      <c r="C875" t="s">
        <v>1044</v>
      </c>
      <c r="D875" s="6" t="s">
        <v>22</v>
      </c>
      <c r="E875" t="s">
        <v>21</v>
      </c>
      <c r="G875" s="6" t="s">
        <v>968</v>
      </c>
      <c r="H875" s="59" t="s">
        <v>1020</v>
      </c>
      <c r="I875" s="58" t="s">
        <v>1832</v>
      </c>
      <c r="J875" t="s">
        <v>839</v>
      </c>
      <c r="K875" t="s">
        <v>830</v>
      </c>
      <c r="L875" t="s">
        <v>1038</v>
      </c>
      <c r="M875" t="s">
        <v>1163</v>
      </c>
      <c r="N875" s="57">
        <v>1200</v>
      </c>
      <c r="O875" t="s">
        <v>100</v>
      </c>
      <c r="P875" t="s">
        <v>93</v>
      </c>
      <c r="Q875" s="3">
        <v>46125</v>
      </c>
      <c r="R875" s="10">
        <f t="shared" ca="1" si="26"/>
        <v>46229</v>
      </c>
      <c r="S875" s="7">
        <f t="shared" ca="1" si="27"/>
        <v>0.28493150684931506</v>
      </c>
    </row>
    <row r="876" spans="1:19" x14ac:dyDescent="0.25">
      <c r="A876">
        <v>4124132</v>
      </c>
      <c r="B876" t="s">
        <v>1567</v>
      </c>
      <c r="C876" t="s">
        <v>1044</v>
      </c>
      <c r="D876" s="6" t="s">
        <v>22</v>
      </c>
      <c r="E876" t="s">
        <v>21</v>
      </c>
      <c r="G876" s="6" t="s">
        <v>968</v>
      </c>
      <c r="H876" s="59" t="s">
        <v>1020</v>
      </c>
      <c r="I876" s="58" t="s">
        <v>1832</v>
      </c>
      <c r="J876" t="s">
        <v>839</v>
      </c>
      <c r="K876" t="s">
        <v>830</v>
      </c>
      <c r="L876" t="s">
        <v>1038</v>
      </c>
      <c r="M876" t="s">
        <v>1163</v>
      </c>
      <c r="N876" s="57">
        <v>1200</v>
      </c>
      <c r="O876" t="s">
        <v>100</v>
      </c>
      <c r="P876" t="s">
        <v>93</v>
      </c>
      <c r="Q876" s="3">
        <v>46167</v>
      </c>
      <c r="R876" s="10">
        <f t="shared" ca="1" si="26"/>
        <v>46229</v>
      </c>
      <c r="S876" s="7">
        <f t="shared" ca="1" si="27"/>
        <v>0.16986301369863013</v>
      </c>
    </row>
    <row r="877" spans="1:19" x14ac:dyDescent="0.25">
      <c r="A877">
        <v>4124137</v>
      </c>
      <c r="B877" t="s">
        <v>1569</v>
      </c>
      <c r="C877" t="s">
        <v>1044</v>
      </c>
      <c r="D877" s="6" t="s">
        <v>22</v>
      </c>
      <c r="E877" t="s">
        <v>21</v>
      </c>
      <c r="G877" s="6" t="s">
        <v>968</v>
      </c>
      <c r="H877" s="59" t="s">
        <v>1020</v>
      </c>
      <c r="I877" s="58" t="s">
        <v>1832</v>
      </c>
      <c r="J877" t="s">
        <v>839</v>
      </c>
      <c r="K877" t="s">
        <v>830</v>
      </c>
      <c r="L877" t="s">
        <v>1038</v>
      </c>
      <c r="M877" t="s">
        <v>1163</v>
      </c>
      <c r="N877" s="57">
        <v>1200</v>
      </c>
      <c r="O877" t="s">
        <v>100</v>
      </c>
      <c r="P877" t="s">
        <v>93</v>
      </c>
      <c r="Q877" s="3">
        <v>46167</v>
      </c>
      <c r="R877" s="10">
        <f t="shared" ca="1" si="26"/>
        <v>46229</v>
      </c>
      <c r="S877" s="7">
        <f t="shared" ca="1" si="27"/>
        <v>0.16986301369863013</v>
      </c>
    </row>
    <row r="878" spans="1:19" x14ac:dyDescent="0.25">
      <c r="A878">
        <v>4124192</v>
      </c>
      <c r="B878" t="s">
        <v>1658</v>
      </c>
      <c r="C878" t="s">
        <v>1044</v>
      </c>
      <c r="D878" s="6" t="s">
        <v>22</v>
      </c>
      <c r="E878" t="s">
        <v>21</v>
      </c>
      <c r="G878" s="6" t="s">
        <v>968</v>
      </c>
      <c r="H878" s="59" t="s">
        <v>1020</v>
      </c>
      <c r="I878" s="58" t="s">
        <v>1832</v>
      </c>
      <c r="J878" t="s">
        <v>839</v>
      </c>
      <c r="K878" t="s">
        <v>830</v>
      </c>
      <c r="L878" t="s">
        <v>1038</v>
      </c>
      <c r="M878" t="s">
        <v>1163</v>
      </c>
      <c r="N878" s="57">
        <v>1200</v>
      </c>
      <c r="O878" t="s">
        <v>100</v>
      </c>
      <c r="P878" t="s">
        <v>93</v>
      </c>
      <c r="Q878" s="3">
        <v>46170</v>
      </c>
      <c r="R878" s="10">
        <f t="shared" ca="1" si="26"/>
        <v>46229</v>
      </c>
      <c r="S878" s="7">
        <f t="shared" ca="1" si="27"/>
        <v>0.16164383561643836</v>
      </c>
    </row>
    <row r="879" spans="1:19" x14ac:dyDescent="0.25">
      <c r="A879">
        <v>4124198</v>
      </c>
      <c r="B879" t="s">
        <v>1663</v>
      </c>
      <c r="C879" t="s">
        <v>1044</v>
      </c>
      <c r="D879" s="6" t="s">
        <v>22</v>
      </c>
      <c r="E879" t="s">
        <v>21</v>
      </c>
      <c r="G879" s="6" t="s">
        <v>968</v>
      </c>
      <c r="H879" s="59" t="s">
        <v>1020</v>
      </c>
      <c r="I879" s="58" t="s">
        <v>1832</v>
      </c>
      <c r="J879" t="s">
        <v>839</v>
      </c>
      <c r="K879" t="s">
        <v>830</v>
      </c>
      <c r="L879" t="s">
        <v>1038</v>
      </c>
      <c r="M879" t="s">
        <v>1163</v>
      </c>
      <c r="N879" s="57">
        <v>1200</v>
      </c>
      <c r="O879" t="s">
        <v>100</v>
      </c>
      <c r="P879" t="s">
        <v>93</v>
      </c>
      <c r="Q879" s="3">
        <v>46170</v>
      </c>
      <c r="R879" s="10">
        <f t="shared" ca="1" si="26"/>
        <v>46229</v>
      </c>
      <c r="S879" s="7">
        <f t="shared" ca="1" si="27"/>
        <v>0.16164383561643836</v>
      </c>
    </row>
    <row r="880" spans="1:19" x14ac:dyDescent="0.25">
      <c r="A880">
        <v>4124200</v>
      </c>
      <c r="B880" t="s">
        <v>1665</v>
      </c>
      <c r="C880" t="s">
        <v>1044</v>
      </c>
      <c r="D880" s="6" t="s">
        <v>22</v>
      </c>
      <c r="E880" t="s">
        <v>21</v>
      </c>
      <c r="G880" s="6" t="s">
        <v>968</v>
      </c>
      <c r="H880" s="59" t="s">
        <v>1020</v>
      </c>
      <c r="I880" s="58" t="s">
        <v>1832</v>
      </c>
      <c r="J880" t="s">
        <v>839</v>
      </c>
      <c r="K880" t="s">
        <v>830</v>
      </c>
      <c r="L880" t="s">
        <v>1038</v>
      </c>
      <c r="M880" t="s">
        <v>1163</v>
      </c>
      <c r="N880" s="57">
        <v>1200</v>
      </c>
      <c r="O880" t="s">
        <v>100</v>
      </c>
      <c r="P880" t="s">
        <v>93</v>
      </c>
      <c r="Q880" s="3">
        <v>46170</v>
      </c>
      <c r="R880" s="10">
        <f t="shared" ca="1" si="26"/>
        <v>46229</v>
      </c>
      <c r="S880" s="7">
        <f t="shared" ca="1" si="27"/>
        <v>0.16164383561643836</v>
      </c>
    </row>
    <row r="881" spans="1:19" x14ac:dyDescent="0.25">
      <c r="A881">
        <v>4124229</v>
      </c>
      <c r="B881" t="s">
        <v>1686</v>
      </c>
      <c r="C881" t="s">
        <v>1044</v>
      </c>
      <c r="D881" s="6" t="s">
        <v>22</v>
      </c>
      <c r="E881" t="s">
        <v>21</v>
      </c>
      <c r="G881" s="6" t="s">
        <v>968</v>
      </c>
      <c r="H881" s="59" t="s">
        <v>1020</v>
      </c>
      <c r="I881" s="58" t="s">
        <v>1832</v>
      </c>
      <c r="J881" t="s">
        <v>839</v>
      </c>
      <c r="K881" t="s">
        <v>830</v>
      </c>
      <c r="L881" t="s">
        <v>1038</v>
      </c>
      <c r="M881" t="s">
        <v>1163</v>
      </c>
      <c r="N881" s="57">
        <v>1200</v>
      </c>
      <c r="O881" t="s">
        <v>100</v>
      </c>
      <c r="P881" t="s">
        <v>93</v>
      </c>
      <c r="Q881" s="3">
        <v>46170</v>
      </c>
      <c r="R881" s="10">
        <f t="shared" ca="1" si="26"/>
        <v>46229</v>
      </c>
      <c r="S881" s="7">
        <f t="shared" ca="1" si="27"/>
        <v>0.16164383561643836</v>
      </c>
    </row>
    <row r="882" spans="1:19" x14ac:dyDescent="0.25">
      <c r="A882">
        <v>4124247</v>
      </c>
      <c r="B882" t="s">
        <v>1702</v>
      </c>
      <c r="C882" t="s">
        <v>1044</v>
      </c>
      <c r="D882" s="6" t="s">
        <v>22</v>
      </c>
      <c r="E882" t="s">
        <v>21</v>
      </c>
      <c r="G882" s="6" t="s">
        <v>968</v>
      </c>
      <c r="H882" s="59" t="s">
        <v>1020</v>
      </c>
      <c r="I882" s="58" t="s">
        <v>1832</v>
      </c>
      <c r="J882" t="s">
        <v>839</v>
      </c>
      <c r="K882" t="s">
        <v>830</v>
      </c>
      <c r="L882" t="s">
        <v>1038</v>
      </c>
      <c r="M882" t="s">
        <v>1163</v>
      </c>
      <c r="N882" s="57">
        <v>1200</v>
      </c>
      <c r="O882" t="s">
        <v>100</v>
      </c>
      <c r="P882" t="s">
        <v>93</v>
      </c>
      <c r="Q882" s="3">
        <v>46170</v>
      </c>
      <c r="R882" s="10">
        <f t="shared" ca="1" si="26"/>
        <v>46229</v>
      </c>
      <c r="S882" s="7">
        <f t="shared" ca="1" si="27"/>
        <v>0.16164383561643836</v>
      </c>
    </row>
    <row r="883" spans="1:19" x14ac:dyDescent="0.25">
      <c r="A883">
        <v>4124249</v>
      </c>
      <c r="B883" t="s">
        <v>1704</v>
      </c>
      <c r="C883" t="s">
        <v>1044</v>
      </c>
      <c r="D883" s="6" t="s">
        <v>22</v>
      </c>
      <c r="E883" t="s">
        <v>21</v>
      </c>
      <c r="G883" s="6" t="s">
        <v>968</v>
      </c>
      <c r="H883" s="59" t="s">
        <v>1020</v>
      </c>
      <c r="I883" s="58" t="s">
        <v>1832</v>
      </c>
      <c r="J883" t="s">
        <v>839</v>
      </c>
      <c r="K883" t="s">
        <v>830</v>
      </c>
      <c r="L883" t="s">
        <v>1038</v>
      </c>
      <c r="M883" t="s">
        <v>1163</v>
      </c>
      <c r="N883" s="57">
        <v>1200</v>
      </c>
      <c r="O883" t="s">
        <v>100</v>
      </c>
      <c r="P883" t="s">
        <v>93</v>
      </c>
      <c r="Q883" s="3">
        <v>46170</v>
      </c>
      <c r="R883" s="10">
        <f t="shared" ca="1" si="26"/>
        <v>46229</v>
      </c>
      <c r="S883" s="7">
        <f t="shared" ca="1" si="27"/>
        <v>0.16164383561643836</v>
      </c>
    </row>
    <row r="884" spans="1:19" x14ac:dyDescent="0.25">
      <c r="A884">
        <v>577132</v>
      </c>
      <c r="B884" t="s">
        <v>1575</v>
      </c>
      <c r="C884" t="s">
        <v>1044</v>
      </c>
      <c r="D884" s="6" t="s">
        <v>22</v>
      </c>
      <c r="E884" t="s">
        <v>21</v>
      </c>
      <c r="G884" s="6" t="s">
        <v>968</v>
      </c>
      <c r="H884" s="59" t="s">
        <v>1020</v>
      </c>
      <c r="I884" s="58" t="s">
        <v>1832</v>
      </c>
      <c r="J884" t="s">
        <v>839</v>
      </c>
      <c r="K884" t="s">
        <v>830</v>
      </c>
      <c r="L884" t="s">
        <v>1038</v>
      </c>
      <c r="M884" t="s">
        <v>1163</v>
      </c>
      <c r="N884" s="57">
        <v>1200</v>
      </c>
      <c r="O884" t="s">
        <v>100</v>
      </c>
      <c r="P884" t="s">
        <v>93</v>
      </c>
      <c r="Q884" s="3">
        <v>46167</v>
      </c>
      <c r="R884" s="10">
        <f t="shared" ca="1" si="26"/>
        <v>46229</v>
      </c>
      <c r="S884" s="7">
        <f t="shared" ca="1" si="27"/>
        <v>0.16986301369863013</v>
      </c>
    </row>
    <row r="885" spans="1:19" x14ac:dyDescent="0.25">
      <c r="A885">
        <v>971132</v>
      </c>
      <c r="B885" t="s">
        <v>1790</v>
      </c>
      <c r="C885" t="s">
        <v>1044</v>
      </c>
      <c r="D885" s="6" t="s">
        <v>22</v>
      </c>
      <c r="E885" t="s">
        <v>21</v>
      </c>
      <c r="G885" s="6" t="s">
        <v>968</v>
      </c>
      <c r="H885" s="59" t="s">
        <v>1020</v>
      </c>
      <c r="I885" s="58" t="s">
        <v>1832</v>
      </c>
      <c r="J885" t="s">
        <v>839</v>
      </c>
      <c r="K885" t="s">
        <v>830</v>
      </c>
      <c r="L885" t="s">
        <v>1038</v>
      </c>
      <c r="M885" t="s">
        <v>1163</v>
      </c>
      <c r="N885" s="57">
        <v>1200</v>
      </c>
      <c r="O885" t="s">
        <v>100</v>
      </c>
      <c r="P885" t="s">
        <v>93</v>
      </c>
      <c r="Q885" s="3">
        <v>46170</v>
      </c>
      <c r="R885" s="10">
        <f t="shared" ca="1" si="26"/>
        <v>46229</v>
      </c>
      <c r="S885" s="7">
        <f t="shared" ca="1" si="27"/>
        <v>0.16164383561643836</v>
      </c>
    </row>
    <row r="886" spans="1:19" x14ac:dyDescent="0.25">
      <c r="A886">
        <v>985408</v>
      </c>
      <c r="B886" t="s">
        <v>1792</v>
      </c>
      <c r="C886" t="s">
        <v>1044</v>
      </c>
      <c r="D886" s="6" t="s">
        <v>22</v>
      </c>
      <c r="E886" t="s">
        <v>21</v>
      </c>
      <c r="G886" s="6" t="s">
        <v>968</v>
      </c>
      <c r="H886" s="59" t="s">
        <v>1020</v>
      </c>
      <c r="I886" s="58" t="s">
        <v>1832</v>
      </c>
      <c r="J886" t="s">
        <v>839</v>
      </c>
      <c r="K886" t="s">
        <v>830</v>
      </c>
      <c r="L886" t="s">
        <v>1038</v>
      </c>
      <c r="M886" t="s">
        <v>1163</v>
      </c>
      <c r="N886" s="57">
        <v>1200</v>
      </c>
      <c r="O886" t="s">
        <v>100</v>
      </c>
      <c r="P886" t="s">
        <v>93</v>
      </c>
      <c r="Q886" s="3">
        <v>46170</v>
      </c>
      <c r="R886" s="10">
        <f t="shared" ca="1" si="26"/>
        <v>46229</v>
      </c>
      <c r="S886" s="7">
        <f t="shared" ca="1" si="27"/>
        <v>0.16164383561643836</v>
      </c>
    </row>
    <row r="887" spans="1:19" x14ac:dyDescent="0.25">
      <c r="A887">
        <v>887335</v>
      </c>
      <c r="B887" t="s">
        <v>1172</v>
      </c>
      <c r="C887" t="s">
        <v>17</v>
      </c>
      <c r="D887" s="6" t="s">
        <v>39</v>
      </c>
      <c r="E887" t="s">
        <v>47</v>
      </c>
      <c r="G887" s="6" t="s">
        <v>971</v>
      </c>
      <c r="H887" s="59" t="s">
        <v>973</v>
      </c>
      <c r="I887" s="58" t="s">
        <v>881</v>
      </c>
      <c r="J887" t="s">
        <v>882</v>
      </c>
      <c r="K887" t="s">
        <v>883</v>
      </c>
      <c r="L887" t="s">
        <v>966</v>
      </c>
      <c r="M887" t="s">
        <v>1163</v>
      </c>
      <c r="N887" s="57">
        <v>6900</v>
      </c>
      <c r="O887" t="s">
        <v>100</v>
      </c>
      <c r="P887" t="s">
        <v>1175</v>
      </c>
      <c r="Q887" s="3">
        <v>45894</v>
      </c>
      <c r="R887" s="10">
        <f t="shared" ca="1" si="26"/>
        <v>46229</v>
      </c>
      <c r="S887" s="7">
        <f t="shared" ca="1" si="27"/>
        <v>0.9178082191780822</v>
      </c>
    </row>
    <row r="888" spans="1:19" x14ac:dyDescent="0.25">
      <c r="A888">
        <v>31648</v>
      </c>
      <c r="B888" t="s">
        <v>377</v>
      </c>
      <c r="C888" t="s">
        <v>17</v>
      </c>
      <c r="D888" s="6" t="s">
        <v>22</v>
      </c>
      <c r="E888" t="s">
        <v>50</v>
      </c>
      <c r="G888" s="6" t="s">
        <v>970</v>
      </c>
      <c r="H888" s="59" t="s">
        <v>1030</v>
      </c>
      <c r="I888" s="58" t="s">
        <v>853</v>
      </c>
      <c r="J888" t="s">
        <v>854</v>
      </c>
      <c r="K888" t="s">
        <v>855</v>
      </c>
      <c r="L888" t="s">
        <v>1038</v>
      </c>
      <c r="M888" t="s">
        <v>1163</v>
      </c>
      <c r="N888" s="57">
        <v>1400</v>
      </c>
      <c r="O888" t="s">
        <v>100</v>
      </c>
      <c r="P888" t="s">
        <v>93</v>
      </c>
      <c r="Q888" s="3">
        <v>38327</v>
      </c>
      <c r="R888" s="10">
        <f t="shared" ca="1" si="26"/>
        <v>46229</v>
      </c>
      <c r="S888" s="7">
        <f t="shared" ca="1" si="27"/>
        <v>21.649315068493152</v>
      </c>
    </row>
    <row r="889" spans="1:19" x14ac:dyDescent="0.25">
      <c r="A889">
        <v>4078706</v>
      </c>
      <c r="B889" t="s">
        <v>546</v>
      </c>
      <c r="C889" t="s">
        <v>17</v>
      </c>
      <c r="D889" s="6" t="s">
        <v>22</v>
      </c>
      <c r="E889" t="s">
        <v>50</v>
      </c>
      <c r="G889" s="6" t="s">
        <v>970</v>
      </c>
      <c r="H889" s="59" t="s">
        <v>1030</v>
      </c>
      <c r="I889" s="58" t="s">
        <v>932</v>
      </c>
      <c r="J889" t="s">
        <v>874</v>
      </c>
      <c r="K889" t="s">
        <v>849</v>
      </c>
      <c r="L889" t="s">
        <v>25</v>
      </c>
      <c r="M889" t="s">
        <v>1163</v>
      </c>
      <c r="N889" s="57">
        <v>1200</v>
      </c>
      <c r="O889" t="s">
        <v>100</v>
      </c>
      <c r="P889" t="s">
        <v>93</v>
      </c>
      <c r="Q889" s="3">
        <v>44945</v>
      </c>
      <c r="R889" s="10">
        <f t="shared" ca="1" si="26"/>
        <v>46229</v>
      </c>
      <c r="S889" s="7">
        <f t="shared" ca="1" si="27"/>
        <v>3.5178082191780824</v>
      </c>
    </row>
    <row r="890" spans="1:19" x14ac:dyDescent="0.25">
      <c r="A890">
        <v>4094531</v>
      </c>
      <c r="B890" t="s">
        <v>575</v>
      </c>
      <c r="C890" t="s">
        <v>17</v>
      </c>
      <c r="D890" s="6" t="s">
        <v>22</v>
      </c>
      <c r="E890" t="s">
        <v>50</v>
      </c>
      <c r="G890" s="6" t="s">
        <v>970</v>
      </c>
      <c r="H890" s="59" t="s">
        <v>1030</v>
      </c>
      <c r="I890" s="58" t="s">
        <v>932</v>
      </c>
      <c r="J890" t="s">
        <v>874</v>
      </c>
      <c r="K890" t="s">
        <v>849</v>
      </c>
      <c r="L890" t="s">
        <v>25</v>
      </c>
      <c r="M890" t="s">
        <v>1163</v>
      </c>
      <c r="N890" s="57">
        <v>1400</v>
      </c>
      <c r="O890" t="s">
        <v>100</v>
      </c>
      <c r="P890" t="s">
        <v>93</v>
      </c>
      <c r="Q890" s="3">
        <v>45162</v>
      </c>
      <c r="R890" s="10">
        <f t="shared" ca="1" si="26"/>
        <v>46229</v>
      </c>
      <c r="S890" s="7">
        <f t="shared" ca="1" si="27"/>
        <v>2.9232876712328766</v>
      </c>
    </row>
    <row r="891" spans="1:19" x14ac:dyDescent="0.25">
      <c r="A891">
        <v>1148501</v>
      </c>
      <c r="B891" t="s">
        <v>168</v>
      </c>
      <c r="C891" t="s">
        <v>17</v>
      </c>
      <c r="D891" s="6" t="s">
        <v>22</v>
      </c>
      <c r="E891" t="s">
        <v>72</v>
      </c>
      <c r="G891" s="6" t="s">
        <v>971</v>
      </c>
      <c r="H891" s="59" t="s">
        <v>1028</v>
      </c>
      <c r="I891" s="58" t="s">
        <v>916</v>
      </c>
      <c r="J891" t="s">
        <v>844</v>
      </c>
      <c r="K891" t="s">
        <v>31</v>
      </c>
      <c r="L891" t="s">
        <v>1038</v>
      </c>
      <c r="M891" t="s">
        <v>1163</v>
      </c>
      <c r="N891" s="57">
        <v>1300</v>
      </c>
      <c r="O891" t="s">
        <v>100</v>
      </c>
      <c r="P891" t="s">
        <v>93</v>
      </c>
      <c r="Q891" s="3">
        <v>44627</v>
      </c>
      <c r="R891" s="10">
        <f t="shared" ca="1" si="26"/>
        <v>46229</v>
      </c>
      <c r="S891" s="7">
        <f t="shared" ca="1" si="27"/>
        <v>4.3890410958904109</v>
      </c>
    </row>
    <row r="892" spans="1:19" x14ac:dyDescent="0.25">
      <c r="A892">
        <v>1232851</v>
      </c>
      <c r="B892" t="s">
        <v>1506</v>
      </c>
      <c r="C892" t="s">
        <v>17</v>
      </c>
      <c r="D892" s="6" t="s">
        <v>22</v>
      </c>
      <c r="E892" t="s">
        <v>72</v>
      </c>
      <c r="G892" s="6" t="s">
        <v>971</v>
      </c>
      <c r="H892" s="59" t="s">
        <v>1028</v>
      </c>
      <c r="I892" s="58" t="s">
        <v>916</v>
      </c>
      <c r="J892" t="s">
        <v>844</v>
      </c>
      <c r="K892" t="s">
        <v>31</v>
      </c>
      <c r="L892" t="s">
        <v>1038</v>
      </c>
      <c r="M892" t="s">
        <v>1163</v>
      </c>
      <c r="N892" s="57">
        <v>1300</v>
      </c>
      <c r="O892" t="s">
        <v>100</v>
      </c>
      <c r="P892" t="s">
        <v>93</v>
      </c>
      <c r="Q892" s="3">
        <v>46167</v>
      </c>
      <c r="R892" s="10">
        <f t="shared" ca="1" si="26"/>
        <v>46229</v>
      </c>
      <c r="S892" s="7">
        <f t="shared" ca="1" si="27"/>
        <v>0.16986301369863013</v>
      </c>
    </row>
    <row r="893" spans="1:19" x14ac:dyDescent="0.25">
      <c r="A893">
        <v>39794</v>
      </c>
      <c r="B893" t="s">
        <v>1359</v>
      </c>
      <c r="C893" t="s">
        <v>17</v>
      </c>
      <c r="D893" s="6" t="s">
        <v>22</v>
      </c>
      <c r="E893" t="s">
        <v>72</v>
      </c>
      <c r="G893" s="6" t="s">
        <v>971</v>
      </c>
      <c r="H893" s="59" t="s">
        <v>1028</v>
      </c>
      <c r="I893" s="58" t="s">
        <v>916</v>
      </c>
      <c r="J893" t="s">
        <v>844</v>
      </c>
      <c r="K893" t="s">
        <v>31</v>
      </c>
      <c r="L893" t="s">
        <v>25</v>
      </c>
      <c r="M893" t="s">
        <v>1163</v>
      </c>
      <c r="N893" s="57">
        <v>1300</v>
      </c>
      <c r="O893" t="s">
        <v>100</v>
      </c>
      <c r="P893" t="s">
        <v>93</v>
      </c>
      <c r="Q893" s="3">
        <v>40224</v>
      </c>
      <c r="R893" s="10">
        <f t="shared" ca="1" si="26"/>
        <v>46229</v>
      </c>
      <c r="S893" s="7">
        <f t="shared" ca="1" si="27"/>
        <v>16.452054794520549</v>
      </c>
    </row>
    <row r="894" spans="1:19" x14ac:dyDescent="0.25">
      <c r="A894">
        <v>956976</v>
      </c>
      <c r="B894" t="s">
        <v>1005</v>
      </c>
      <c r="C894" t="s">
        <v>17</v>
      </c>
      <c r="D894" s="6" t="s">
        <v>22</v>
      </c>
      <c r="E894" t="s">
        <v>72</v>
      </c>
      <c r="G894" s="6" t="s">
        <v>971</v>
      </c>
      <c r="H894" s="59" t="s">
        <v>1028</v>
      </c>
      <c r="I894" s="58" t="s">
        <v>916</v>
      </c>
      <c r="J894" t="s">
        <v>844</v>
      </c>
      <c r="K894" t="s">
        <v>31</v>
      </c>
      <c r="L894" t="s">
        <v>1038</v>
      </c>
      <c r="M894" t="s">
        <v>1163</v>
      </c>
      <c r="N894" s="57">
        <v>1300</v>
      </c>
      <c r="O894" t="s">
        <v>100</v>
      </c>
      <c r="P894" t="s">
        <v>20</v>
      </c>
      <c r="Q894" s="3">
        <v>44291</v>
      </c>
      <c r="R894" s="10">
        <f t="shared" ca="1" si="26"/>
        <v>46229</v>
      </c>
      <c r="S894" s="7">
        <f t="shared" ca="1" si="27"/>
        <v>5.3095890410958901</v>
      </c>
    </row>
    <row r="895" spans="1:19" x14ac:dyDescent="0.25">
      <c r="A895">
        <v>4081267</v>
      </c>
      <c r="B895" t="s">
        <v>551</v>
      </c>
      <c r="C895" t="s">
        <v>17</v>
      </c>
      <c r="D895" s="6" t="s">
        <v>39</v>
      </c>
      <c r="E895" t="s">
        <v>946</v>
      </c>
      <c r="G895" s="6" t="s">
        <v>1839</v>
      </c>
      <c r="H895" s="59" t="s">
        <v>92</v>
      </c>
      <c r="I895" s="58" t="s">
        <v>1502</v>
      </c>
      <c r="J895" t="s">
        <v>866</v>
      </c>
      <c r="K895" t="s">
        <v>867</v>
      </c>
      <c r="L895" t="s">
        <v>25</v>
      </c>
      <c r="M895" t="s">
        <v>1163</v>
      </c>
      <c r="N895" s="57">
        <v>7400</v>
      </c>
      <c r="O895" t="s">
        <v>100</v>
      </c>
      <c r="P895" t="s">
        <v>38</v>
      </c>
      <c r="Q895" s="3">
        <v>44970</v>
      </c>
      <c r="R895" s="10">
        <f t="shared" ca="1" si="26"/>
        <v>46229</v>
      </c>
      <c r="S895" s="7">
        <f t="shared" ca="1" si="27"/>
        <v>3.4493150684931506</v>
      </c>
    </row>
    <row r="896" spans="1:19" x14ac:dyDescent="0.25">
      <c r="A896">
        <v>1183849</v>
      </c>
      <c r="B896" t="s">
        <v>254</v>
      </c>
      <c r="C896" t="s">
        <v>17</v>
      </c>
      <c r="D896" s="6" t="s">
        <v>39</v>
      </c>
      <c r="E896" t="s">
        <v>952</v>
      </c>
      <c r="G896" s="6" t="s">
        <v>1839</v>
      </c>
      <c r="H896" s="59" t="s">
        <v>92</v>
      </c>
      <c r="I896" s="58" t="s">
        <v>901</v>
      </c>
      <c r="J896" t="s">
        <v>902</v>
      </c>
      <c r="K896" t="s">
        <v>863</v>
      </c>
      <c r="L896" t="s">
        <v>966</v>
      </c>
      <c r="M896" t="s">
        <v>1163</v>
      </c>
      <c r="N896" s="57">
        <v>7400</v>
      </c>
      <c r="O896" t="s">
        <v>100</v>
      </c>
      <c r="P896" t="s">
        <v>38</v>
      </c>
      <c r="Q896" s="3">
        <v>45208</v>
      </c>
      <c r="R896" s="10">
        <f t="shared" ca="1" si="26"/>
        <v>46229</v>
      </c>
      <c r="S896" s="7">
        <f t="shared" ca="1" si="27"/>
        <v>2.7972602739726029</v>
      </c>
    </row>
    <row r="897" spans="1:19" x14ac:dyDescent="0.25">
      <c r="A897">
        <v>29558</v>
      </c>
      <c r="B897" t="s">
        <v>353</v>
      </c>
      <c r="C897" t="s">
        <v>17</v>
      </c>
      <c r="D897" s="6" t="s">
        <v>22</v>
      </c>
      <c r="E897" t="s">
        <v>53</v>
      </c>
      <c r="G897" s="6" t="s">
        <v>967</v>
      </c>
      <c r="H897" s="59" t="s">
        <v>1023</v>
      </c>
      <c r="I897" s="58" t="s">
        <v>915</v>
      </c>
      <c r="J897" t="s">
        <v>923</v>
      </c>
      <c r="K897" t="s">
        <v>826</v>
      </c>
      <c r="L897" t="s">
        <v>1038</v>
      </c>
      <c r="M897" t="s">
        <v>1163</v>
      </c>
      <c r="N897" s="57">
        <v>1500</v>
      </c>
      <c r="O897" t="s">
        <v>100</v>
      </c>
      <c r="P897" t="s">
        <v>93</v>
      </c>
      <c r="Q897" s="3">
        <v>39657</v>
      </c>
      <c r="R897" s="10">
        <f t="shared" ca="1" si="26"/>
        <v>46229</v>
      </c>
      <c r="S897" s="7">
        <f t="shared" ca="1" si="27"/>
        <v>18.005479452054793</v>
      </c>
    </row>
    <row r="898" spans="1:19" x14ac:dyDescent="0.25">
      <c r="A898">
        <v>4075560</v>
      </c>
      <c r="B898" t="s">
        <v>535</v>
      </c>
      <c r="C898" t="s">
        <v>17</v>
      </c>
      <c r="D898" s="6" t="s">
        <v>22</v>
      </c>
      <c r="E898" t="s">
        <v>53</v>
      </c>
      <c r="G898" s="6" t="s">
        <v>967</v>
      </c>
      <c r="H898" s="59" t="s">
        <v>1023</v>
      </c>
      <c r="I898" s="58" t="s">
        <v>915</v>
      </c>
      <c r="J898" t="s">
        <v>923</v>
      </c>
      <c r="K898" t="s">
        <v>826</v>
      </c>
      <c r="L898" t="s">
        <v>1038</v>
      </c>
      <c r="M898" t="s">
        <v>1163</v>
      </c>
      <c r="N898" s="57">
        <v>1500</v>
      </c>
      <c r="O898" t="s">
        <v>100</v>
      </c>
      <c r="P898" t="s">
        <v>93</v>
      </c>
      <c r="Q898" s="3">
        <v>44914</v>
      </c>
      <c r="R898" s="10">
        <f t="shared" ca="1" si="26"/>
        <v>46229</v>
      </c>
      <c r="S898" s="7">
        <f t="shared" ca="1" si="27"/>
        <v>3.6027397260273974</v>
      </c>
    </row>
    <row r="899" spans="1:19" x14ac:dyDescent="0.25">
      <c r="A899">
        <v>4078634</v>
      </c>
      <c r="B899" t="s">
        <v>545</v>
      </c>
      <c r="C899" t="s">
        <v>17</v>
      </c>
      <c r="D899" s="6" t="s">
        <v>22</v>
      </c>
      <c r="E899" t="s">
        <v>68</v>
      </c>
      <c r="G899" s="6" t="s">
        <v>967</v>
      </c>
      <c r="H899" s="59" t="s">
        <v>1023</v>
      </c>
      <c r="I899" s="58" t="s">
        <v>915</v>
      </c>
      <c r="J899" t="s">
        <v>923</v>
      </c>
      <c r="K899" t="s">
        <v>826</v>
      </c>
      <c r="L899" t="s">
        <v>1038</v>
      </c>
      <c r="M899" t="s">
        <v>1163</v>
      </c>
      <c r="N899" s="57">
        <v>1500</v>
      </c>
      <c r="O899" t="s">
        <v>100</v>
      </c>
      <c r="P899" t="s">
        <v>93</v>
      </c>
      <c r="Q899" s="3">
        <v>44945</v>
      </c>
      <c r="R899" s="10">
        <f t="shared" ref="R899:R962" ca="1" si="28">TODAY()</f>
        <v>46229</v>
      </c>
      <c r="S899" s="7">
        <f t="shared" ref="S899:S962" ca="1" si="29">(R899-Q899)/365</f>
        <v>3.5178082191780824</v>
      </c>
    </row>
    <row r="900" spans="1:19" x14ac:dyDescent="0.25">
      <c r="A900">
        <v>4105980</v>
      </c>
      <c r="B900" t="s">
        <v>656</v>
      </c>
      <c r="C900" t="s">
        <v>17</v>
      </c>
      <c r="D900" s="6" t="s">
        <v>22</v>
      </c>
      <c r="E900" t="s">
        <v>53</v>
      </c>
      <c r="G900" s="6" t="s">
        <v>967</v>
      </c>
      <c r="H900" s="59" t="s">
        <v>1023</v>
      </c>
      <c r="I900" s="58" t="s">
        <v>915</v>
      </c>
      <c r="J900" t="s">
        <v>923</v>
      </c>
      <c r="K900" t="s">
        <v>826</v>
      </c>
      <c r="L900" t="s">
        <v>1038</v>
      </c>
      <c r="M900" t="s">
        <v>1163</v>
      </c>
      <c r="N900" s="57">
        <v>1500</v>
      </c>
      <c r="O900" t="s">
        <v>100</v>
      </c>
      <c r="P900" t="s">
        <v>93</v>
      </c>
      <c r="Q900" s="3">
        <v>45568</v>
      </c>
      <c r="R900" s="10">
        <f t="shared" ca="1" si="28"/>
        <v>46229</v>
      </c>
      <c r="S900" s="7">
        <f t="shared" ca="1" si="29"/>
        <v>1.810958904109589</v>
      </c>
    </row>
    <row r="901" spans="1:19" x14ac:dyDescent="0.25">
      <c r="A901">
        <v>28298</v>
      </c>
      <c r="B901" t="s">
        <v>1049</v>
      </c>
      <c r="C901" t="s">
        <v>17</v>
      </c>
      <c r="D901" s="6" t="s">
        <v>22</v>
      </c>
      <c r="E901" t="s">
        <v>21</v>
      </c>
      <c r="G901" s="6" t="s">
        <v>968</v>
      </c>
      <c r="H901" s="59" t="s">
        <v>1020</v>
      </c>
      <c r="I901" s="58" t="s">
        <v>926</v>
      </c>
      <c r="J901" t="s">
        <v>839</v>
      </c>
      <c r="K901" t="s">
        <v>830</v>
      </c>
      <c r="L901" t="s">
        <v>91</v>
      </c>
      <c r="M901" t="s">
        <v>1163</v>
      </c>
      <c r="N901" s="57">
        <v>1200</v>
      </c>
      <c r="O901" t="s">
        <v>100</v>
      </c>
      <c r="P901" t="s">
        <v>93</v>
      </c>
      <c r="Q901" s="3">
        <v>46069</v>
      </c>
      <c r="R901" s="10">
        <f t="shared" ca="1" si="28"/>
        <v>46229</v>
      </c>
      <c r="S901" s="7">
        <f t="shared" ca="1" si="29"/>
        <v>0.43835616438356162</v>
      </c>
    </row>
    <row r="902" spans="1:19" x14ac:dyDescent="0.25">
      <c r="A902">
        <v>4049948</v>
      </c>
      <c r="B902" t="s">
        <v>477</v>
      </c>
      <c r="C902" t="s">
        <v>17</v>
      </c>
      <c r="D902" s="6" t="s">
        <v>22</v>
      </c>
      <c r="E902" t="s">
        <v>21</v>
      </c>
      <c r="G902" s="6" t="s">
        <v>968</v>
      </c>
      <c r="H902" s="59" t="s">
        <v>1020</v>
      </c>
      <c r="I902" s="58" t="s">
        <v>926</v>
      </c>
      <c r="J902" t="s">
        <v>839</v>
      </c>
      <c r="K902" t="s">
        <v>830</v>
      </c>
      <c r="L902" t="s">
        <v>91</v>
      </c>
      <c r="M902" t="s">
        <v>1163</v>
      </c>
      <c r="N902" s="57">
        <v>1200</v>
      </c>
      <c r="O902" t="s">
        <v>100</v>
      </c>
      <c r="P902" t="s">
        <v>93</v>
      </c>
      <c r="Q902" s="3">
        <v>44903</v>
      </c>
      <c r="R902" s="10">
        <f t="shared" ca="1" si="28"/>
        <v>46229</v>
      </c>
      <c r="S902" s="7">
        <f t="shared" ca="1" si="29"/>
        <v>3.6328767123287671</v>
      </c>
    </row>
    <row r="903" spans="1:19" x14ac:dyDescent="0.25">
      <c r="A903">
        <v>4064834</v>
      </c>
      <c r="B903" t="s">
        <v>511</v>
      </c>
      <c r="C903" t="s">
        <v>17</v>
      </c>
      <c r="D903" s="6" t="s">
        <v>22</v>
      </c>
      <c r="E903" t="s">
        <v>21</v>
      </c>
      <c r="G903" s="6" t="s">
        <v>968</v>
      </c>
      <c r="H903" s="59" t="s">
        <v>1020</v>
      </c>
      <c r="I903" s="58" t="s">
        <v>926</v>
      </c>
      <c r="J903" t="s">
        <v>839</v>
      </c>
      <c r="K903" t="s">
        <v>830</v>
      </c>
      <c r="L903" t="s">
        <v>91</v>
      </c>
      <c r="M903" t="s">
        <v>1163</v>
      </c>
      <c r="N903" s="57">
        <v>1200</v>
      </c>
      <c r="O903" t="s">
        <v>100</v>
      </c>
      <c r="P903" t="s">
        <v>93</v>
      </c>
      <c r="Q903" s="3">
        <v>44798</v>
      </c>
      <c r="R903" s="10">
        <f t="shared" ca="1" si="28"/>
        <v>46229</v>
      </c>
      <c r="S903" s="7">
        <f t="shared" ca="1" si="29"/>
        <v>3.9205479452054797</v>
      </c>
    </row>
    <row r="904" spans="1:19" x14ac:dyDescent="0.25">
      <c r="A904">
        <v>4106755</v>
      </c>
      <c r="B904" t="s">
        <v>664</v>
      </c>
      <c r="C904" t="s">
        <v>17</v>
      </c>
      <c r="D904" s="6" t="s">
        <v>22</v>
      </c>
      <c r="E904" t="s">
        <v>21</v>
      </c>
      <c r="G904" s="6" t="s">
        <v>968</v>
      </c>
      <c r="H904" s="59" t="s">
        <v>1020</v>
      </c>
      <c r="I904" s="58" t="s">
        <v>926</v>
      </c>
      <c r="J904" t="s">
        <v>839</v>
      </c>
      <c r="K904" t="s">
        <v>830</v>
      </c>
      <c r="L904" t="s">
        <v>91</v>
      </c>
      <c r="M904" t="s">
        <v>1163</v>
      </c>
      <c r="N904" s="57">
        <v>1200</v>
      </c>
      <c r="O904" t="s">
        <v>100</v>
      </c>
      <c r="P904" t="s">
        <v>20</v>
      </c>
      <c r="Q904" s="3">
        <v>45603</v>
      </c>
      <c r="R904" s="10">
        <f t="shared" ca="1" si="28"/>
        <v>46229</v>
      </c>
      <c r="S904" s="7">
        <f t="shared" ca="1" si="29"/>
        <v>1.715068493150685</v>
      </c>
    </row>
    <row r="905" spans="1:19" x14ac:dyDescent="0.25">
      <c r="A905">
        <v>4115698</v>
      </c>
      <c r="B905" t="s">
        <v>1370</v>
      </c>
      <c r="C905" t="s">
        <v>1044</v>
      </c>
      <c r="D905" s="6" t="s">
        <v>22</v>
      </c>
      <c r="E905" t="s">
        <v>21</v>
      </c>
      <c r="G905" s="6" t="s">
        <v>968</v>
      </c>
      <c r="H905" s="59" t="s">
        <v>1020</v>
      </c>
      <c r="I905" s="58" t="s">
        <v>926</v>
      </c>
      <c r="J905" t="s">
        <v>839</v>
      </c>
      <c r="K905" t="s">
        <v>830</v>
      </c>
      <c r="L905" t="s">
        <v>91</v>
      </c>
      <c r="M905" t="s">
        <v>1163</v>
      </c>
      <c r="N905" s="57">
        <v>1200</v>
      </c>
      <c r="O905" t="s">
        <v>100</v>
      </c>
      <c r="P905" t="s">
        <v>93</v>
      </c>
      <c r="Q905" s="3">
        <v>46125</v>
      </c>
      <c r="R905" s="10">
        <f t="shared" ca="1" si="28"/>
        <v>46229</v>
      </c>
      <c r="S905" s="7">
        <f t="shared" ca="1" si="29"/>
        <v>0.28493150684931506</v>
      </c>
    </row>
    <row r="906" spans="1:19" x14ac:dyDescent="0.25">
      <c r="A906">
        <v>4120257</v>
      </c>
      <c r="B906" t="s">
        <v>1654</v>
      </c>
      <c r="C906" t="s">
        <v>1044</v>
      </c>
      <c r="D906" s="6" t="s">
        <v>22</v>
      </c>
      <c r="E906" t="s">
        <v>21</v>
      </c>
      <c r="G906" s="6" t="s">
        <v>968</v>
      </c>
      <c r="H906" s="59" t="s">
        <v>1020</v>
      </c>
      <c r="I906" s="58" t="s">
        <v>926</v>
      </c>
      <c r="J906" t="s">
        <v>839</v>
      </c>
      <c r="K906" t="s">
        <v>830</v>
      </c>
      <c r="L906" t="s">
        <v>91</v>
      </c>
      <c r="M906" t="s">
        <v>1163</v>
      </c>
      <c r="N906" s="57">
        <v>1200</v>
      </c>
      <c r="O906" t="s">
        <v>100</v>
      </c>
      <c r="P906" t="s">
        <v>93</v>
      </c>
      <c r="Q906" s="3">
        <v>46174</v>
      </c>
      <c r="R906" s="10">
        <f t="shared" ca="1" si="28"/>
        <v>46229</v>
      </c>
      <c r="S906" s="7">
        <f t="shared" ca="1" si="29"/>
        <v>0.15068493150684931</v>
      </c>
    </row>
    <row r="907" spans="1:19" x14ac:dyDescent="0.25">
      <c r="A907">
        <v>4120858</v>
      </c>
      <c r="B907" t="s">
        <v>1068</v>
      </c>
      <c r="C907" t="s">
        <v>17</v>
      </c>
      <c r="D907" s="6" t="s">
        <v>22</v>
      </c>
      <c r="E907" t="s">
        <v>21</v>
      </c>
      <c r="G907" s="6" t="s">
        <v>968</v>
      </c>
      <c r="H907" s="59" t="s">
        <v>1020</v>
      </c>
      <c r="I907" s="58" t="s">
        <v>926</v>
      </c>
      <c r="J907" t="s">
        <v>839</v>
      </c>
      <c r="K907" t="s">
        <v>830</v>
      </c>
      <c r="L907" t="s">
        <v>91</v>
      </c>
      <c r="M907" t="s">
        <v>1163</v>
      </c>
      <c r="N907" s="57">
        <v>1200</v>
      </c>
      <c r="O907" t="s">
        <v>100</v>
      </c>
      <c r="P907" t="s">
        <v>93</v>
      </c>
      <c r="Q907" s="3">
        <v>46069</v>
      </c>
      <c r="R907" s="10">
        <f t="shared" ca="1" si="28"/>
        <v>46229</v>
      </c>
      <c r="S907" s="7">
        <f t="shared" ca="1" si="29"/>
        <v>0.43835616438356162</v>
      </c>
    </row>
    <row r="908" spans="1:19" x14ac:dyDescent="0.25">
      <c r="A908">
        <v>4121137</v>
      </c>
      <c r="B908" t="s">
        <v>1090</v>
      </c>
      <c r="C908" t="s">
        <v>17</v>
      </c>
      <c r="D908" s="6" t="s">
        <v>22</v>
      </c>
      <c r="E908" t="s">
        <v>21</v>
      </c>
      <c r="G908" s="6" t="s">
        <v>968</v>
      </c>
      <c r="H908" s="59" t="s">
        <v>1020</v>
      </c>
      <c r="I908" s="58" t="s">
        <v>926</v>
      </c>
      <c r="J908" t="s">
        <v>839</v>
      </c>
      <c r="K908" t="s">
        <v>830</v>
      </c>
      <c r="L908" t="s">
        <v>91</v>
      </c>
      <c r="M908" t="s">
        <v>1163</v>
      </c>
      <c r="N908" s="57">
        <v>1200</v>
      </c>
      <c r="O908" t="s">
        <v>100</v>
      </c>
      <c r="P908" t="s">
        <v>93</v>
      </c>
      <c r="Q908" s="3">
        <v>46072</v>
      </c>
      <c r="R908" s="10">
        <f t="shared" ca="1" si="28"/>
        <v>46229</v>
      </c>
      <c r="S908" s="7">
        <f t="shared" ca="1" si="29"/>
        <v>0.43013698630136987</v>
      </c>
    </row>
    <row r="909" spans="1:19" x14ac:dyDescent="0.25">
      <c r="A909">
        <v>4121140</v>
      </c>
      <c r="B909" t="s">
        <v>1091</v>
      </c>
      <c r="C909" t="s">
        <v>17</v>
      </c>
      <c r="D909" s="6" t="s">
        <v>22</v>
      </c>
      <c r="E909" t="s">
        <v>21</v>
      </c>
      <c r="G909" s="6" t="s">
        <v>968</v>
      </c>
      <c r="H909" s="59" t="s">
        <v>1020</v>
      </c>
      <c r="I909" s="58" t="s">
        <v>926</v>
      </c>
      <c r="J909" t="s">
        <v>839</v>
      </c>
      <c r="K909" t="s">
        <v>830</v>
      </c>
      <c r="L909" t="s">
        <v>91</v>
      </c>
      <c r="M909" t="s">
        <v>1163</v>
      </c>
      <c r="N909" s="57">
        <v>1200</v>
      </c>
      <c r="O909" t="s">
        <v>100</v>
      </c>
      <c r="P909" t="s">
        <v>93</v>
      </c>
      <c r="Q909" s="3">
        <v>46072</v>
      </c>
      <c r="R909" s="10">
        <f t="shared" ca="1" si="28"/>
        <v>46229</v>
      </c>
      <c r="S909" s="7">
        <f t="shared" ca="1" si="29"/>
        <v>0.43013698630136987</v>
      </c>
    </row>
    <row r="910" spans="1:19" x14ac:dyDescent="0.25">
      <c r="A910">
        <v>4122545</v>
      </c>
      <c r="B910" t="s">
        <v>1254</v>
      </c>
      <c r="C910" t="s">
        <v>1044</v>
      </c>
      <c r="D910" s="6" t="s">
        <v>22</v>
      </c>
      <c r="E910" t="s">
        <v>21</v>
      </c>
      <c r="G910" s="6" t="s">
        <v>968</v>
      </c>
      <c r="H910" s="59" t="s">
        <v>1020</v>
      </c>
      <c r="I910" s="58" t="s">
        <v>926</v>
      </c>
      <c r="J910" t="s">
        <v>839</v>
      </c>
      <c r="K910" t="s">
        <v>830</v>
      </c>
      <c r="L910" t="s">
        <v>91</v>
      </c>
      <c r="M910" t="s">
        <v>1163</v>
      </c>
      <c r="N910" s="57">
        <v>1200</v>
      </c>
      <c r="O910" t="s">
        <v>100</v>
      </c>
      <c r="P910" t="s">
        <v>93</v>
      </c>
      <c r="Q910" s="3">
        <v>46118</v>
      </c>
      <c r="R910" s="10">
        <f t="shared" ca="1" si="28"/>
        <v>46229</v>
      </c>
      <c r="S910" s="7">
        <f t="shared" ca="1" si="29"/>
        <v>0.30410958904109592</v>
      </c>
    </row>
    <row r="911" spans="1:19" x14ac:dyDescent="0.25">
      <c r="A911">
        <v>4122547</v>
      </c>
      <c r="B911" t="s">
        <v>1256</v>
      </c>
      <c r="C911" t="s">
        <v>1044</v>
      </c>
      <c r="D911" s="6" t="s">
        <v>22</v>
      </c>
      <c r="E911" t="s">
        <v>21</v>
      </c>
      <c r="G911" s="6" t="s">
        <v>968</v>
      </c>
      <c r="H911" s="59" t="s">
        <v>1020</v>
      </c>
      <c r="I911" s="58" t="s">
        <v>926</v>
      </c>
      <c r="J911" t="s">
        <v>839</v>
      </c>
      <c r="K911" t="s">
        <v>830</v>
      </c>
      <c r="L911" t="s">
        <v>91</v>
      </c>
      <c r="M911" t="s">
        <v>1163</v>
      </c>
      <c r="N911" s="57">
        <v>1200</v>
      </c>
      <c r="O911" t="s">
        <v>100</v>
      </c>
      <c r="P911" t="s">
        <v>93</v>
      </c>
      <c r="Q911" s="3">
        <v>46118</v>
      </c>
      <c r="R911" s="10">
        <f t="shared" ca="1" si="28"/>
        <v>46229</v>
      </c>
      <c r="S911" s="7">
        <f t="shared" ca="1" si="29"/>
        <v>0.30410958904109592</v>
      </c>
    </row>
    <row r="912" spans="1:19" x14ac:dyDescent="0.25">
      <c r="A912">
        <v>4122548</v>
      </c>
      <c r="B912" t="s">
        <v>1257</v>
      </c>
      <c r="C912" t="s">
        <v>1044</v>
      </c>
      <c r="D912" s="6" t="s">
        <v>22</v>
      </c>
      <c r="E912" t="s">
        <v>21</v>
      </c>
      <c r="G912" s="6" t="s">
        <v>968</v>
      </c>
      <c r="H912" s="59" t="s">
        <v>1020</v>
      </c>
      <c r="I912" s="58" t="s">
        <v>926</v>
      </c>
      <c r="J912" t="s">
        <v>839</v>
      </c>
      <c r="K912" t="s">
        <v>830</v>
      </c>
      <c r="L912" t="s">
        <v>91</v>
      </c>
      <c r="M912" t="s">
        <v>1163</v>
      </c>
      <c r="N912" s="57">
        <v>1200</v>
      </c>
      <c r="O912" t="s">
        <v>100</v>
      </c>
      <c r="P912" t="s">
        <v>93</v>
      </c>
      <c r="Q912" s="3">
        <v>46118</v>
      </c>
      <c r="R912" s="10">
        <f t="shared" ca="1" si="28"/>
        <v>46229</v>
      </c>
      <c r="S912" s="7">
        <f t="shared" ca="1" si="29"/>
        <v>0.30410958904109592</v>
      </c>
    </row>
    <row r="913" spans="1:19" x14ac:dyDescent="0.25">
      <c r="A913">
        <v>4122767</v>
      </c>
      <c r="B913" t="s">
        <v>1303</v>
      </c>
      <c r="C913" t="s">
        <v>1044</v>
      </c>
      <c r="D913" s="6" t="s">
        <v>22</v>
      </c>
      <c r="E913" t="s">
        <v>21</v>
      </c>
      <c r="G913" s="6" t="s">
        <v>968</v>
      </c>
      <c r="H913" s="59" t="s">
        <v>1020</v>
      </c>
      <c r="I913" s="58" t="s">
        <v>926</v>
      </c>
      <c r="J913" t="s">
        <v>839</v>
      </c>
      <c r="K913" t="s">
        <v>830</v>
      </c>
      <c r="L913" t="s">
        <v>91</v>
      </c>
      <c r="M913" t="s">
        <v>1163</v>
      </c>
      <c r="N913" s="57">
        <v>1200</v>
      </c>
      <c r="O913" t="s">
        <v>100</v>
      </c>
      <c r="P913" t="s">
        <v>93</v>
      </c>
      <c r="Q913" s="3">
        <v>46121</v>
      </c>
      <c r="R913" s="10">
        <f t="shared" ca="1" si="28"/>
        <v>46229</v>
      </c>
      <c r="S913" s="7">
        <f t="shared" ca="1" si="29"/>
        <v>0.29589041095890412</v>
      </c>
    </row>
    <row r="914" spans="1:19" x14ac:dyDescent="0.25">
      <c r="A914">
        <v>4122770</v>
      </c>
      <c r="B914" t="s">
        <v>1306</v>
      </c>
      <c r="C914" t="s">
        <v>1044</v>
      </c>
      <c r="D914" s="6" t="s">
        <v>22</v>
      </c>
      <c r="E914" t="s">
        <v>21</v>
      </c>
      <c r="G914" s="6" t="s">
        <v>968</v>
      </c>
      <c r="H914" s="59" t="s">
        <v>1020</v>
      </c>
      <c r="I914" s="58" t="s">
        <v>926</v>
      </c>
      <c r="J914" t="s">
        <v>839</v>
      </c>
      <c r="K914" t="s">
        <v>830</v>
      </c>
      <c r="L914" t="s">
        <v>91</v>
      </c>
      <c r="M914" t="s">
        <v>1163</v>
      </c>
      <c r="N914" s="57">
        <v>1200</v>
      </c>
      <c r="O914" t="s">
        <v>100</v>
      </c>
      <c r="P914" t="s">
        <v>93</v>
      </c>
      <c r="Q914" s="3">
        <v>46121</v>
      </c>
      <c r="R914" s="10">
        <f t="shared" ca="1" si="28"/>
        <v>46229</v>
      </c>
      <c r="S914" s="7">
        <f t="shared" ca="1" si="29"/>
        <v>0.29589041095890412</v>
      </c>
    </row>
    <row r="915" spans="1:19" x14ac:dyDescent="0.25">
      <c r="A915">
        <v>4122772</v>
      </c>
      <c r="B915" t="s">
        <v>1308</v>
      </c>
      <c r="C915" t="s">
        <v>1044</v>
      </c>
      <c r="D915" s="6" t="s">
        <v>22</v>
      </c>
      <c r="E915" t="s">
        <v>21</v>
      </c>
      <c r="G915" s="6" t="s">
        <v>968</v>
      </c>
      <c r="H915" s="59" t="s">
        <v>1020</v>
      </c>
      <c r="I915" s="58" t="s">
        <v>926</v>
      </c>
      <c r="J915" t="s">
        <v>839</v>
      </c>
      <c r="K915" t="s">
        <v>830</v>
      </c>
      <c r="L915" t="s">
        <v>91</v>
      </c>
      <c r="M915" t="s">
        <v>1163</v>
      </c>
      <c r="N915" s="57">
        <v>1200</v>
      </c>
      <c r="O915" t="s">
        <v>100</v>
      </c>
      <c r="P915" t="s">
        <v>93</v>
      </c>
      <c r="Q915" s="3">
        <v>46121</v>
      </c>
      <c r="R915" s="10">
        <f t="shared" ca="1" si="28"/>
        <v>46229</v>
      </c>
      <c r="S915" s="7">
        <f t="shared" ca="1" si="29"/>
        <v>0.29589041095890412</v>
      </c>
    </row>
    <row r="916" spans="1:19" x14ac:dyDescent="0.25">
      <c r="A916">
        <v>4122805</v>
      </c>
      <c r="B916" t="s">
        <v>1328</v>
      </c>
      <c r="C916" t="s">
        <v>1044</v>
      </c>
      <c r="D916" s="6" t="s">
        <v>22</v>
      </c>
      <c r="E916" t="s">
        <v>21</v>
      </c>
      <c r="G916" s="6" t="s">
        <v>968</v>
      </c>
      <c r="H916" s="59" t="s">
        <v>1020</v>
      </c>
      <c r="I916" s="58" t="s">
        <v>926</v>
      </c>
      <c r="J916" t="s">
        <v>839</v>
      </c>
      <c r="K916" t="s">
        <v>830</v>
      </c>
      <c r="L916" t="s">
        <v>91</v>
      </c>
      <c r="M916" t="s">
        <v>1163</v>
      </c>
      <c r="N916" s="57">
        <v>1200</v>
      </c>
      <c r="O916" t="s">
        <v>100</v>
      </c>
      <c r="P916" t="s">
        <v>93</v>
      </c>
      <c r="Q916" s="3">
        <v>46121</v>
      </c>
      <c r="R916" s="10">
        <f t="shared" ca="1" si="28"/>
        <v>46229</v>
      </c>
      <c r="S916" s="7">
        <f t="shared" ca="1" si="29"/>
        <v>0.29589041095890412</v>
      </c>
    </row>
    <row r="917" spans="1:19" x14ac:dyDescent="0.25">
      <c r="A917">
        <v>4122879</v>
      </c>
      <c r="B917" t="s">
        <v>1378</v>
      </c>
      <c r="C917" t="s">
        <v>1044</v>
      </c>
      <c r="D917" s="6" t="s">
        <v>22</v>
      </c>
      <c r="E917" t="s">
        <v>21</v>
      </c>
      <c r="G917" s="6" t="s">
        <v>968</v>
      </c>
      <c r="H917" s="59" t="s">
        <v>1020</v>
      </c>
      <c r="I917" s="58" t="s">
        <v>926</v>
      </c>
      <c r="J917" t="s">
        <v>839</v>
      </c>
      <c r="K917" t="s">
        <v>830</v>
      </c>
      <c r="L917" t="s">
        <v>91</v>
      </c>
      <c r="M917" t="s">
        <v>1163</v>
      </c>
      <c r="N917" s="57">
        <v>1200</v>
      </c>
      <c r="O917" t="s">
        <v>100</v>
      </c>
      <c r="P917" t="s">
        <v>93</v>
      </c>
      <c r="Q917" s="3">
        <v>46125</v>
      </c>
      <c r="R917" s="10">
        <f t="shared" ca="1" si="28"/>
        <v>46229</v>
      </c>
      <c r="S917" s="7">
        <f t="shared" ca="1" si="29"/>
        <v>0.28493150684931506</v>
      </c>
    </row>
    <row r="918" spans="1:19" x14ac:dyDescent="0.25">
      <c r="A918">
        <v>4123087</v>
      </c>
      <c r="B918" t="s">
        <v>1424</v>
      </c>
      <c r="C918" t="s">
        <v>1044</v>
      </c>
      <c r="D918" s="6" t="s">
        <v>22</v>
      </c>
      <c r="E918" t="s">
        <v>21</v>
      </c>
      <c r="G918" s="6" t="s">
        <v>968</v>
      </c>
      <c r="H918" s="59" t="s">
        <v>1020</v>
      </c>
      <c r="I918" s="58" t="s">
        <v>926</v>
      </c>
      <c r="J918" t="s">
        <v>839</v>
      </c>
      <c r="K918" t="s">
        <v>830</v>
      </c>
      <c r="L918" t="s">
        <v>91</v>
      </c>
      <c r="M918" t="s">
        <v>1163</v>
      </c>
      <c r="N918" s="57">
        <v>1200</v>
      </c>
      <c r="O918" t="s">
        <v>100</v>
      </c>
      <c r="P918" t="s">
        <v>93</v>
      </c>
      <c r="Q918" s="3">
        <v>46132</v>
      </c>
      <c r="R918" s="10">
        <f t="shared" ca="1" si="28"/>
        <v>46229</v>
      </c>
      <c r="S918" s="7">
        <f t="shared" ca="1" si="29"/>
        <v>0.26575342465753427</v>
      </c>
    </row>
    <row r="919" spans="1:19" x14ac:dyDescent="0.25">
      <c r="A919">
        <v>4123172</v>
      </c>
      <c r="B919" t="s">
        <v>1425</v>
      </c>
      <c r="C919" t="s">
        <v>1044</v>
      </c>
      <c r="D919" s="6" t="s">
        <v>22</v>
      </c>
      <c r="E919" t="s">
        <v>21</v>
      </c>
      <c r="G919" s="6" t="s">
        <v>968</v>
      </c>
      <c r="H919" s="59" t="s">
        <v>1020</v>
      </c>
      <c r="I919" s="58" t="s">
        <v>926</v>
      </c>
      <c r="J919" t="s">
        <v>839</v>
      </c>
      <c r="K919" t="s">
        <v>830</v>
      </c>
      <c r="L919" t="s">
        <v>91</v>
      </c>
      <c r="M919" t="s">
        <v>1163</v>
      </c>
      <c r="N919" s="57">
        <v>1200</v>
      </c>
      <c r="O919" t="s">
        <v>100</v>
      </c>
      <c r="P919" t="s">
        <v>93</v>
      </c>
      <c r="Q919" s="3">
        <v>46135</v>
      </c>
      <c r="R919" s="10">
        <f t="shared" ca="1" si="28"/>
        <v>46229</v>
      </c>
      <c r="S919" s="7">
        <f t="shared" ca="1" si="29"/>
        <v>0.25753424657534246</v>
      </c>
    </row>
    <row r="920" spans="1:19" x14ac:dyDescent="0.25">
      <c r="A920">
        <v>4124394</v>
      </c>
      <c r="B920" t="s">
        <v>1748</v>
      </c>
      <c r="C920" t="s">
        <v>1044</v>
      </c>
      <c r="D920" s="6" t="s">
        <v>22</v>
      </c>
      <c r="E920" t="s">
        <v>21</v>
      </c>
      <c r="G920" s="6" t="s">
        <v>968</v>
      </c>
      <c r="H920" s="59" t="s">
        <v>1020</v>
      </c>
      <c r="I920" s="58" t="s">
        <v>926</v>
      </c>
      <c r="J920" t="s">
        <v>839</v>
      </c>
      <c r="K920" t="s">
        <v>830</v>
      </c>
      <c r="L920" t="s">
        <v>91</v>
      </c>
      <c r="M920" t="s">
        <v>1163</v>
      </c>
      <c r="N920" s="57">
        <v>1200</v>
      </c>
      <c r="O920" t="s">
        <v>100</v>
      </c>
      <c r="P920" t="s">
        <v>93</v>
      </c>
      <c r="Q920" s="3">
        <v>46174</v>
      </c>
      <c r="R920" s="10">
        <f t="shared" ca="1" si="28"/>
        <v>46229</v>
      </c>
      <c r="S920" s="7">
        <f t="shared" ca="1" si="29"/>
        <v>0.15068493150684931</v>
      </c>
    </row>
    <row r="921" spans="1:19" x14ac:dyDescent="0.25">
      <c r="A921">
        <v>4124395</v>
      </c>
      <c r="B921" t="s">
        <v>1749</v>
      </c>
      <c r="C921" t="s">
        <v>1044</v>
      </c>
      <c r="D921" s="6" t="s">
        <v>22</v>
      </c>
      <c r="E921" t="s">
        <v>21</v>
      </c>
      <c r="G921" s="6" t="s">
        <v>968</v>
      </c>
      <c r="H921" s="59" t="s">
        <v>1020</v>
      </c>
      <c r="I921" s="58" t="s">
        <v>926</v>
      </c>
      <c r="J921" t="s">
        <v>839</v>
      </c>
      <c r="K921" t="s">
        <v>830</v>
      </c>
      <c r="L921" t="s">
        <v>91</v>
      </c>
      <c r="M921" t="s">
        <v>1163</v>
      </c>
      <c r="N921" s="57">
        <v>1200</v>
      </c>
      <c r="O921" t="s">
        <v>100</v>
      </c>
      <c r="P921" t="s">
        <v>93</v>
      </c>
      <c r="Q921" s="3">
        <v>46174</v>
      </c>
      <c r="R921" s="10">
        <f t="shared" ca="1" si="28"/>
        <v>46229</v>
      </c>
      <c r="S921" s="7">
        <f t="shared" ca="1" si="29"/>
        <v>0.15068493150684931</v>
      </c>
    </row>
    <row r="922" spans="1:19" x14ac:dyDescent="0.25">
      <c r="A922">
        <v>4124399</v>
      </c>
      <c r="B922" t="s">
        <v>1751</v>
      </c>
      <c r="C922" t="s">
        <v>1044</v>
      </c>
      <c r="D922" s="6" t="s">
        <v>22</v>
      </c>
      <c r="E922" t="s">
        <v>21</v>
      </c>
      <c r="G922" s="6" t="s">
        <v>968</v>
      </c>
      <c r="H922" s="59" t="s">
        <v>1020</v>
      </c>
      <c r="I922" s="58" t="s">
        <v>926</v>
      </c>
      <c r="J922" t="s">
        <v>839</v>
      </c>
      <c r="K922" t="s">
        <v>830</v>
      </c>
      <c r="L922" t="s">
        <v>91</v>
      </c>
      <c r="M922" t="s">
        <v>1163</v>
      </c>
      <c r="N922" s="57">
        <v>1200</v>
      </c>
      <c r="O922" t="s">
        <v>100</v>
      </c>
      <c r="P922" t="s">
        <v>93</v>
      </c>
      <c r="Q922" s="3">
        <v>46174</v>
      </c>
      <c r="R922" s="10">
        <f t="shared" ca="1" si="28"/>
        <v>46229</v>
      </c>
      <c r="S922" s="7">
        <f t="shared" ca="1" si="29"/>
        <v>0.15068493150684931</v>
      </c>
    </row>
    <row r="923" spans="1:19" x14ac:dyDescent="0.25">
      <c r="A923">
        <v>41478</v>
      </c>
      <c r="B923" t="s">
        <v>1331</v>
      </c>
      <c r="C923" t="s">
        <v>1044</v>
      </c>
      <c r="D923" s="6" t="s">
        <v>22</v>
      </c>
      <c r="E923" t="s">
        <v>21</v>
      </c>
      <c r="G923" s="6" t="s">
        <v>968</v>
      </c>
      <c r="H923" s="59" t="s">
        <v>1020</v>
      </c>
      <c r="I923" s="58" t="s">
        <v>926</v>
      </c>
      <c r="J923" t="s">
        <v>839</v>
      </c>
      <c r="K923" t="s">
        <v>830</v>
      </c>
      <c r="L923" t="s">
        <v>91</v>
      </c>
      <c r="M923" t="s">
        <v>1163</v>
      </c>
      <c r="N923" s="57">
        <v>1200</v>
      </c>
      <c r="O923" t="s">
        <v>100</v>
      </c>
      <c r="P923" t="s">
        <v>93</v>
      </c>
      <c r="Q923" s="3">
        <v>46121</v>
      </c>
      <c r="R923" s="10">
        <f t="shared" ca="1" si="28"/>
        <v>46229</v>
      </c>
      <c r="S923" s="7">
        <f t="shared" ca="1" si="29"/>
        <v>0.29589041095890412</v>
      </c>
    </row>
    <row r="924" spans="1:19" x14ac:dyDescent="0.25">
      <c r="A924">
        <v>576645</v>
      </c>
      <c r="B924" t="s">
        <v>708</v>
      </c>
      <c r="C924" t="s">
        <v>17</v>
      </c>
      <c r="D924" s="6" t="s">
        <v>22</v>
      </c>
      <c r="E924" t="s">
        <v>55</v>
      </c>
      <c r="G924" s="6" t="s">
        <v>968</v>
      </c>
      <c r="H924" s="59" t="s">
        <v>1020</v>
      </c>
      <c r="I924" s="58" t="s">
        <v>926</v>
      </c>
      <c r="J924" t="s">
        <v>839</v>
      </c>
      <c r="K924" t="s">
        <v>830</v>
      </c>
      <c r="L924" t="s">
        <v>91</v>
      </c>
      <c r="M924" t="s">
        <v>1163</v>
      </c>
      <c r="N924" s="57">
        <v>1200</v>
      </c>
      <c r="O924" t="s">
        <v>100</v>
      </c>
      <c r="P924" t="s">
        <v>93</v>
      </c>
      <c r="Q924" s="3">
        <v>41099</v>
      </c>
      <c r="R924" s="10">
        <f t="shared" ca="1" si="28"/>
        <v>46229</v>
      </c>
      <c r="S924" s="7">
        <f t="shared" ca="1" si="29"/>
        <v>14.054794520547945</v>
      </c>
    </row>
    <row r="925" spans="1:19" x14ac:dyDescent="0.25">
      <c r="A925">
        <v>578315</v>
      </c>
      <c r="B925" t="s">
        <v>1332</v>
      </c>
      <c r="C925" t="s">
        <v>1044</v>
      </c>
      <c r="D925" s="6" t="s">
        <v>22</v>
      </c>
      <c r="E925" t="s">
        <v>21</v>
      </c>
      <c r="G925" s="6" t="s">
        <v>968</v>
      </c>
      <c r="H925" s="59" t="s">
        <v>1020</v>
      </c>
      <c r="I925" s="58" t="s">
        <v>926</v>
      </c>
      <c r="J925" t="s">
        <v>839</v>
      </c>
      <c r="K925" t="s">
        <v>830</v>
      </c>
      <c r="L925" t="s">
        <v>91</v>
      </c>
      <c r="M925" t="s">
        <v>1163</v>
      </c>
      <c r="N925" s="57">
        <v>1200</v>
      </c>
      <c r="O925" t="s">
        <v>100</v>
      </c>
      <c r="P925" t="s">
        <v>93</v>
      </c>
      <c r="Q925" s="3">
        <v>46121</v>
      </c>
      <c r="R925" s="10">
        <f t="shared" ca="1" si="28"/>
        <v>46229</v>
      </c>
      <c r="S925" s="7">
        <f t="shared" ca="1" si="29"/>
        <v>0.29589041095890412</v>
      </c>
    </row>
    <row r="926" spans="1:19" x14ac:dyDescent="0.25">
      <c r="A926">
        <v>585819</v>
      </c>
      <c r="B926" t="s">
        <v>719</v>
      </c>
      <c r="C926" t="s">
        <v>17</v>
      </c>
      <c r="D926" s="6" t="s">
        <v>22</v>
      </c>
      <c r="E926" t="s">
        <v>87</v>
      </c>
      <c r="G926" s="6" t="s">
        <v>968</v>
      </c>
      <c r="H926" s="59" t="s">
        <v>1020</v>
      </c>
      <c r="I926" s="58" t="s">
        <v>926</v>
      </c>
      <c r="J926" t="s">
        <v>839</v>
      </c>
      <c r="K926" t="s">
        <v>830</v>
      </c>
      <c r="L926" t="s">
        <v>91</v>
      </c>
      <c r="M926" t="s">
        <v>1163</v>
      </c>
      <c r="N926" s="57">
        <v>1200</v>
      </c>
      <c r="O926" t="s">
        <v>100</v>
      </c>
      <c r="P926" t="s">
        <v>93</v>
      </c>
      <c r="Q926" s="3">
        <v>45299</v>
      </c>
      <c r="R926" s="10">
        <f t="shared" ca="1" si="28"/>
        <v>46229</v>
      </c>
      <c r="S926" s="7">
        <f t="shared" ca="1" si="29"/>
        <v>2.547945205479452</v>
      </c>
    </row>
    <row r="927" spans="1:19" x14ac:dyDescent="0.25">
      <c r="A927">
        <v>613298</v>
      </c>
      <c r="B927" t="s">
        <v>726</v>
      </c>
      <c r="C927" t="s">
        <v>17</v>
      </c>
      <c r="D927" s="6" t="s">
        <v>22</v>
      </c>
      <c r="E927" t="s">
        <v>70</v>
      </c>
      <c r="G927" s="6" t="s">
        <v>968</v>
      </c>
      <c r="H927" s="59" t="s">
        <v>1020</v>
      </c>
      <c r="I927" s="58" t="s">
        <v>926</v>
      </c>
      <c r="J927" t="s">
        <v>839</v>
      </c>
      <c r="K927" t="s">
        <v>830</v>
      </c>
      <c r="L927" t="s">
        <v>91</v>
      </c>
      <c r="M927" t="s">
        <v>1163</v>
      </c>
      <c r="N927" s="57">
        <v>1200</v>
      </c>
      <c r="O927" t="s">
        <v>100</v>
      </c>
      <c r="P927" t="s">
        <v>93</v>
      </c>
      <c r="Q927" s="3">
        <v>45565</v>
      </c>
      <c r="R927" s="10">
        <f t="shared" ca="1" si="28"/>
        <v>46229</v>
      </c>
      <c r="S927" s="7">
        <f t="shared" ca="1" si="29"/>
        <v>1.8191780821917809</v>
      </c>
    </row>
    <row r="928" spans="1:19" x14ac:dyDescent="0.25">
      <c r="A928">
        <v>4124266</v>
      </c>
      <c r="B928" t="s">
        <v>1717</v>
      </c>
      <c r="C928" t="s">
        <v>1044</v>
      </c>
      <c r="D928" s="6" t="s">
        <v>22</v>
      </c>
      <c r="E928" t="s">
        <v>21</v>
      </c>
      <c r="G928" s="6" t="s">
        <v>968</v>
      </c>
      <c r="H928" s="59" t="s">
        <v>1020</v>
      </c>
      <c r="I928" s="58" t="s">
        <v>926</v>
      </c>
      <c r="J928" t="s">
        <v>839</v>
      </c>
      <c r="K928" t="s">
        <v>830</v>
      </c>
      <c r="L928" t="s">
        <v>91</v>
      </c>
      <c r="M928" t="s">
        <v>1163</v>
      </c>
      <c r="N928" s="57">
        <v>1200</v>
      </c>
      <c r="O928" t="s">
        <v>100</v>
      </c>
      <c r="P928" t="s">
        <v>93</v>
      </c>
      <c r="Q928" s="3">
        <v>46170</v>
      </c>
      <c r="R928" s="10">
        <f t="shared" ca="1" si="28"/>
        <v>46229</v>
      </c>
      <c r="S928" s="7">
        <f t="shared" ca="1" si="29"/>
        <v>0.16164383561643836</v>
      </c>
    </row>
    <row r="929" spans="1:19" x14ac:dyDescent="0.25">
      <c r="A929">
        <v>1089456</v>
      </c>
      <c r="B929" t="s">
        <v>146</v>
      </c>
      <c r="C929" t="s">
        <v>17</v>
      </c>
      <c r="D929" s="6" t="s">
        <v>22</v>
      </c>
      <c r="E929" t="s">
        <v>69</v>
      </c>
      <c r="G929" s="6" t="s">
        <v>16</v>
      </c>
      <c r="H929" s="59" t="s">
        <v>1026</v>
      </c>
      <c r="I929" s="58" t="s">
        <v>1192</v>
      </c>
      <c r="J929" t="s">
        <v>1796</v>
      </c>
      <c r="K929" t="s">
        <v>823</v>
      </c>
      <c r="L929" t="s">
        <v>91</v>
      </c>
      <c r="M929" t="s">
        <v>1163</v>
      </c>
      <c r="N929" s="57">
        <v>1300</v>
      </c>
      <c r="O929" t="s">
        <v>100</v>
      </c>
      <c r="P929" t="s">
        <v>93</v>
      </c>
      <c r="Q929" s="3">
        <v>44830</v>
      </c>
      <c r="R929" s="10">
        <f t="shared" ca="1" si="28"/>
        <v>46229</v>
      </c>
      <c r="S929" s="7">
        <f t="shared" ca="1" si="29"/>
        <v>3.8328767123287673</v>
      </c>
    </row>
    <row r="930" spans="1:19" x14ac:dyDescent="0.25">
      <c r="A930">
        <v>1091082</v>
      </c>
      <c r="B930" t="s">
        <v>148</v>
      </c>
      <c r="C930" t="s">
        <v>17</v>
      </c>
      <c r="D930" s="6" t="s">
        <v>22</v>
      </c>
      <c r="E930" t="s">
        <v>69</v>
      </c>
      <c r="G930" s="6" t="s">
        <v>16</v>
      </c>
      <c r="H930" s="59" t="s">
        <v>1026</v>
      </c>
      <c r="I930" s="58" t="s">
        <v>1192</v>
      </c>
      <c r="J930" t="s">
        <v>1796</v>
      </c>
      <c r="K930" t="s">
        <v>823</v>
      </c>
      <c r="L930" t="s">
        <v>91</v>
      </c>
      <c r="M930" t="s">
        <v>1163</v>
      </c>
      <c r="N930" s="57">
        <v>1300</v>
      </c>
      <c r="O930" t="s">
        <v>100</v>
      </c>
      <c r="P930" t="s">
        <v>93</v>
      </c>
      <c r="Q930" s="3">
        <v>44123</v>
      </c>
      <c r="R930" s="10">
        <f t="shared" ca="1" si="28"/>
        <v>46229</v>
      </c>
      <c r="S930" s="7">
        <f t="shared" ca="1" si="29"/>
        <v>5.7698630136986298</v>
      </c>
    </row>
    <row r="931" spans="1:19" x14ac:dyDescent="0.25">
      <c r="A931">
        <v>1178090</v>
      </c>
      <c r="B931" t="s">
        <v>228</v>
      </c>
      <c r="C931" t="s">
        <v>17</v>
      </c>
      <c r="D931" s="6" t="s">
        <v>22</v>
      </c>
      <c r="E931" t="s">
        <v>69</v>
      </c>
      <c r="G931" s="6" t="s">
        <v>16</v>
      </c>
      <c r="H931" s="59" t="s">
        <v>1026</v>
      </c>
      <c r="I931" s="58" t="s">
        <v>1192</v>
      </c>
      <c r="J931" t="s">
        <v>1796</v>
      </c>
      <c r="K931" t="s">
        <v>823</v>
      </c>
      <c r="L931" t="s">
        <v>1038</v>
      </c>
      <c r="M931" t="s">
        <v>1163</v>
      </c>
      <c r="N931" s="57">
        <v>1300</v>
      </c>
      <c r="O931" t="s">
        <v>100</v>
      </c>
      <c r="P931" t="s">
        <v>93</v>
      </c>
      <c r="Q931" s="3">
        <v>45054</v>
      </c>
      <c r="R931" s="10">
        <f t="shared" ca="1" si="28"/>
        <v>46229</v>
      </c>
      <c r="S931" s="7">
        <f t="shared" ca="1" si="29"/>
        <v>3.2191780821917808</v>
      </c>
    </row>
    <row r="932" spans="1:19" x14ac:dyDescent="0.25">
      <c r="A932">
        <v>1180607</v>
      </c>
      <c r="B932" t="s">
        <v>241</v>
      </c>
      <c r="C932" t="s">
        <v>17</v>
      </c>
      <c r="D932" s="6" t="s">
        <v>22</v>
      </c>
      <c r="E932" t="s">
        <v>69</v>
      </c>
      <c r="G932" s="6" t="s">
        <v>16</v>
      </c>
      <c r="H932" s="59" t="s">
        <v>1026</v>
      </c>
      <c r="I932" s="58" t="s">
        <v>1192</v>
      </c>
      <c r="J932" t="s">
        <v>1796</v>
      </c>
      <c r="K932" t="s">
        <v>823</v>
      </c>
      <c r="L932" t="s">
        <v>1038</v>
      </c>
      <c r="M932" t="s">
        <v>1163</v>
      </c>
      <c r="N932" s="57">
        <v>1300</v>
      </c>
      <c r="O932" t="s">
        <v>100</v>
      </c>
      <c r="P932" t="s">
        <v>93</v>
      </c>
      <c r="Q932" s="3">
        <v>45131</v>
      </c>
      <c r="R932" s="10">
        <f t="shared" ca="1" si="28"/>
        <v>46229</v>
      </c>
      <c r="S932" s="7">
        <f t="shared" ca="1" si="29"/>
        <v>3.0082191780821916</v>
      </c>
    </row>
    <row r="933" spans="1:19" x14ac:dyDescent="0.25">
      <c r="A933">
        <v>43557</v>
      </c>
      <c r="B933" t="s">
        <v>1171</v>
      </c>
      <c r="C933" t="s">
        <v>17</v>
      </c>
      <c r="D933" s="6" t="s">
        <v>22</v>
      </c>
      <c r="E933" t="s">
        <v>69</v>
      </c>
      <c r="G933" s="6" t="s">
        <v>16</v>
      </c>
      <c r="H933" s="59" t="s">
        <v>1026</v>
      </c>
      <c r="I933" s="58" t="s">
        <v>1192</v>
      </c>
      <c r="J933" t="s">
        <v>1796</v>
      </c>
      <c r="K933" t="s">
        <v>823</v>
      </c>
      <c r="L933" t="s">
        <v>1038</v>
      </c>
      <c r="M933" t="s">
        <v>1163</v>
      </c>
      <c r="N933" s="57">
        <v>1300</v>
      </c>
      <c r="O933" t="s">
        <v>100</v>
      </c>
      <c r="P933" t="s">
        <v>93</v>
      </c>
      <c r="Q933" s="3">
        <v>45838</v>
      </c>
      <c r="R933" s="10">
        <f t="shared" ca="1" si="28"/>
        <v>46229</v>
      </c>
      <c r="S933" s="7">
        <f t="shared" ca="1" si="29"/>
        <v>1.0712328767123287</v>
      </c>
    </row>
    <row r="934" spans="1:19" x14ac:dyDescent="0.25">
      <c r="A934">
        <v>574559</v>
      </c>
      <c r="B934" t="s">
        <v>705</v>
      </c>
      <c r="C934" t="s">
        <v>17</v>
      </c>
      <c r="D934" s="6" t="s">
        <v>22</v>
      </c>
      <c r="E934" t="s">
        <v>69</v>
      </c>
      <c r="G934" s="6" t="s">
        <v>16</v>
      </c>
      <c r="H934" s="59" t="s">
        <v>1026</v>
      </c>
      <c r="I934" s="58" t="s">
        <v>1192</v>
      </c>
      <c r="J934" t="s">
        <v>1796</v>
      </c>
      <c r="K934" t="s">
        <v>823</v>
      </c>
      <c r="L934" t="s">
        <v>25</v>
      </c>
      <c r="M934" t="s">
        <v>1163</v>
      </c>
      <c r="N934" s="57">
        <v>1300</v>
      </c>
      <c r="O934" t="s">
        <v>100</v>
      </c>
      <c r="P934" t="s">
        <v>93</v>
      </c>
      <c r="Q934" s="3">
        <v>45552</v>
      </c>
      <c r="R934" s="10">
        <f t="shared" ca="1" si="28"/>
        <v>46229</v>
      </c>
      <c r="S934" s="7">
        <f t="shared" ca="1" si="29"/>
        <v>1.8547945205479452</v>
      </c>
    </row>
    <row r="935" spans="1:19" x14ac:dyDescent="0.25">
      <c r="A935">
        <v>583267</v>
      </c>
      <c r="B935" t="s">
        <v>1161</v>
      </c>
      <c r="C935" t="s">
        <v>17</v>
      </c>
      <c r="D935" s="6" t="s">
        <v>22</v>
      </c>
      <c r="E935" t="s">
        <v>69</v>
      </c>
      <c r="G935" s="6" t="s">
        <v>16</v>
      </c>
      <c r="H935" s="59" t="s">
        <v>1026</v>
      </c>
      <c r="I935" s="58" t="s">
        <v>1192</v>
      </c>
      <c r="J935" t="s">
        <v>1796</v>
      </c>
      <c r="K935" t="s">
        <v>823</v>
      </c>
      <c r="L935" t="s">
        <v>25</v>
      </c>
      <c r="M935" t="s">
        <v>1163</v>
      </c>
      <c r="N935" s="57">
        <v>1300</v>
      </c>
      <c r="O935" t="s">
        <v>100</v>
      </c>
      <c r="P935" t="s">
        <v>93</v>
      </c>
      <c r="Q935" s="3">
        <v>46098</v>
      </c>
      <c r="R935" s="10">
        <f t="shared" ca="1" si="28"/>
        <v>46229</v>
      </c>
      <c r="S935" s="7">
        <f t="shared" ca="1" si="29"/>
        <v>0.35890410958904112</v>
      </c>
    </row>
    <row r="936" spans="1:19" x14ac:dyDescent="0.25">
      <c r="A936">
        <v>889822</v>
      </c>
      <c r="B936" t="s">
        <v>753</v>
      </c>
      <c r="C936" t="s">
        <v>17</v>
      </c>
      <c r="D936" s="6" t="s">
        <v>22</v>
      </c>
      <c r="E936" t="s">
        <v>69</v>
      </c>
      <c r="G936" s="6" t="s">
        <v>16</v>
      </c>
      <c r="H936" s="59" t="s">
        <v>1026</v>
      </c>
      <c r="I936" s="58" t="s">
        <v>1192</v>
      </c>
      <c r="J936" t="s">
        <v>1796</v>
      </c>
      <c r="K936" t="s">
        <v>823</v>
      </c>
      <c r="L936" t="s">
        <v>1038</v>
      </c>
      <c r="M936" t="s">
        <v>1163</v>
      </c>
      <c r="N936" s="57">
        <v>1300</v>
      </c>
      <c r="O936" t="s">
        <v>100</v>
      </c>
      <c r="P936" t="s">
        <v>93</v>
      </c>
      <c r="Q936" s="3">
        <v>45922</v>
      </c>
      <c r="R936" s="10">
        <f t="shared" ca="1" si="28"/>
        <v>46229</v>
      </c>
      <c r="S936" s="7">
        <f t="shared" ca="1" si="29"/>
        <v>0.84109589041095889</v>
      </c>
    </row>
    <row r="937" spans="1:19" x14ac:dyDescent="0.25">
      <c r="A937">
        <v>42884</v>
      </c>
      <c r="B937" t="s">
        <v>1779</v>
      </c>
      <c r="C937" t="s">
        <v>17</v>
      </c>
      <c r="D937" s="6" t="s">
        <v>22</v>
      </c>
      <c r="E937" t="s">
        <v>69</v>
      </c>
      <c r="G937" s="6" t="s">
        <v>16</v>
      </c>
      <c r="H937" s="59" t="s">
        <v>1026</v>
      </c>
      <c r="I937" s="58" t="s">
        <v>1192</v>
      </c>
      <c r="J937" t="s">
        <v>1796</v>
      </c>
      <c r="K937" t="s">
        <v>823</v>
      </c>
      <c r="L937" t="s">
        <v>25</v>
      </c>
      <c r="M937" t="s">
        <v>1163</v>
      </c>
      <c r="N937" s="57">
        <v>1300</v>
      </c>
      <c r="O937" t="s">
        <v>100</v>
      </c>
      <c r="P937" t="s">
        <v>93</v>
      </c>
      <c r="Q937" s="3">
        <v>44935</v>
      </c>
      <c r="R937" s="10">
        <f t="shared" ca="1" si="28"/>
        <v>46229</v>
      </c>
      <c r="S937" s="7">
        <f t="shared" ca="1" si="29"/>
        <v>3.5452054794520547</v>
      </c>
    </row>
    <row r="938" spans="1:19" x14ac:dyDescent="0.25">
      <c r="A938">
        <v>964528</v>
      </c>
      <c r="B938" t="s">
        <v>788</v>
      </c>
      <c r="C938" t="s">
        <v>17</v>
      </c>
      <c r="D938" s="6" t="s">
        <v>22</v>
      </c>
      <c r="E938" t="s">
        <v>69</v>
      </c>
      <c r="G938" s="6" t="s">
        <v>16</v>
      </c>
      <c r="H938" s="59" t="s">
        <v>1026</v>
      </c>
      <c r="I938" s="58" t="s">
        <v>1192</v>
      </c>
      <c r="J938" t="s">
        <v>1796</v>
      </c>
      <c r="K938" t="s">
        <v>823</v>
      </c>
      <c r="L938" t="s">
        <v>25</v>
      </c>
      <c r="M938" t="s">
        <v>1163</v>
      </c>
      <c r="N938" s="57">
        <v>1300</v>
      </c>
      <c r="O938" t="s">
        <v>100</v>
      </c>
      <c r="P938" t="s">
        <v>93</v>
      </c>
      <c r="Q938" s="3">
        <v>42499</v>
      </c>
      <c r="R938" s="10">
        <f t="shared" ca="1" si="28"/>
        <v>46229</v>
      </c>
      <c r="S938" s="7">
        <f t="shared" ca="1" si="29"/>
        <v>10.219178082191782</v>
      </c>
    </row>
    <row r="939" spans="1:19" x14ac:dyDescent="0.25">
      <c r="A939">
        <v>1010406</v>
      </c>
      <c r="B939" t="s">
        <v>122</v>
      </c>
      <c r="C939" t="s">
        <v>17</v>
      </c>
      <c r="D939" s="6" t="s">
        <v>22</v>
      </c>
      <c r="E939" t="s">
        <v>79</v>
      </c>
      <c r="G939" s="6" t="s">
        <v>971</v>
      </c>
      <c r="H939" s="59" t="s">
        <v>1021</v>
      </c>
      <c r="I939" s="58" t="s">
        <v>1221</v>
      </c>
      <c r="J939" t="s">
        <v>845</v>
      </c>
      <c r="K939" t="s">
        <v>31</v>
      </c>
      <c r="L939" t="s">
        <v>1038</v>
      </c>
      <c r="M939" t="s">
        <v>1163</v>
      </c>
      <c r="N939" s="57">
        <v>1300</v>
      </c>
      <c r="O939" t="s">
        <v>100</v>
      </c>
      <c r="P939" t="s">
        <v>93</v>
      </c>
      <c r="Q939" s="3">
        <v>44298</v>
      </c>
      <c r="R939" s="10">
        <f t="shared" ca="1" si="28"/>
        <v>46229</v>
      </c>
      <c r="S939" s="7">
        <f t="shared" ca="1" si="29"/>
        <v>5.2904109589041095</v>
      </c>
    </row>
    <row r="940" spans="1:19" x14ac:dyDescent="0.25">
      <c r="A940">
        <v>1159705</v>
      </c>
      <c r="B940" t="s">
        <v>1355</v>
      </c>
      <c r="C940" t="s">
        <v>17</v>
      </c>
      <c r="D940" s="6" t="s">
        <v>22</v>
      </c>
      <c r="E940" t="s">
        <v>43</v>
      </c>
      <c r="G940" s="6" t="s">
        <v>971</v>
      </c>
      <c r="H940" s="59" t="s">
        <v>1021</v>
      </c>
      <c r="I940" s="58" t="s">
        <v>1221</v>
      </c>
      <c r="J940" t="s">
        <v>845</v>
      </c>
      <c r="K940" t="s">
        <v>31</v>
      </c>
      <c r="L940" t="s">
        <v>1038</v>
      </c>
      <c r="M940" t="s">
        <v>1163</v>
      </c>
      <c r="N940" s="57">
        <v>1300</v>
      </c>
      <c r="O940" t="s">
        <v>100</v>
      </c>
      <c r="P940" t="s">
        <v>93</v>
      </c>
      <c r="Q940" s="3">
        <v>44774</v>
      </c>
      <c r="R940" s="10">
        <f t="shared" ca="1" si="28"/>
        <v>46229</v>
      </c>
      <c r="S940" s="7">
        <f t="shared" ca="1" si="29"/>
        <v>3.9863013698630136</v>
      </c>
    </row>
    <row r="941" spans="1:19" x14ac:dyDescent="0.25">
      <c r="A941">
        <v>1175256</v>
      </c>
      <c r="B941" t="s">
        <v>1166</v>
      </c>
      <c r="C941" t="s">
        <v>17</v>
      </c>
      <c r="D941" s="6" t="s">
        <v>22</v>
      </c>
      <c r="E941" t="s">
        <v>79</v>
      </c>
      <c r="G941" s="6" t="s">
        <v>971</v>
      </c>
      <c r="H941" s="59" t="s">
        <v>1021</v>
      </c>
      <c r="I941" s="58" t="s">
        <v>1221</v>
      </c>
      <c r="J941" t="s">
        <v>845</v>
      </c>
      <c r="K941" t="s">
        <v>31</v>
      </c>
      <c r="L941" t="s">
        <v>25</v>
      </c>
      <c r="M941" t="s">
        <v>1163</v>
      </c>
      <c r="N941" s="57">
        <v>1300</v>
      </c>
      <c r="O941" t="s">
        <v>100</v>
      </c>
      <c r="P941" t="s">
        <v>93</v>
      </c>
      <c r="Q941" s="3">
        <v>44991</v>
      </c>
      <c r="R941" s="10">
        <f t="shared" ca="1" si="28"/>
        <v>46229</v>
      </c>
      <c r="S941" s="7">
        <f t="shared" ca="1" si="29"/>
        <v>3.3917808219178083</v>
      </c>
    </row>
    <row r="942" spans="1:19" x14ac:dyDescent="0.25">
      <c r="A942">
        <v>1181089</v>
      </c>
      <c r="B942" t="s">
        <v>989</v>
      </c>
      <c r="C942" t="s">
        <v>17</v>
      </c>
      <c r="D942" s="6" t="s">
        <v>22</v>
      </c>
      <c r="E942" t="s">
        <v>79</v>
      </c>
      <c r="G942" s="6" t="s">
        <v>971</v>
      </c>
      <c r="H942" s="59" t="s">
        <v>1021</v>
      </c>
      <c r="I942" s="58" t="s">
        <v>1221</v>
      </c>
      <c r="J942" t="s">
        <v>845</v>
      </c>
      <c r="K942" t="s">
        <v>31</v>
      </c>
      <c r="L942" t="s">
        <v>1038</v>
      </c>
      <c r="M942" t="s">
        <v>1163</v>
      </c>
      <c r="N942" s="57">
        <v>1300</v>
      </c>
      <c r="O942" t="s">
        <v>100</v>
      </c>
      <c r="P942" t="s">
        <v>93</v>
      </c>
      <c r="Q942" s="3">
        <v>45145</v>
      </c>
      <c r="R942" s="10">
        <f t="shared" ca="1" si="28"/>
        <v>46229</v>
      </c>
      <c r="S942" s="7">
        <f t="shared" ca="1" si="29"/>
        <v>2.9698630136986299</v>
      </c>
    </row>
    <row r="943" spans="1:19" x14ac:dyDescent="0.25">
      <c r="A943">
        <v>1193047</v>
      </c>
      <c r="B943" t="s">
        <v>262</v>
      </c>
      <c r="C943" t="s">
        <v>17</v>
      </c>
      <c r="D943" s="6" t="s">
        <v>22</v>
      </c>
      <c r="E943" t="s">
        <v>43</v>
      </c>
      <c r="G943" s="6" t="s">
        <v>971</v>
      </c>
      <c r="H943" s="59" t="s">
        <v>1021</v>
      </c>
      <c r="I943" s="58" t="s">
        <v>1221</v>
      </c>
      <c r="J943" t="s">
        <v>845</v>
      </c>
      <c r="K943" t="s">
        <v>31</v>
      </c>
      <c r="L943" t="s">
        <v>25</v>
      </c>
      <c r="M943" t="s">
        <v>1163</v>
      </c>
      <c r="N943" s="57">
        <v>1300</v>
      </c>
      <c r="O943" t="s">
        <v>100</v>
      </c>
      <c r="P943" t="s">
        <v>93</v>
      </c>
      <c r="Q943" s="3">
        <v>45502</v>
      </c>
      <c r="R943" s="10">
        <f t="shared" ca="1" si="28"/>
        <v>46229</v>
      </c>
      <c r="S943" s="7">
        <f t="shared" ca="1" si="29"/>
        <v>1.9917808219178081</v>
      </c>
    </row>
    <row r="944" spans="1:19" x14ac:dyDescent="0.25">
      <c r="A944">
        <v>1206399</v>
      </c>
      <c r="B944" t="s">
        <v>994</v>
      </c>
      <c r="C944" t="s">
        <v>17</v>
      </c>
      <c r="D944" s="6" t="s">
        <v>22</v>
      </c>
      <c r="E944" t="s">
        <v>79</v>
      </c>
      <c r="G944" s="6" t="s">
        <v>971</v>
      </c>
      <c r="H944" s="59" t="s">
        <v>1021</v>
      </c>
      <c r="I944" s="58" t="s">
        <v>1221</v>
      </c>
      <c r="J944" t="s">
        <v>845</v>
      </c>
      <c r="K944" t="s">
        <v>31</v>
      </c>
      <c r="L944" t="s">
        <v>25</v>
      </c>
      <c r="M944" t="s">
        <v>1163</v>
      </c>
      <c r="N944" s="57">
        <v>1300</v>
      </c>
      <c r="O944" t="s">
        <v>100</v>
      </c>
      <c r="P944" t="s">
        <v>93</v>
      </c>
      <c r="Q944" s="3">
        <v>45768</v>
      </c>
      <c r="R944" s="10">
        <f t="shared" ca="1" si="28"/>
        <v>46229</v>
      </c>
      <c r="S944" s="7">
        <f t="shared" ca="1" si="29"/>
        <v>1.263013698630137</v>
      </c>
    </row>
    <row r="945" spans="1:19" x14ac:dyDescent="0.25">
      <c r="A945">
        <v>1227154</v>
      </c>
      <c r="B945" t="s">
        <v>1047</v>
      </c>
      <c r="C945" t="s">
        <v>17</v>
      </c>
      <c r="D945" s="6" t="s">
        <v>22</v>
      </c>
      <c r="E945" t="s">
        <v>79</v>
      </c>
      <c r="G945" s="6" t="s">
        <v>971</v>
      </c>
      <c r="H945" s="59" t="s">
        <v>1021</v>
      </c>
      <c r="I945" s="58" t="s">
        <v>1221</v>
      </c>
      <c r="J945" t="s">
        <v>845</v>
      </c>
      <c r="K945" t="s">
        <v>31</v>
      </c>
      <c r="L945" t="s">
        <v>25</v>
      </c>
      <c r="M945" t="s">
        <v>1163</v>
      </c>
      <c r="N945" s="57">
        <v>1300</v>
      </c>
      <c r="O945" t="s">
        <v>100</v>
      </c>
      <c r="P945" t="s">
        <v>93</v>
      </c>
      <c r="Q945" s="3">
        <v>46076</v>
      </c>
      <c r="R945" s="10">
        <f t="shared" ca="1" si="28"/>
        <v>46229</v>
      </c>
      <c r="S945" s="7">
        <f t="shared" ca="1" si="29"/>
        <v>0.41917808219178082</v>
      </c>
    </row>
    <row r="946" spans="1:19" x14ac:dyDescent="0.25">
      <c r="A946">
        <v>1228569</v>
      </c>
      <c r="B946" t="s">
        <v>1152</v>
      </c>
      <c r="C946" t="s">
        <v>17</v>
      </c>
      <c r="D946" s="6" t="s">
        <v>22</v>
      </c>
      <c r="E946" t="s">
        <v>79</v>
      </c>
      <c r="G946" s="6" t="s">
        <v>971</v>
      </c>
      <c r="H946" s="59" t="s">
        <v>1021</v>
      </c>
      <c r="I946" s="58" t="s">
        <v>1221</v>
      </c>
      <c r="J946" t="s">
        <v>845</v>
      </c>
      <c r="K946" t="s">
        <v>31</v>
      </c>
      <c r="L946" t="s">
        <v>25</v>
      </c>
      <c r="M946" t="s">
        <v>1163</v>
      </c>
      <c r="N946" s="57">
        <v>1300</v>
      </c>
      <c r="O946" t="s">
        <v>100</v>
      </c>
      <c r="P946" t="s">
        <v>93</v>
      </c>
      <c r="Q946" s="3">
        <v>46098</v>
      </c>
      <c r="R946" s="10">
        <f t="shared" ca="1" si="28"/>
        <v>46229</v>
      </c>
      <c r="S946" s="7">
        <f t="shared" ca="1" si="29"/>
        <v>0.35890410958904112</v>
      </c>
    </row>
    <row r="947" spans="1:19" x14ac:dyDescent="0.25">
      <c r="A947">
        <v>1228570</v>
      </c>
      <c r="B947" t="s">
        <v>1153</v>
      </c>
      <c r="C947" t="s">
        <v>17</v>
      </c>
      <c r="D947" s="6" t="s">
        <v>22</v>
      </c>
      <c r="E947" t="s">
        <v>79</v>
      </c>
      <c r="G947" s="6" t="s">
        <v>971</v>
      </c>
      <c r="H947" s="59" t="s">
        <v>1021</v>
      </c>
      <c r="I947" s="58" t="s">
        <v>1221</v>
      </c>
      <c r="J947" t="s">
        <v>845</v>
      </c>
      <c r="K947" t="s">
        <v>31</v>
      </c>
      <c r="L947" t="s">
        <v>1038</v>
      </c>
      <c r="M947" t="s">
        <v>1163</v>
      </c>
      <c r="N947" s="57">
        <v>1300</v>
      </c>
      <c r="O947" t="s">
        <v>100</v>
      </c>
      <c r="P947" t="s">
        <v>93</v>
      </c>
      <c r="Q947" s="3">
        <v>46098</v>
      </c>
      <c r="R947" s="10">
        <f t="shared" ca="1" si="28"/>
        <v>46229</v>
      </c>
      <c r="S947" s="7">
        <f t="shared" ca="1" si="29"/>
        <v>0.35890410958904112</v>
      </c>
    </row>
    <row r="948" spans="1:19" x14ac:dyDescent="0.25">
      <c r="A948">
        <v>1228572</v>
      </c>
      <c r="B948" t="s">
        <v>1154</v>
      </c>
      <c r="C948" t="s">
        <v>17</v>
      </c>
      <c r="D948" s="6" t="s">
        <v>22</v>
      </c>
      <c r="E948" t="s">
        <v>79</v>
      </c>
      <c r="G948" s="6" t="s">
        <v>971</v>
      </c>
      <c r="H948" s="59" t="s">
        <v>1021</v>
      </c>
      <c r="I948" s="58" t="s">
        <v>1221</v>
      </c>
      <c r="J948" t="s">
        <v>845</v>
      </c>
      <c r="K948" t="s">
        <v>31</v>
      </c>
      <c r="L948" t="s">
        <v>91</v>
      </c>
      <c r="M948" t="s">
        <v>1163</v>
      </c>
      <c r="N948" s="57">
        <v>1300</v>
      </c>
      <c r="O948" t="s">
        <v>100</v>
      </c>
      <c r="P948" t="s">
        <v>93</v>
      </c>
      <c r="Q948" s="3">
        <v>46098</v>
      </c>
      <c r="R948" s="10">
        <f t="shared" ca="1" si="28"/>
        <v>46229</v>
      </c>
      <c r="S948" s="7">
        <f t="shared" ca="1" si="29"/>
        <v>0.35890410958904112</v>
      </c>
    </row>
    <row r="949" spans="1:19" x14ac:dyDescent="0.25">
      <c r="A949">
        <v>1229739</v>
      </c>
      <c r="B949" t="s">
        <v>1196</v>
      </c>
      <c r="C949" t="s">
        <v>17</v>
      </c>
      <c r="D949" s="6" t="s">
        <v>22</v>
      </c>
      <c r="E949" t="s">
        <v>79</v>
      </c>
      <c r="G949" s="6" t="s">
        <v>971</v>
      </c>
      <c r="H949" s="59" t="s">
        <v>1021</v>
      </c>
      <c r="I949" s="58" t="s">
        <v>1221</v>
      </c>
      <c r="J949" t="s">
        <v>845</v>
      </c>
      <c r="K949" t="s">
        <v>31</v>
      </c>
      <c r="L949" t="s">
        <v>1038</v>
      </c>
      <c r="M949" t="s">
        <v>1163</v>
      </c>
      <c r="N949" s="57">
        <v>1300</v>
      </c>
      <c r="O949" t="s">
        <v>100</v>
      </c>
      <c r="P949" t="s">
        <v>93</v>
      </c>
      <c r="Q949" s="3">
        <v>46118</v>
      </c>
      <c r="R949" s="10">
        <f t="shared" ca="1" si="28"/>
        <v>46229</v>
      </c>
      <c r="S949" s="7">
        <f t="shared" ca="1" si="29"/>
        <v>0.30410958904109592</v>
      </c>
    </row>
    <row r="950" spans="1:19" x14ac:dyDescent="0.25">
      <c r="A950">
        <v>1232854</v>
      </c>
      <c r="B950" t="s">
        <v>1507</v>
      </c>
      <c r="C950" t="s">
        <v>17</v>
      </c>
      <c r="D950" s="6" t="s">
        <v>22</v>
      </c>
      <c r="E950" t="s">
        <v>79</v>
      </c>
      <c r="G950" s="6" t="s">
        <v>971</v>
      </c>
      <c r="H950" s="59" t="s">
        <v>1021</v>
      </c>
      <c r="I950" s="58" t="s">
        <v>1221</v>
      </c>
      <c r="J950" t="s">
        <v>845</v>
      </c>
      <c r="K950" t="s">
        <v>31</v>
      </c>
      <c r="L950" t="s">
        <v>1038</v>
      </c>
      <c r="M950" t="s">
        <v>1163</v>
      </c>
      <c r="N950" s="57">
        <v>1300</v>
      </c>
      <c r="O950" t="s">
        <v>100</v>
      </c>
      <c r="P950" t="s">
        <v>93</v>
      </c>
      <c r="Q950" s="3">
        <v>46167</v>
      </c>
      <c r="R950" s="10">
        <f t="shared" ca="1" si="28"/>
        <v>46229</v>
      </c>
      <c r="S950" s="7">
        <f t="shared" ca="1" si="29"/>
        <v>0.16986301369863013</v>
      </c>
    </row>
    <row r="951" spans="1:19" x14ac:dyDescent="0.25">
      <c r="A951">
        <v>1232859</v>
      </c>
      <c r="B951" t="s">
        <v>1508</v>
      </c>
      <c r="C951" t="s">
        <v>17</v>
      </c>
      <c r="D951" s="6" t="s">
        <v>22</v>
      </c>
      <c r="E951" t="s">
        <v>79</v>
      </c>
      <c r="G951" s="6" t="s">
        <v>971</v>
      </c>
      <c r="H951" s="59" t="s">
        <v>1021</v>
      </c>
      <c r="I951" s="58" t="s">
        <v>1221</v>
      </c>
      <c r="J951" t="s">
        <v>845</v>
      </c>
      <c r="K951" t="s">
        <v>31</v>
      </c>
      <c r="L951" t="s">
        <v>1038</v>
      </c>
      <c r="M951" t="s">
        <v>1163</v>
      </c>
      <c r="N951" s="57">
        <v>1300</v>
      </c>
      <c r="O951" t="s">
        <v>100</v>
      </c>
      <c r="P951" t="s">
        <v>93</v>
      </c>
      <c r="Q951" s="3">
        <v>46167</v>
      </c>
      <c r="R951" s="10">
        <f t="shared" ca="1" si="28"/>
        <v>46229</v>
      </c>
      <c r="S951" s="7">
        <f t="shared" ca="1" si="29"/>
        <v>0.16986301369863013</v>
      </c>
    </row>
    <row r="952" spans="1:19" x14ac:dyDescent="0.25">
      <c r="A952">
        <v>3000674</v>
      </c>
      <c r="B952" t="s">
        <v>1512</v>
      </c>
      <c r="C952" t="s">
        <v>17</v>
      </c>
      <c r="D952" s="6" t="s">
        <v>22</v>
      </c>
      <c r="E952" t="s">
        <v>79</v>
      </c>
      <c r="G952" s="6" t="s">
        <v>971</v>
      </c>
      <c r="H952" s="59" t="s">
        <v>1021</v>
      </c>
      <c r="I952" s="58" t="s">
        <v>1221</v>
      </c>
      <c r="J952" t="s">
        <v>845</v>
      </c>
      <c r="K952" t="s">
        <v>31</v>
      </c>
      <c r="L952" t="s">
        <v>25</v>
      </c>
      <c r="M952" t="s">
        <v>1163</v>
      </c>
      <c r="N952" s="57">
        <v>1300</v>
      </c>
      <c r="O952" t="s">
        <v>100</v>
      </c>
      <c r="P952" t="s">
        <v>93</v>
      </c>
      <c r="Q952" s="3">
        <v>46167</v>
      </c>
      <c r="R952" s="10">
        <f t="shared" ca="1" si="28"/>
        <v>46229</v>
      </c>
      <c r="S952" s="7">
        <f t="shared" ca="1" si="29"/>
        <v>0.16986301369863013</v>
      </c>
    </row>
    <row r="953" spans="1:19" x14ac:dyDescent="0.25">
      <c r="A953">
        <v>3008529</v>
      </c>
      <c r="B953" t="s">
        <v>1201</v>
      </c>
      <c r="C953" t="s">
        <v>17</v>
      </c>
      <c r="D953" s="6" t="s">
        <v>22</v>
      </c>
      <c r="E953" t="s">
        <v>79</v>
      </c>
      <c r="G953" s="6" t="s">
        <v>971</v>
      </c>
      <c r="H953" s="59" t="s">
        <v>1021</v>
      </c>
      <c r="I953" s="58" t="s">
        <v>1221</v>
      </c>
      <c r="J953" t="s">
        <v>845</v>
      </c>
      <c r="K953" t="s">
        <v>31</v>
      </c>
      <c r="L953" t="s">
        <v>91</v>
      </c>
      <c r="M953" t="s">
        <v>1163</v>
      </c>
      <c r="N953" s="57">
        <v>1300</v>
      </c>
      <c r="O953" t="s">
        <v>100</v>
      </c>
      <c r="P953" t="s">
        <v>93</v>
      </c>
      <c r="Q953" s="3">
        <v>43374</v>
      </c>
      <c r="R953" s="10">
        <f t="shared" ca="1" si="28"/>
        <v>46229</v>
      </c>
      <c r="S953" s="7">
        <f t="shared" ca="1" si="29"/>
        <v>7.8219178082191778</v>
      </c>
    </row>
    <row r="954" spans="1:19" x14ac:dyDescent="0.25">
      <c r="A954">
        <v>4029921</v>
      </c>
      <c r="B954" t="s">
        <v>998</v>
      </c>
      <c r="C954" t="s">
        <v>17</v>
      </c>
      <c r="D954" s="6" t="s">
        <v>22</v>
      </c>
      <c r="E954" t="s">
        <v>79</v>
      </c>
      <c r="G954" s="6" t="s">
        <v>971</v>
      </c>
      <c r="H954" s="59" t="s">
        <v>1021</v>
      </c>
      <c r="I954" s="58" t="s">
        <v>1221</v>
      </c>
      <c r="J954" t="s">
        <v>845</v>
      </c>
      <c r="K954" t="s">
        <v>31</v>
      </c>
      <c r="L954" t="s">
        <v>25</v>
      </c>
      <c r="M954" t="s">
        <v>1163</v>
      </c>
      <c r="N954" s="57">
        <v>1300</v>
      </c>
      <c r="O954" t="s">
        <v>100</v>
      </c>
      <c r="P954" t="s">
        <v>93</v>
      </c>
      <c r="Q954" s="3">
        <v>45628</v>
      </c>
      <c r="R954" s="10">
        <f t="shared" ca="1" si="28"/>
        <v>46229</v>
      </c>
      <c r="S954" s="7">
        <f t="shared" ca="1" si="29"/>
        <v>1.6465753424657534</v>
      </c>
    </row>
    <row r="955" spans="1:19" x14ac:dyDescent="0.25">
      <c r="A955">
        <v>4039922</v>
      </c>
      <c r="B955" t="s">
        <v>999</v>
      </c>
      <c r="C955" t="s">
        <v>17</v>
      </c>
      <c r="D955" s="6" t="s">
        <v>22</v>
      </c>
      <c r="E955" t="s">
        <v>79</v>
      </c>
      <c r="G955" s="6" t="s">
        <v>971</v>
      </c>
      <c r="H955" s="59" t="s">
        <v>1021</v>
      </c>
      <c r="I955" s="58" t="s">
        <v>1221</v>
      </c>
      <c r="J955" t="s">
        <v>845</v>
      </c>
      <c r="K955" t="s">
        <v>31</v>
      </c>
      <c r="L955" t="s">
        <v>25</v>
      </c>
      <c r="M955" t="s">
        <v>1163</v>
      </c>
      <c r="N955" s="57">
        <v>1300</v>
      </c>
      <c r="O955" t="s">
        <v>100</v>
      </c>
      <c r="P955" t="s">
        <v>93</v>
      </c>
      <c r="Q955" s="3">
        <v>45495</v>
      </c>
      <c r="R955" s="10">
        <f t="shared" ca="1" si="28"/>
        <v>46229</v>
      </c>
      <c r="S955" s="7">
        <f t="shared" ca="1" si="29"/>
        <v>2.010958904109589</v>
      </c>
    </row>
    <row r="956" spans="1:19" x14ac:dyDescent="0.25">
      <c r="A956">
        <v>4052992</v>
      </c>
      <c r="B956" t="s">
        <v>1202</v>
      </c>
      <c r="C956" t="s">
        <v>17</v>
      </c>
      <c r="D956" s="6" t="s">
        <v>22</v>
      </c>
      <c r="E956" t="s">
        <v>79</v>
      </c>
      <c r="G956" s="6" t="s">
        <v>971</v>
      </c>
      <c r="H956" s="59" t="s">
        <v>1021</v>
      </c>
      <c r="I956" s="58" t="s">
        <v>1221</v>
      </c>
      <c r="J956" t="s">
        <v>845</v>
      </c>
      <c r="K956" t="s">
        <v>31</v>
      </c>
      <c r="L956" t="s">
        <v>91</v>
      </c>
      <c r="M956" t="s">
        <v>1163</v>
      </c>
      <c r="N956" s="57">
        <v>1300</v>
      </c>
      <c r="O956" t="s">
        <v>100</v>
      </c>
      <c r="P956" t="s">
        <v>93</v>
      </c>
      <c r="Q956" s="3">
        <v>44623</v>
      </c>
      <c r="R956" s="10">
        <f t="shared" ca="1" si="28"/>
        <v>46229</v>
      </c>
      <c r="S956" s="7">
        <f t="shared" ca="1" si="29"/>
        <v>4.4000000000000004</v>
      </c>
    </row>
    <row r="957" spans="1:19" x14ac:dyDescent="0.25">
      <c r="A957">
        <v>572580</v>
      </c>
      <c r="B957" t="s">
        <v>1004</v>
      </c>
      <c r="C957" t="s">
        <v>17</v>
      </c>
      <c r="D957" s="6" t="s">
        <v>22</v>
      </c>
      <c r="E957" t="s">
        <v>79</v>
      </c>
      <c r="G957" s="6" t="s">
        <v>971</v>
      </c>
      <c r="H957" s="59" t="s">
        <v>1021</v>
      </c>
      <c r="I957" s="58" t="s">
        <v>1221</v>
      </c>
      <c r="J957" t="s">
        <v>845</v>
      </c>
      <c r="K957" t="s">
        <v>31</v>
      </c>
      <c r="L957" t="s">
        <v>91</v>
      </c>
      <c r="M957" t="s">
        <v>1163</v>
      </c>
      <c r="N957" s="57">
        <v>1300</v>
      </c>
      <c r="O957" t="s">
        <v>100</v>
      </c>
      <c r="P957" t="s">
        <v>93</v>
      </c>
      <c r="Q957" s="3">
        <v>44585</v>
      </c>
      <c r="R957" s="10">
        <f t="shared" ca="1" si="28"/>
        <v>46229</v>
      </c>
      <c r="S957" s="7">
        <f t="shared" ca="1" si="29"/>
        <v>4.5041095890410956</v>
      </c>
    </row>
    <row r="958" spans="1:19" x14ac:dyDescent="0.25">
      <c r="A958">
        <v>580661</v>
      </c>
      <c r="B958" t="s">
        <v>714</v>
      </c>
      <c r="C958" t="s">
        <v>17</v>
      </c>
      <c r="D958" s="6" t="s">
        <v>22</v>
      </c>
      <c r="E958" t="s">
        <v>79</v>
      </c>
      <c r="G958" s="6" t="s">
        <v>971</v>
      </c>
      <c r="H958" s="59" t="s">
        <v>1021</v>
      </c>
      <c r="I958" s="58" t="s">
        <v>1221</v>
      </c>
      <c r="J958" t="s">
        <v>845</v>
      </c>
      <c r="K958" t="s">
        <v>31</v>
      </c>
      <c r="L958" t="s">
        <v>91</v>
      </c>
      <c r="M958" t="s">
        <v>1163</v>
      </c>
      <c r="N958" s="57">
        <v>1300</v>
      </c>
      <c r="O958" t="s">
        <v>100</v>
      </c>
      <c r="P958" t="s">
        <v>93</v>
      </c>
      <c r="Q958" s="3">
        <v>45635</v>
      </c>
      <c r="R958" s="10">
        <f t="shared" ca="1" si="28"/>
        <v>46229</v>
      </c>
      <c r="S958" s="7">
        <f t="shared" ca="1" si="29"/>
        <v>1.6273972602739726</v>
      </c>
    </row>
    <row r="959" spans="1:19" x14ac:dyDescent="0.25">
      <c r="A959">
        <v>800147</v>
      </c>
      <c r="B959" t="s">
        <v>727</v>
      </c>
      <c r="C959" t="s">
        <v>17</v>
      </c>
      <c r="D959" s="6" t="s">
        <v>22</v>
      </c>
      <c r="E959" t="s">
        <v>79</v>
      </c>
      <c r="G959" s="6" t="s">
        <v>971</v>
      </c>
      <c r="H959" s="59" t="s">
        <v>1021</v>
      </c>
      <c r="I959" s="58" t="s">
        <v>1221</v>
      </c>
      <c r="J959" t="s">
        <v>845</v>
      </c>
      <c r="K959" t="s">
        <v>31</v>
      </c>
      <c r="L959" t="s">
        <v>1038</v>
      </c>
      <c r="M959" t="s">
        <v>1163</v>
      </c>
      <c r="N959" s="57">
        <v>1300</v>
      </c>
      <c r="O959" t="s">
        <v>100</v>
      </c>
      <c r="P959" t="s">
        <v>93</v>
      </c>
      <c r="Q959" s="3">
        <v>41281</v>
      </c>
      <c r="R959" s="10">
        <f t="shared" ca="1" si="28"/>
        <v>46229</v>
      </c>
      <c r="S959" s="7">
        <f t="shared" ca="1" si="29"/>
        <v>13.556164383561644</v>
      </c>
    </row>
    <row r="960" spans="1:19" x14ac:dyDescent="0.25">
      <c r="A960">
        <v>966376</v>
      </c>
      <c r="B960" t="s">
        <v>1173</v>
      </c>
      <c r="C960" t="s">
        <v>17</v>
      </c>
      <c r="D960" s="6" t="s">
        <v>22</v>
      </c>
      <c r="E960" t="s">
        <v>79</v>
      </c>
      <c r="G960" s="6" t="s">
        <v>971</v>
      </c>
      <c r="H960" s="59" t="s">
        <v>1021</v>
      </c>
      <c r="I960" s="58" t="s">
        <v>1221</v>
      </c>
      <c r="J960" t="s">
        <v>845</v>
      </c>
      <c r="K960" t="s">
        <v>31</v>
      </c>
      <c r="L960" t="s">
        <v>91</v>
      </c>
      <c r="M960" t="s">
        <v>1163</v>
      </c>
      <c r="N960" s="57">
        <v>1300</v>
      </c>
      <c r="O960" t="s">
        <v>100</v>
      </c>
      <c r="P960" t="s">
        <v>93</v>
      </c>
      <c r="Q960" s="3">
        <v>42639</v>
      </c>
      <c r="R960" s="10">
        <f t="shared" ca="1" si="28"/>
        <v>46229</v>
      </c>
      <c r="S960" s="7">
        <f t="shared" ca="1" si="29"/>
        <v>9.8356164383561637</v>
      </c>
    </row>
    <row r="961" spans="1:19" x14ac:dyDescent="0.25">
      <c r="A961">
        <v>993291</v>
      </c>
      <c r="B961" t="s">
        <v>813</v>
      </c>
      <c r="C961" t="s">
        <v>17</v>
      </c>
      <c r="D961" s="6" t="s">
        <v>22</v>
      </c>
      <c r="E961" t="s">
        <v>43</v>
      </c>
      <c r="G961" s="6" t="s">
        <v>971</v>
      </c>
      <c r="H961" s="59" t="s">
        <v>1021</v>
      </c>
      <c r="I961" s="58" t="s">
        <v>1221</v>
      </c>
      <c r="J961" t="s">
        <v>845</v>
      </c>
      <c r="K961" t="s">
        <v>31</v>
      </c>
      <c r="L961" t="s">
        <v>91</v>
      </c>
      <c r="M961" t="s">
        <v>1163</v>
      </c>
      <c r="N961" s="57">
        <v>1300</v>
      </c>
      <c r="O961" t="s">
        <v>100</v>
      </c>
      <c r="P961" t="s">
        <v>93</v>
      </c>
      <c r="Q961" s="3">
        <v>44326</v>
      </c>
      <c r="R961" s="10">
        <f t="shared" ca="1" si="28"/>
        <v>46229</v>
      </c>
      <c r="S961" s="7">
        <f t="shared" ca="1" si="29"/>
        <v>5.2136986301369861</v>
      </c>
    </row>
    <row r="962" spans="1:19" x14ac:dyDescent="0.25">
      <c r="A962">
        <v>28363</v>
      </c>
      <c r="B962" t="s">
        <v>341</v>
      </c>
      <c r="C962" t="s">
        <v>17</v>
      </c>
      <c r="D962" s="6" t="s">
        <v>22</v>
      </c>
      <c r="E962" t="s">
        <v>55</v>
      </c>
      <c r="G962" s="6" t="s">
        <v>968</v>
      </c>
      <c r="H962" s="59" t="s">
        <v>1020</v>
      </c>
      <c r="I962" s="58" t="s">
        <v>1831</v>
      </c>
      <c r="J962" t="s">
        <v>839</v>
      </c>
      <c r="K962" t="s">
        <v>830</v>
      </c>
      <c r="L962" t="s">
        <v>25</v>
      </c>
      <c r="M962" t="s">
        <v>1163</v>
      </c>
      <c r="N962" s="57">
        <v>1200</v>
      </c>
      <c r="O962" t="s">
        <v>100</v>
      </c>
      <c r="P962" t="s">
        <v>93</v>
      </c>
      <c r="Q962" s="3">
        <v>39524</v>
      </c>
      <c r="R962" s="10">
        <f t="shared" ca="1" si="28"/>
        <v>46229</v>
      </c>
      <c r="S962" s="7">
        <f t="shared" ca="1" si="29"/>
        <v>18.36986301369863</v>
      </c>
    </row>
    <row r="963" spans="1:19" x14ac:dyDescent="0.25">
      <c r="A963">
        <v>3002373</v>
      </c>
      <c r="B963" t="s">
        <v>1050</v>
      </c>
      <c r="C963" t="s">
        <v>17</v>
      </c>
      <c r="D963" s="6" t="s">
        <v>22</v>
      </c>
      <c r="E963" t="s">
        <v>21</v>
      </c>
      <c r="G963" s="6" t="s">
        <v>968</v>
      </c>
      <c r="H963" s="59" t="s">
        <v>1020</v>
      </c>
      <c r="I963" s="58" t="s">
        <v>1831</v>
      </c>
      <c r="J963" t="s">
        <v>839</v>
      </c>
      <c r="K963" t="s">
        <v>830</v>
      </c>
      <c r="L963" t="s">
        <v>25</v>
      </c>
      <c r="M963" t="s">
        <v>1163</v>
      </c>
      <c r="N963" s="57">
        <v>1200</v>
      </c>
      <c r="O963" t="s">
        <v>100</v>
      </c>
      <c r="P963" t="s">
        <v>93</v>
      </c>
      <c r="Q963" s="3">
        <v>46072</v>
      </c>
      <c r="R963" s="10">
        <f t="shared" ref="R963:R1026" ca="1" si="30">TODAY()</f>
        <v>46229</v>
      </c>
      <c r="S963" s="7">
        <f t="shared" ref="S963:S1021" ca="1" si="31">(R963-Q963)/365</f>
        <v>0.43013698630136987</v>
      </c>
    </row>
    <row r="964" spans="1:19" x14ac:dyDescent="0.25">
      <c r="A964">
        <v>4012109</v>
      </c>
      <c r="B964" t="s">
        <v>1229</v>
      </c>
      <c r="C964" t="s">
        <v>1044</v>
      </c>
      <c r="D964" s="6" t="s">
        <v>22</v>
      </c>
      <c r="E964" t="s">
        <v>21</v>
      </c>
      <c r="G964" s="6" t="s">
        <v>968</v>
      </c>
      <c r="H964" s="59" t="s">
        <v>1020</v>
      </c>
      <c r="I964" s="58" t="s">
        <v>1831</v>
      </c>
      <c r="J964" t="s">
        <v>839</v>
      </c>
      <c r="K964" t="s">
        <v>830</v>
      </c>
      <c r="L964" t="s">
        <v>25</v>
      </c>
      <c r="M964" t="s">
        <v>1163</v>
      </c>
      <c r="N964" s="57">
        <v>1200</v>
      </c>
      <c r="O964" t="s">
        <v>100</v>
      </c>
      <c r="P964" t="s">
        <v>93</v>
      </c>
      <c r="Q964" s="3">
        <v>46121</v>
      </c>
      <c r="R964" s="10">
        <f t="shared" ca="1" si="30"/>
        <v>46229</v>
      </c>
      <c r="S964" s="7">
        <f t="shared" ca="1" si="31"/>
        <v>0.29589041095890412</v>
      </c>
    </row>
    <row r="965" spans="1:19" x14ac:dyDescent="0.25">
      <c r="A965">
        <v>4016786</v>
      </c>
      <c r="B965" t="s">
        <v>1230</v>
      </c>
      <c r="C965" t="s">
        <v>1044</v>
      </c>
      <c r="D965" s="6" t="s">
        <v>22</v>
      </c>
      <c r="E965" t="s">
        <v>21</v>
      </c>
      <c r="G965" s="6" t="s">
        <v>968</v>
      </c>
      <c r="H965" s="59" t="s">
        <v>1020</v>
      </c>
      <c r="I965" s="58" t="s">
        <v>1831</v>
      </c>
      <c r="J965" t="s">
        <v>839</v>
      </c>
      <c r="K965" t="s">
        <v>830</v>
      </c>
      <c r="L965" t="s">
        <v>25</v>
      </c>
      <c r="M965" t="s">
        <v>1163</v>
      </c>
      <c r="N965" s="57">
        <v>1200</v>
      </c>
      <c r="O965" t="s">
        <v>100</v>
      </c>
      <c r="P965" t="s">
        <v>93</v>
      </c>
      <c r="Q965" s="3">
        <v>46121</v>
      </c>
      <c r="R965" s="10">
        <f t="shared" ca="1" si="30"/>
        <v>46229</v>
      </c>
      <c r="S965" s="7">
        <f t="shared" ca="1" si="31"/>
        <v>0.29589041095890412</v>
      </c>
    </row>
    <row r="966" spans="1:19" x14ac:dyDescent="0.25">
      <c r="A966">
        <v>4088079</v>
      </c>
      <c r="B966" t="s">
        <v>1514</v>
      </c>
      <c r="C966" t="s">
        <v>1044</v>
      </c>
      <c r="D966" s="6" t="s">
        <v>22</v>
      </c>
      <c r="E966" t="s">
        <v>21</v>
      </c>
      <c r="G966" s="6" t="s">
        <v>968</v>
      </c>
      <c r="H966" s="59" t="s">
        <v>1020</v>
      </c>
      <c r="I966" s="58" t="s">
        <v>1831</v>
      </c>
      <c r="J966" t="s">
        <v>839</v>
      </c>
      <c r="K966" t="s">
        <v>830</v>
      </c>
      <c r="L966" t="s">
        <v>25</v>
      </c>
      <c r="M966" t="s">
        <v>1163</v>
      </c>
      <c r="N966" s="57">
        <v>1200</v>
      </c>
      <c r="O966" t="s">
        <v>100</v>
      </c>
      <c r="P966" t="s">
        <v>93</v>
      </c>
      <c r="Q966" s="3">
        <v>46163</v>
      </c>
      <c r="R966" s="10">
        <f t="shared" ca="1" si="30"/>
        <v>46229</v>
      </c>
      <c r="S966" s="7">
        <f t="shared" ca="1" si="31"/>
        <v>0.18082191780821918</v>
      </c>
    </row>
    <row r="967" spans="1:19" x14ac:dyDescent="0.25">
      <c r="A967">
        <v>4101001</v>
      </c>
      <c r="B967" t="s">
        <v>617</v>
      </c>
      <c r="C967" t="s">
        <v>17</v>
      </c>
      <c r="D967" s="6" t="s">
        <v>22</v>
      </c>
      <c r="E967" t="s">
        <v>55</v>
      </c>
      <c r="G967" s="6" t="s">
        <v>968</v>
      </c>
      <c r="H967" s="59" t="s">
        <v>1020</v>
      </c>
      <c r="I967" s="58" t="s">
        <v>1831</v>
      </c>
      <c r="J967" t="s">
        <v>839</v>
      </c>
      <c r="K967" t="s">
        <v>830</v>
      </c>
      <c r="L967" t="s">
        <v>25</v>
      </c>
      <c r="M967" t="s">
        <v>1163</v>
      </c>
      <c r="N967" s="57">
        <v>1200</v>
      </c>
      <c r="O967" t="s">
        <v>100</v>
      </c>
      <c r="P967" t="s">
        <v>93</v>
      </c>
      <c r="Q967" s="3">
        <v>45446</v>
      </c>
      <c r="R967" s="10">
        <f t="shared" ca="1" si="30"/>
        <v>46229</v>
      </c>
      <c r="S967" s="7">
        <f t="shared" ca="1" si="31"/>
        <v>2.1452054794520548</v>
      </c>
    </row>
    <row r="968" spans="1:19" x14ac:dyDescent="0.25">
      <c r="A968">
        <v>4110398</v>
      </c>
      <c r="B968" t="s">
        <v>672</v>
      </c>
      <c r="C968" t="s">
        <v>17</v>
      </c>
      <c r="D968" s="6" t="s">
        <v>22</v>
      </c>
      <c r="E968" t="s">
        <v>21</v>
      </c>
      <c r="G968" s="6" t="s">
        <v>968</v>
      </c>
      <c r="H968" s="59" t="s">
        <v>1020</v>
      </c>
      <c r="I968" s="58" t="s">
        <v>1831</v>
      </c>
      <c r="J968" t="s">
        <v>839</v>
      </c>
      <c r="K968" t="s">
        <v>830</v>
      </c>
      <c r="L968" t="s">
        <v>25</v>
      </c>
      <c r="M968" t="s">
        <v>1163</v>
      </c>
      <c r="N968" s="57">
        <v>1200</v>
      </c>
      <c r="O968" t="s">
        <v>100</v>
      </c>
      <c r="P968" t="s">
        <v>93</v>
      </c>
      <c r="Q968" s="3">
        <v>45677</v>
      </c>
      <c r="R968" s="10">
        <f t="shared" ca="1" si="30"/>
        <v>46229</v>
      </c>
      <c r="S968" s="7">
        <f t="shared" ca="1" si="31"/>
        <v>1.5123287671232877</v>
      </c>
    </row>
    <row r="969" spans="1:19" x14ac:dyDescent="0.25">
      <c r="A969">
        <v>4113241</v>
      </c>
      <c r="B969" t="s">
        <v>1248</v>
      </c>
      <c r="C969" t="s">
        <v>1044</v>
      </c>
      <c r="D969" s="6" t="s">
        <v>22</v>
      </c>
      <c r="E969" t="s">
        <v>21</v>
      </c>
      <c r="G969" s="6" t="s">
        <v>968</v>
      </c>
      <c r="H969" s="59" t="s">
        <v>1020</v>
      </c>
      <c r="I969" s="58" t="s">
        <v>1831</v>
      </c>
      <c r="J969" t="s">
        <v>839</v>
      </c>
      <c r="K969" t="s">
        <v>830</v>
      </c>
      <c r="L969" t="s">
        <v>25</v>
      </c>
      <c r="M969" t="s">
        <v>1163</v>
      </c>
      <c r="N969" s="57">
        <v>1200</v>
      </c>
      <c r="O969" t="s">
        <v>100</v>
      </c>
      <c r="P969" t="s">
        <v>93</v>
      </c>
      <c r="Q969" s="3">
        <v>46121</v>
      </c>
      <c r="R969" s="10">
        <f t="shared" ca="1" si="30"/>
        <v>46229</v>
      </c>
      <c r="S969" s="7">
        <f t="shared" ca="1" si="31"/>
        <v>0.29589041095890412</v>
      </c>
    </row>
    <row r="970" spans="1:19" x14ac:dyDescent="0.25">
      <c r="A970">
        <v>4121406</v>
      </c>
      <c r="B970" t="s">
        <v>1117</v>
      </c>
      <c r="C970" t="s">
        <v>17</v>
      </c>
      <c r="D970" s="6" t="s">
        <v>22</v>
      </c>
      <c r="E970" t="s">
        <v>21</v>
      </c>
      <c r="G970" s="6" t="s">
        <v>968</v>
      </c>
      <c r="H970" s="59" t="s">
        <v>1020</v>
      </c>
      <c r="I970" s="58" t="s">
        <v>1831</v>
      </c>
      <c r="J970" t="s">
        <v>839</v>
      </c>
      <c r="K970" t="s">
        <v>830</v>
      </c>
      <c r="L970" t="s">
        <v>25</v>
      </c>
      <c r="M970" t="s">
        <v>1163</v>
      </c>
      <c r="N970" s="57">
        <v>1200</v>
      </c>
      <c r="O970" t="s">
        <v>100</v>
      </c>
      <c r="P970" t="s">
        <v>93</v>
      </c>
      <c r="Q970" s="3">
        <v>46079</v>
      </c>
      <c r="R970" s="10">
        <f t="shared" ca="1" si="30"/>
        <v>46229</v>
      </c>
      <c r="S970" s="7">
        <f t="shared" ca="1" si="31"/>
        <v>0.41095890410958902</v>
      </c>
    </row>
    <row r="971" spans="1:19" x14ac:dyDescent="0.25">
      <c r="A971">
        <v>4121407</v>
      </c>
      <c r="B971" t="s">
        <v>1118</v>
      </c>
      <c r="C971" t="s">
        <v>17</v>
      </c>
      <c r="D971" s="6" t="s">
        <v>22</v>
      </c>
      <c r="E971" t="s">
        <v>21</v>
      </c>
      <c r="G971" s="6" t="s">
        <v>968</v>
      </c>
      <c r="H971" s="59" t="s">
        <v>1020</v>
      </c>
      <c r="I971" s="58" t="s">
        <v>1831</v>
      </c>
      <c r="J971" t="s">
        <v>839</v>
      </c>
      <c r="K971" t="s">
        <v>830</v>
      </c>
      <c r="L971" t="s">
        <v>25</v>
      </c>
      <c r="M971" t="s">
        <v>1163</v>
      </c>
      <c r="N971" s="57">
        <v>1200</v>
      </c>
      <c r="O971" t="s">
        <v>100</v>
      </c>
      <c r="P971" t="s">
        <v>93</v>
      </c>
      <c r="Q971" s="3">
        <v>46079</v>
      </c>
      <c r="R971" s="10">
        <f t="shared" ca="1" si="30"/>
        <v>46229</v>
      </c>
      <c r="S971" s="7">
        <f t="shared" ca="1" si="31"/>
        <v>0.41095890410958902</v>
      </c>
    </row>
    <row r="972" spans="1:19" x14ac:dyDescent="0.25">
      <c r="A972">
        <v>4121669</v>
      </c>
      <c r="B972" t="s">
        <v>1133</v>
      </c>
      <c r="C972" t="s">
        <v>17</v>
      </c>
      <c r="D972" s="6" t="s">
        <v>22</v>
      </c>
      <c r="E972" t="s">
        <v>21</v>
      </c>
      <c r="G972" s="6" t="s">
        <v>968</v>
      </c>
      <c r="H972" s="59" t="s">
        <v>1020</v>
      </c>
      <c r="I972" s="58" t="s">
        <v>1831</v>
      </c>
      <c r="J972" t="s">
        <v>839</v>
      </c>
      <c r="K972" t="s">
        <v>830</v>
      </c>
      <c r="L972" t="s">
        <v>25</v>
      </c>
      <c r="M972" t="s">
        <v>1163</v>
      </c>
      <c r="N972" s="57">
        <v>1200</v>
      </c>
      <c r="O972" t="s">
        <v>100</v>
      </c>
      <c r="P972" t="s">
        <v>93</v>
      </c>
      <c r="Q972" s="3">
        <v>46086</v>
      </c>
      <c r="R972" s="10">
        <f t="shared" ca="1" si="30"/>
        <v>46229</v>
      </c>
      <c r="S972" s="7">
        <f t="shared" ca="1" si="31"/>
        <v>0.39178082191780822</v>
      </c>
    </row>
    <row r="973" spans="1:19" x14ac:dyDescent="0.25">
      <c r="A973">
        <v>4121723</v>
      </c>
      <c r="B973" t="s">
        <v>1145</v>
      </c>
      <c r="C973" t="s">
        <v>17</v>
      </c>
      <c r="D973" s="6" t="s">
        <v>22</v>
      </c>
      <c r="E973" t="s">
        <v>21</v>
      </c>
      <c r="G973" s="6" t="s">
        <v>968</v>
      </c>
      <c r="H973" s="59" t="s">
        <v>1020</v>
      </c>
      <c r="I973" s="58" t="s">
        <v>1831</v>
      </c>
      <c r="J973" t="s">
        <v>839</v>
      </c>
      <c r="K973" t="s">
        <v>830</v>
      </c>
      <c r="L973" t="s">
        <v>25</v>
      </c>
      <c r="M973" t="s">
        <v>1163</v>
      </c>
      <c r="N973" s="57">
        <v>1200</v>
      </c>
      <c r="O973" t="s">
        <v>100</v>
      </c>
      <c r="P973" t="s">
        <v>93</v>
      </c>
      <c r="Q973" s="3">
        <v>46086</v>
      </c>
      <c r="R973" s="10">
        <f t="shared" ca="1" si="30"/>
        <v>46229</v>
      </c>
      <c r="S973" s="7">
        <f t="shared" ca="1" si="31"/>
        <v>0.39178082191780822</v>
      </c>
    </row>
    <row r="974" spans="1:19" x14ac:dyDescent="0.25">
      <c r="A974">
        <v>4121849</v>
      </c>
      <c r="B974" t="s">
        <v>1156</v>
      </c>
      <c r="C974" t="s">
        <v>17</v>
      </c>
      <c r="D974" s="6" t="s">
        <v>22</v>
      </c>
      <c r="E974" t="s">
        <v>21</v>
      </c>
      <c r="G974" s="6" t="s">
        <v>968</v>
      </c>
      <c r="H974" s="59" t="s">
        <v>1020</v>
      </c>
      <c r="I974" s="58" t="s">
        <v>1831</v>
      </c>
      <c r="J974" t="s">
        <v>839</v>
      </c>
      <c r="K974" t="s">
        <v>830</v>
      </c>
      <c r="L974" t="s">
        <v>25</v>
      </c>
      <c r="M974" t="s">
        <v>1163</v>
      </c>
      <c r="N974" s="57">
        <v>1200</v>
      </c>
      <c r="O974" t="s">
        <v>100</v>
      </c>
      <c r="P974" t="s">
        <v>93</v>
      </c>
      <c r="Q974" s="3">
        <v>46090</v>
      </c>
      <c r="R974" s="10">
        <f t="shared" ca="1" si="30"/>
        <v>46229</v>
      </c>
      <c r="S974" s="7">
        <f t="shared" ca="1" si="31"/>
        <v>0.38082191780821917</v>
      </c>
    </row>
    <row r="975" spans="1:19" x14ac:dyDescent="0.25">
      <c r="A975">
        <v>4121850</v>
      </c>
      <c r="B975" t="s">
        <v>1157</v>
      </c>
      <c r="C975" t="s">
        <v>17</v>
      </c>
      <c r="D975" s="6" t="s">
        <v>22</v>
      </c>
      <c r="E975" t="s">
        <v>21</v>
      </c>
      <c r="G975" s="6" t="s">
        <v>968</v>
      </c>
      <c r="H975" s="59" t="s">
        <v>1020</v>
      </c>
      <c r="I975" s="58" t="s">
        <v>1831</v>
      </c>
      <c r="J975" t="s">
        <v>839</v>
      </c>
      <c r="K975" t="s">
        <v>830</v>
      </c>
      <c r="L975" t="s">
        <v>25</v>
      </c>
      <c r="M975" t="s">
        <v>1163</v>
      </c>
      <c r="N975" s="57">
        <v>1200</v>
      </c>
      <c r="O975" t="s">
        <v>100</v>
      </c>
      <c r="P975" t="s">
        <v>93</v>
      </c>
      <c r="Q975" s="3">
        <v>46090</v>
      </c>
      <c r="R975" s="10">
        <f t="shared" ca="1" si="30"/>
        <v>46229</v>
      </c>
      <c r="S975" s="7">
        <f t="shared" ca="1" si="31"/>
        <v>0.38082191780821917</v>
      </c>
    </row>
    <row r="976" spans="1:19" x14ac:dyDescent="0.25">
      <c r="A976">
        <v>4121853</v>
      </c>
      <c r="B976" t="s">
        <v>1160</v>
      </c>
      <c r="C976" t="s">
        <v>17</v>
      </c>
      <c r="D976" s="6" t="s">
        <v>22</v>
      </c>
      <c r="E976" t="s">
        <v>21</v>
      </c>
      <c r="G976" s="6" t="s">
        <v>968</v>
      </c>
      <c r="H976" s="59" t="s">
        <v>1020</v>
      </c>
      <c r="I976" s="58" t="s">
        <v>1831</v>
      </c>
      <c r="J976" t="s">
        <v>839</v>
      </c>
      <c r="K976" t="s">
        <v>830</v>
      </c>
      <c r="L976" t="s">
        <v>25</v>
      </c>
      <c r="M976" t="s">
        <v>1163</v>
      </c>
      <c r="N976" s="57">
        <v>1200</v>
      </c>
      <c r="O976" t="s">
        <v>100</v>
      </c>
      <c r="P976" t="s">
        <v>93</v>
      </c>
      <c r="Q976" s="3">
        <v>46090</v>
      </c>
      <c r="R976" s="10">
        <f t="shared" ca="1" si="30"/>
        <v>46229</v>
      </c>
      <c r="S976" s="7">
        <f t="shared" ca="1" si="31"/>
        <v>0.38082191780821917</v>
      </c>
    </row>
    <row r="977" spans="1:19" x14ac:dyDescent="0.25">
      <c r="A977">
        <v>4122803</v>
      </c>
      <c r="B977" t="s">
        <v>1327</v>
      </c>
      <c r="C977" t="s">
        <v>1044</v>
      </c>
      <c r="D977" s="6" t="s">
        <v>22</v>
      </c>
      <c r="E977" t="s">
        <v>21</v>
      </c>
      <c r="G977" s="6" t="s">
        <v>968</v>
      </c>
      <c r="H977" s="59" t="s">
        <v>1020</v>
      </c>
      <c r="I977" s="58" t="s">
        <v>1831</v>
      </c>
      <c r="J977" t="s">
        <v>839</v>
      </c>
      <c r="K977" t="s">
        <v>830</v>
      </c>
      <c r="L977" t="s">
        <v>25</v>
      </c>
      <c r="M977" t="s">
        <v>1163</v>
      </c>
      <c r="N977" s="57">
        <v>1200</v>
      </c>
      <c r="O977" t="s">
        <v>100</v>
      </c>
      <c r="P977" t="s">
        <v>93</v>
      </c>
      <c r="Q977" s="3">
        <v>46121</v>
      </c>
      <c r="R977" s="10">
        <f t="shared" ca="1" si="30"/>
        <v>46229</v>
      </c>
      <c r="S977" s="7">
        <f t="shared" ca="1" si="31"/>
        <v>0.29589041095890412</v>
      </c>
    </row>
    <row r="978" spans="1:19" x14ac:dyDescent="0.25">
      <c r="A978">
        <v>4122866</v>
      </c>
      <c r="B978" t="s">
        <v>1372</v>
      </c>
      <c r="C978" t="s">
        <v>1044</v>
      </c>
      <c r="D978" s="6" t="s">
        <v>22</v>
      </c>
      <c r="E978" t="s">
        <v>21</v>
      </c>
      <c r="G978" s="6" t="s">
        <v>968</v>
      </c>
      <c r="H978" s="59" t="s">
        <v>1020</v>
      </c>
      <c r="I978" s="58" t="s">
        <v>1831</v>
      </c>
      <c r="J978" t="s">
        <v>839</v>
      </c>
      <c r="K978" t="s">
        <v>830</v>
      </c>
      <c r="L978" t="s">
        <v>25</v>
      </c>
      <c r="M978" t="s">
        <v>1163</v>
      </c>
      <c r="N978" s="57">
        <v>1200</v>
      </c>
      <c r="O978" t="s">
        <v>100</v>
      </c>
      <c r="P978" t="s">
        <v>93</v>
      </c>
      <c r="Q978" s="3">
        <v>46125</v>
      </c>
      <c r="R978" s="10">
        <f t="shared" ca="1" si="30"/>
        <v>46229</v>
      </c>
      <c r="S978" s="7">
        <f t="shared" ca="1" si="31"/>
        <v>0.28493150684931506</v>
      </c>
    </row>
    <row r="979" spans="1:19" x14ac:dyDescent="0.25">
      <c r="A979">
        <v>4122887</v>
      </c>
      <c r="B979" t="s">
        <v>1385</v>
      </c>
      <c r="C979" t="s">
        <v>1044</v>
      </c>
      <c r="D979" s="6" t="s">
        <v>22</v>
      </c>
      <c r="E979" t="s">
        <v>21</v>
      </c>
      <c r="G979" s="6" t="s">
        <v>968</v>
      </c>
      <c r="H979" s="59" t="s">
        <v>1020</v>
      </c>
      <c r="I979" s="58" t="s">
        <v>1831</v>
      </c>
      <c r="J979" t="s">
        <v>839</v>
      </c>
      <c r="K979" t="s">
        <v>830</v>
      </c>
      <c r="L979" t="s">
        <v>25</v>
      </c>
      <c r="M979" t="s">
        <v>1163</v>
      </c>
      <c r="N979" s="57">
        <v>1200</v>
      </c>
      <c r="O979" t="s">
        <v>100</v>
      </c>
      <c r="P979" t="s">
        <v>93</v>
      </c>
      <c r="Q979" s="3">
        <v>46125</v>
      </c>
      <c r="R979" s="10">
        <f t="shared" ca="1" si="30"/>
        <v>46229</v>
      </c>
      <c r="S979" s="7">
        <f t="shared" ca="1" si="31"/>
        <v>0.28493150684931506</v>
      </c>
    </row>
    <row r="980" spans="1:19" x14ac:dyDescent="0.25">
      <c r="A980">
        <v>4122889</v>
      </c>
      <c r="B980" t="s">
        <v>1387</v>
      </c>
      <c r="C980" t="s">
        <v>1044</v>
      </c>
      <c r="D980" s="6" t="s">
        <v>22</v>
      </c>
      <c r="E980" t="s">
        <v>21</v>
      </c>
      <c r="G980" s="6" t="s">
        <v>968</v>
      </c>
      <c r="H980" s="59" t="s">
        <v>1020</v>
      </c>
      <c r="I980" s="58" t="s">
        <v>1831</v>
      </c>
      <c r="J980" t="s">
        <v>839</v>
      </c>
      <c r="K980" t="s">
        <v>830</v>
      </c>
      <c r="L980" t="s">
        <v>25</v>
      </c>
      <c r="M980" t="s">
        <v>1163</v>
      </c>
      <c r="N980" s="57">
        <v>1200</v>
      </c>
      <c r="O980" t="s">
        <v>100</v>
      </c>
      <c r="P980" t="s">
        <v>93</v>
      </c>
      <c r="Q980" s="3">
        <v>46125</v>
      </c>
      <c r="R980" s="10">
        <f t="shared" ca="1" si="30"/>
        <v>46229</v>
      </c>
      <c r="S980" s="7">
        <f t="shared" ca="1" si="31"/>
        <v>0.28493150684931506</v>
      </c>
    </row>
    <row r="981" spans="1:19" x14ac:dyDescent="0.25">
      <c r="A981">
        <v>4124049</v>
      </c>
      <c r="B981" t="s">
        <v>1520</v>
      </c>
      <c r="C981" t="s">
        <v>1044</v>
      </c>
      <c r="D981" s="6" t="s">
        <v>22</v>
      </c>
      <c r="E981" t="s">
        <v>21</v>
      </c>
      <c r="G981" s="6" t="s">
        <v>968</v>
      </c>
      <c r="H981" s="59" t="s">
        <v>1020</v>
      </c>
      <c r="I981" s="58" t="s">
        <v>1831</v>
      </c>
      <c r="J981" t="s">
        <v>839</v>
      </c>
      <c r="K981" t="s">
        <v>830</v>
      </c>
      <c r="L981" t="s">
        <v>25</v>
      </c>
      <c r="M981" t="s">
        <v>1163</v>
      </c>
      <c r="N981" s="57">
        <v>1200</v>
      </c>
      <c r="O981" t="s">
        <v>100</v>
      </c>
      <c r="P981" t="s">
        <v>93</v>
      </c>
      <c r="Q981" s="3">
        <v>46163</v>
      </c>
      <c r="R981" s="10">
        <f t="shared" ca="1" si="30"/>
        <v>46229</v>
      </c>
      <c r="S981" s="7">
        <f t="shared" ca="1" si="31"/>
        <v>0.18082191780821918</v>
      </c>
    </row>
    <row r="982" spans="1:19" x14ac:dyDescent="0.25">
      <c r="A982">
        <v>4124051</v>
      </c>
      <c r="B982" t="s">
        <v>1522</v>
      </c>
      <c r="C982" t="s">
        <v>1044</v>
      </c>
      <c r="D982" s="6" t="s">
        <v>22</v>
      </c>
      <c r="E982" t="s">
        <v>21</v>
      </c>
      <c r="G982" s="6" t="s">
        <v>968</v>
      </c>
      <c r="H982" s="59" t="s">
        <v>1020</v>
      </c>
      <c r="I982" s="58" t="s">
        <v>1831</v>
      </c>
      <c r="J982" t="s">
        <v>839</v>
      </c>
      <c r="K982" t="s">
        <v>830</v>
      </c>
      <c r="L982" t="s">
        <v>25</v>
      </c>
      <c r="M982" t="s">
        <v>1163</v>
      </c>
      <c r="N982" s="57">
        <v>1200</v>
      </c>
      <c r="O982" t="s">
        <v>100</v>
      </c>
      <c r="P982" t="s">
        <v>93</v>
      </c>
      <c r="Q982" s="3">
        <v>46163</v>
      </c>
      <c r="R982" s="10">
        <f t="shared" ca="1" si="30"/>
        <v>46229</v>
      </c>
      <c r="S982" s="7">
        <f t="shared" ca="1" si="31"/>
        <v>0.18082191780821918</v>
      </c>
    </row>
    <row r="983" spans="1:19" x14ac:dyDescent="0.25">
      <c r="A983">
        <v>927191</v>
      </c>
      <c r="B983" t="s">
        <v>1337</v>
      </c>
      <c r="C983" t="s">
        <v>1044</v>
      </c>
      <c r="D983" s="6" t="s">
        <v>22</v>
      </c>
      <c r="E983" t="s">
        <v>21</v>
      </c>
      <c r="G983" s="6" t="s">
        <v>968</v>
      </c>
      <c r="H983" s="59" t="s">
        <v>1020</v>
      </c>
      <c r="I983" s="58" t="s">
        <v>1831</v>
      </c>
      <c r="J983" t="s">
        <v>839</v>
      </c>
      <c r="K983" t="s">
        <v>830</v>
      </c>
      <c r="L983" t="s">
        <v>25</v>
      </c>
      <c r="M983" t="s">
        <v>1163</v>
      </c>
      <c r="N983" s="57">
        <v>1200</v>
      </c>
      <c r="O983" t="s">
        <v>100</v>
      </c>
      <c r="P983" t="s">
        <v>93</v>
      </c>
      <c r="Q983" s="3">
        <v>46121</v>
      </c>
      <c r="R983" s="10">
        <f t="shared" ca="1" si="30"/>
        <v>46229</v>
      </c>
      <c r="S983" s="7">
        <f t="shared" ca="1" si="31"/>
        <v>0.29589041095890412</v>
      </c>
    </row>
    <row r="984" spans="1:19" x14ac:dyDescent="0.25">
      <c r="A984">
        <v>928949</v>
      </c>
      <c r="B984" t="s">
        <v>772</v>
      </c>
      <c r="C984" t="s">
        <v>17</v>
      </c>
      <c r="D984" s="6" t="s">
        <v>22</v>
      </c>
      <c r="E984" t="s">
        <v>55</v>
      </c>
      <c r="G984" s="6" t="s">
        <v>968</v>
      </c>
      <c r="H984" s="59" t="s">
        <v>1020</v>
      </c>
      <c r="I984" s="58" t="s">
        <v>1831</v>
      </c>
      <c r="J984" t="s">
        <v>839</v>
      </c>
      <c r="K984" t="s">
        <v>830</v>
      </c>
      <c r="L984" t="s">
        <v>25</v>
      </c>
      <c r="M984" t="s">
        <v>1163</v>
      </c>
      <c r="N984" s="57">
        <v>1200</v>
      </c>
      <c r="O984" t="s">
        <v>100</v>
      </c>
      <c r="P984" t="s">
        <v>93</v>
      </c>
      <c r="Q984" s="3">
        <v>45253</v>
      </c>
      <c r="R984" s="10">
        <f t="shared" ca="1" si="30"/>
        <v>46229</v>
      </c>
      <c r="S984" s="7">
        <f t="shared" ca="1" si="31"/>
        <v>2.6739726027397261</v>
      </c>
    </row>
    <row r="985" spans="1:19" x14ac:dyDescent="0.25">
      <c r="A985">
        <v>973259</v>
      </c>
      <c r="B985" t="s">
        <v>795</v>
      </c>
      <c r="C985" t="s">
        <v>17</v>
      </c>
      <c r="D985" s="6" t="s">
        <v>22</v>
      </c>
      <c r="E985" t="s">
        <v>55</v>
      </c>
      <c r="G985" s="6" t="s">
        <v>968</v>
      </c>
      <c r="H985" s="59" t="s">
        <v>1020</v>
      </c>
      <c r="I985" s="58" t="s">
        <v>1831</v>
      </c>
      <c r="J985" t="s">
        <v>839</v>
      </c>
      <c r="K985" t="s">
        <v>830</v>
      </c>
      <c r="L985" t="s">
        <v>25</v>
      </c>
      <c r="M985" t="s">
        <v>1163</v>
      </c>
      <c r="N985" s="57">
        <v>1200</v>
      </c>
      <c r="O985" t="s">
        <v>100</v>
      </c>
      <c r="P985" t="s">
        <v>93</v>
      </c>
      <c r="Q985" s="3">
        <v>42562</v>
      </c>
      <c r="R985" s="10">
        <f t="shared" ca="1" si="30"/>
        <v>46229</v>
      </c>
      <c r="S985" s="7">
        <f t="shared" ca="1" si="31"/>
        <v>10.046575342465754</v>
      </c>
    </row>
    <row r="986" spans="1:19" x14ac:dyDescent="0.25">
      <c r="A986">
        <v>987693</v>
      </c>
      <c r="B986" t="s">
        <v>1339</v>
      </c>
      <c r="C986" t="s">
        <v>1044</v>
      </c>
      <c r="D986" s="6" t="s">
        <v>22</v>
      </c>
      <c r="E986" t="s">
        <v>21</v>
      </c>
      <c r="G986" s="6" t="s">
        <v>968</v>
      </c>
      <c r="H986" s="59" t="s">
        <v>1020</v>
      </c>
      <c r="I986" s="58" t="s">
        <v>1831</v>
      </c>
      <c r="J986" t="s">
        <v>839</v>
      </c>
      <c r="K986" t="s">
        <v>830</v>
      </c>
      <c r="L986" t="s">
        <v>25</v>
      </c>
      <c r="M986" t="s">
        <v>1163</v>
      </c>
      <c r="N986" s="57">
        <v>1200</v>
      </c>
      <c r="O986" t="s">
        <v>100</v>
      </c>
      <c r="P986" t="s">
        <v>93</v>
      </c>
      <c r="Q986" s="3">
        <v>46121</v>
      </c>
      <c r="R986" s="10">
        <f t="shared" ca="1" si="30"/>
        <v>46229</v>
      </c>
      <c r="S986" s="7">
        <f t="shared" ca="1" si="31"/>
        <v>0.29589041095890412</v>
      </c>
    </row>
    <row r="987" spans="1:19" x14ac:dyDescent="0.25">
      <c r="A987">
        <v>1007773</v>
      </c>
      <c r="B987" t="s">
        <v>117</v>
      </c>
      <c r="C987" t="s">
        <v>17</v>
      </c>
      <c r="D987" s="6" t="s">
        <v>22</v>
      </c>
      <c r="E987" t="s">
        <v>66</v>
      </c>
      <c r="G987" s="6" t="s">
        <v>970</v>
      </c>
      <c r="H987" s="59" t="s">
        <v>1009</v>
      </c>
      <c r="I987" s="58" t="s">
        <v>848</v>
      </c>
      <c r="J987" t="s">
        <v>1466</v>
      </c>
      <c r="K987" t="s">
        <v>837</v>
      </c>
      <c r="L987" t="s">
        <v>91</v>
      </c>
      <c r="M987" t="s">
        <v>1163</v>
      </c>
      <c r="N987" s="57">
        <v>1400</v>
      </c>
      <c r="O987" t="s">
        <v>100</v>
      </c>
      <c r="P987" t="s">
        <v>38</v>
      </c>
      <c r="Q987" s="3">
        <v>45054</v>
      </c>
      <c r="R987" s="10">
        <f t="shared" ca="1" si="30"/>
        <v>46229</v>
      </c>
      <c r="S987" s="7">
        <f t="shared" ca="1" si="31"/>
        <v>3.2191780821917808</v>
      </c>
    </row>
    <row r="988" spans="1:19" x14ac:dyDescent="0.25">
      <c r="A988">
        <v>4034092</v>
      </c>
      <c r="B988" t="s">
        <v>449</v>
      </c>
      <c r="C988" t="s">
        <v>17</v>
      </c>
      <c r="D988" s="6" t="s">
        <v>22</v>
      </c>
      <c r="E988" t="s">
        <v>66</v>
      </c>
      <c r="G988" s="6" t="s">
        <v>970</v>
      </c>
      <c r="H988" s="59" t="s">
        <v>1009</v>
      </c>
      <c r="I988" s="58" t="s">
        <v>848</v>
      </c>
      <c r="J988" t="s">
        <v>1466</v>
      </c>
      <c r="K988" t="s">
        <v>837</v>
      </c>
      <c r="L988" t="s">
        <v>1038</v>
      </c>
      <c r="M988" t="s">
        <v>1163</v>
      </c>
      <c r="N988" s="57">
        <v>1400</v>
      </c>
      <c r="O988" t="s">
        <v>100</v>
      </c>
      <c r="P988" t="s">
        <v>38</v>
      </c>
      <c r="Q988" s="3">
        <v>44238</v>
      </c>
      <c r="R988" s="10">
        <f t="shared" ca="1" si="30"/>
        <v>46229</v>
      </c>
      <c r="S988" s="7">
        <f t="shared" ca="1" si="31"/>
        <v>5.4547945205479449</v>
      </c>
    </row>
    <row r="989" spans="1:19" x14ac:dyDescent="0.25">
      <c r="A989">
        <v>1125215</v>
      </c>
      <c r="B989" t="s">
        <v>1804</v>
      </c>
      <c r="C989" t="s">
        <v>17</v>
      </c>
      <c r="D989" s="6" t="s">
        <v>22</v>
      </c>
      <c r="E989" t="s">
        <v>66</v>
      </c>
      <c r="G989" s="6" t="s">
        <v>970</v>
      </c>
      <c r="H989" s="59" t="s">
        <v>1027</v>
      </c>
      <c r="I989" s="58" t="s">
        <v>848</v>
      </c>
      <c r="J989" t="s">
        <v>1466</v>
      </c>
      <c r="K989" t="s">
        <v>837</v>
      </c>
      <c r="L989" t="s">
        <v>25</v>
      </c>
      <c r="M989" t="s">
        <v>1163</v>
      </c>
      <c r="N989" s="57">
        <v>1400</v>
      </c>
      <c r="O989" t="s">
        <v>100</v>
      </c>
      <c r="P989" t="s">
        <v>93</v>
      </c>
      <c r="Q989" s="3">
        <v>44271</v>
      </c>
      <c r="R989" s="10">
        <f t="shared" ca="1" si="30"/>
        <v>46229</v>
      </c>
      <c r="S989" s="7">
        <f t="shared" ca="1" si="31"/>
        <v>5.3643835616438356</v>
      </c>
    </row>
    <row r="990" spans="1:19" x14ac:dyDescent="0.25">
      <c r="A990">
        <v>40939</v>
      </c>
      <c r="B990" t="s">
        <v>1636</v>
      </c>
      <c r="C990" t="s">
        <v>17</v>
      </c>
      <c r="D990" s="6" t="s">
        <v>22</v>
      </c>
      <c r="E990" t="s">
        <v>66</v>
      </c>
      <c r="G990" s="6" t="s">
        <v>970</v>
      </c>
      <c r="H990" s="59" t="s">
        <v>1027</v>
      </c>
      <c r="I990" s="58" t="s">
        <v>848</v>
      </c>
      <c r="J990" t="s">
        <v>1466</v>
      </c>
      <c r="K990" t="s">
        <v>837</v>
      </c>
      <c r="L990" t="s">
        <v>1038</v>
      </c>
      <c r="M990" t="s">
        <v>1163</v>
      </c>
      <c r="N990" s="57">
        <v>1400</v>
      </c>
      <c r="O990" t="s">
        <v>100</v>
      </c>
      <c r="P990" t="s">
        <v>93</v>
      </c>
      <c r="Q990" s="3">
        <v>40462</v>
      </c>
      <c r="R990" s="10">
        <f t="shared" ca="1" si="30"/>
        <v>46229</v>
      </c>
      <c r="S990" s="7">
        <f t="shared" ca="1" si="31"/>
        <v>15.8</v>
      </c>
    </row>
    <row r="991" spans="1:19" x14ac:dyDescent="0.25">
      <c r="A991">
        <v>4062972</v>
      </c>
      <c r="B991" t="s">
        <v>1169</v>
      </c>
      <c r="C991" t="s">
        <v>17</v>
      </c>
      <c r="D991" s="6" t="s">
        <v>22</v>
      </c>
      <c r="E991" t="s">
        <v>66</v>
      </c>
      <c r="G991" s="6" t="s">
        <v>970</v>
      </c>
      <c r="H991" s="59" t="s">
        <v>1027</v>
      </c>
      <c r="I991" s="58" t="s">
        <v>848</v>
      </c>
      <c r="J991" t="s">
        <v>1466</v>
      </c>
      <c r="K991" t="s">
        <v>837</v>
      </c>
      <c r="L991" t="s">
        <v>1038</v>
      </c>
      <c r="M991" t="s">
        <v>1163</v>
      </c>
      <c r="N991" s="57">
        <v>1400</v>
      </c>
      <c r="O991" t="s">
        <v>100</v>
      </c>
      <c r="P991" t="s">
        <v>38</v>
      </c>
      <c r="Q991" s="3">
        <v>44774</v>
      </c>
      <c r="R991" s="10">
        <f t="shared" ca="1" si="30"/>
        <v>46229</v>
      </c>
      <c r="S991" s="7">
        <f t="shared" ca="1" si="31"/>
        <v>3.9863013698630136</v>
      </c>
    </row>
    <row r="992" spans="1:19" x14ac:dyDescent="0.25">
      <c r="A992">
        <v>983069</v>
      </c>
      <c r="B992" t="s">
        <v>803</v>
      </c>
      <c r="C992" t="s">
        <v>17</v>
      </c>
      <c r="D992" s="6" t="s">
        <v>22</v>
      </c>
      <c r="E992" t="s">
        <v>66</v>
      </c>
      <c r="G992" s="6" t="s">
        <v>970</v>
      </c>
      <c r="H992" s="59" t="s">
        <v>1009</v>
      </c>
      <c r="I992" s="58" t="s">
        <v>848</v>
      </c>
      <c r="J992" t="s">
        <v>1466</v>
      </c>
      <c r="K992" t="s">
        <v>837</v>
      </c>
      <c r="L992" t="s">
        <v>25</v>
      </c>
      <c r="M992" t="s">
        <v>1163</v>
      </c>
      <c r="N992" s="57">
        <v>1400</v>
      </c>
      <c r="O992" t="s">
        <v>100</v>
      </c>
      <c r="P992" t="s">
        <v>93</v>
      </c>
      <c r="Q992" s="3">
        <v>42709</v>
      </c>
      <c r="R992" s="10">
        <f t="shared" ca="1" si="30"/>
        <v>46229</v>
      </c>
      <c r="S992" s="7">
        <f t="shared" ca="1" si="31"/>
        <v>9.6438356164383556</v>
      </c>
    </row>
    <row r="993" spans="1:19" x14ac:dyDescent="0.25">
      <c r="A993">
        <v>1009044</v>
      </c>
      <c r="B993" t="s">
        <v>120</v>
      </c>
      <c r="C993" t="s">
        <v>17</v>
      </c>
      <c r="D993" s="6" t="s">
        <v>39</v>
      </c>
      <c r="E993" t="s">
        <v>78</v>
      </c>
      <c r="G993" s="6" t="s">
        <v>967</v>
      </c>
      <c r="H993" s="59" t="s">
        <v>92</v>
      </c>
      <c r="I993" s="58" t="s">
        <v>28</v>
      </c>
      <c r="J993" t="s">
        <v>27</v>
      </c>
      <c r="K993" t="s">
        <v>29</v>
      </c>
      <c r="L993" t="s">
        <v>966</v>
      </c>
      <c r="M993" t="s">
        <v>1163</v>
      </c>
      <c r="N993" s="57">
        <v>6420</v>
      </c>
      <c r="O993" t="s">
        <v>100</v>
      </c>
      <c r="P993" t="s">
        <v>38</v>
      </c>
      <c r="Q993" s="3">
        <v>44403</v>
      </c>
      <c r="R993" s="10">
        <f t="shared" ca="1" si="30"/>
        <v>46229</v>
      </c>
      <c r="S993" s="7">
        <f t="shared" ca="1" si="31"/>
        <v>5.0027397260273974</v>
      </c>
    </row>
    <row r="994" spans="1:19" x14ac:dyDescent="0.25">
      <c r="A994">
        <v>21344</v>
      </c>
      <c r="B994" t="s">
        <v>303</v>
      </c>
      <c r="C994" t="s">
        <v>17</v>
      </c>
      <c r="D994" s="6" t="s">
        <v>39</v>
      </c>
      <c r="E994" t="s">
        <v>57</v>
      </c>
      <c r="G994" s="6" t="s">
        <v>967</v>
      </c>
      <c r="H994" s="59" t="s">
        <v>92</v>
      </c>
      <c r="I994" s="58" t="s">
        <v>28</v>
      </c>
      <c r="J994" t="s">
        <v>27</v>
      </c>
      <c r="K994" t="s">
        <v>29</v>
      </c>
      <c r="L994" t="s">
        <v>966</v>
      </c>
      <c r="M994" t="s">
        <v>1163</v>
      </c>
      <c r="N994" s="57">
        <v>6420</v>
      </c>
      <c r="O994" t="s">
        <v>100</v>
      </c>
      <c r="P994" t="s">
        <v>38</v>
      </c>
      <c r="Q994" s="3">
        <v>45138</v>
      </c>
      <c r="R994" s="10">
        <f t="shared" ca="1" si="30"/>
        <v>46229</v>
      </c>
      <c r="S994" s="7">
        <f t="shared" ca="1" si="31"/>
        <v>2.989041095890411</v>
      </c>
    </row>
    <row r="995" spans="1:19" x14ac:dyDescent="0.25">
      <c r="A995">
        <v>992296</v>
      </c>
      <c r="B995" t="s">
        <v>811</v>
      </c>
      <c r="C995" t="s">
        <v>17</v>
      </c>
      <c r="D995" s="6" t="s">
        <v>39</v>
      </c>
      <c r="E995" t="s">
        <v>75</v>
      </c>
      <c r="G995" s="6" t="s">
        <v>1843</v>
      </c>
      <c r="H995" s="59" t="s">
        <v>92</v>
      </c>
      <c r="I995" s="58" t="s">
        <v>28</v>
      </c>
      <c r="J995" t="s">
        <v>27</v>
      </c>
      <c r="K995" t="s">
        <v>29</v>
      </c>
      <c r="L995" t="s">
        <v>966</v>
      </c>
      <c r="M995" t="s">
        <v>1163</v>
      </c>
      <c r="N995" s="57">
        <v>6490</v>
      </c>
      <c r="O995" t="s">
        <v>100</v>
      </c>
      <c r="P995" t="s">
        <v>93</v>
      </c>
      <c r="Q995" s="3">
        <v>44964</v>
      </c>
      <c r="R995" s="10">
        <f t="shared" ca="1" si="30"/>
        <v>46229</v>
      </c>
      <c r="S995" s="7">
        <f t="shared" ca="1" si="31"/>
        <v>3.4657534246575343</v>
      </c>
    </row>
    <row r="996" spans="1:19" x14ac:dyDescent="0.25">
      <c r="A996">
        <v>1230253</v>
      </c>
      <c r="B996" t="s">
        <v>1226</v>
      </c>
      <c r="C996" t="s">
        <v>17</v>
      </c>
      <c r="D996" s="6" t="s">
        <v>39</v>
      </c>
      <c r="E996" t="s">
        <v>90</v>
      </c>
      <c r="G996" s="6" t="s">
        <v>1844</v>
      </c>
      <c r="H996" s="59" t="s">
        <v>973</v>
      </c>
      <c r="I996" s="58" t="s">
        <v>888</v>
      </c>
      <c r="J996" t="s">
        <v>882</v>
      </c>
      <c r="K996" t="s">
        <v>883</v>
      </c>
      <c r="L996" t="s">
        <v>966</v>
      </c>
      <c r="M996" t="s">
        <v>1163</v>
      </c>
      <c r="N996" s="57">
        <v>6900</v>
      </c>
      <c r="O996" t="s">
        <v>100</v>
      </c>
      <c r="P996" t="s">
        <v>38</v>
      </c>
      <c r="Q996" s="3">
        <v>46125</v>
      </c>
      <c r="R996" s="10">
        <f t="shared" ca="1" si="30"/>
        <v>46229</v>
      </c>
      <c r="S996" s="7">
        <f t="shared" ca="1" si="31"/>
        <v>0.28493150684931506</v>
      </c>
    </row>
    <row r="997" spans="1:19" x14ac:dyDescent="0.25">
      <c r="A997">
        <v>866291</v>
      </c>
      <c r="B997" t="s">
        <v>748</v>
      </c>
      <c r="C997" t="s">
        <v>17</v>
      </c>
      <c r="D997" s="6" t="s">
        <v>22</v>
      </c>
      <c r="E997" t="s">
        <v>44</v>
      </c>
      <c r="G997" s="6" t="s">
        <v>967</v>
      </c>
      <c r="H997" s="59" t="s">
        <v>1023</v>
      </c>
      <c r="I997" s="58" t="s">
        <v>826</v>
      </c>
      <c r="J997" t="s">
        <v>827</v>
      </c>
      <c r="K997" t="s">
        <v>28</v>
      </c>
      <c r="L997" t="s">
        <v>1038</v>
      </c>
      <c r="M997" t="s">
        <v>1163</v>
      </c>
      <c r="N997" s="57">
        <v>1500</v>
      </c>
      <c r="O997" t="s">
        <v>100</v>
      </c>
      <c r="P997" t="s">
        <v>93</v>
      </c>
      <c r="Q997" s="3">
        <v>43552</v>
      </c>
      <c r="R997" s="10">
        <f t="shared" ca="1" si="30"/>
        <v>46229</v>
      </c>
      <c r="S997" s="7">
        <f t="shared" ca="1" si="31"/>
        <v>7.3342465753424655</v>
      </c>
    </row>
    <row r="998" spans="1:19" x14ac:dyDescent="0.25">
      <c r="A998">
        <v>958559</v>
      </c>
      <c r="B998" t="s">
        <v>780</v>
      </c>
      <c r="C998" t="s">
        <v>17</v>
      </c>
      <c r="D998" s="6" t="s">
        <v>22</v>
      </c>
      <c r="E998" t="s">
        <v>44</v>
      </c>
      <c r="G998" s="6" t="s">
        <v>967</v>
      </c>
      <c r="H998" s="59" t="s">
        <v>1023</v>
      </c>
      <c r="I998" s="58" t="s">
        <v>826</v>
      </c>
      <c r="J998" t="s">
        <v>827</v>
      </c>
      <c r="K998" t="s">
        <v>28</v>
      </c>
      <c r="L998" t="s">
        <v>91</v>
      </c>
      <c r="M998" t="s">
        <v>1163</v>
      </c>
      <c r="N998" s="57">
        <v>1500</v>
      </c>
      <c r="O998" t="s">
        <v>100</v>
      </c>
      <c r="P998" t="s">
        <v>93</v>
      </c>
      <c r="Q998" s="3">
        <v>42576</v>
      </c>
      <c r="R998" s="10">
        <f t="shared" ca="1" si="30"/>
        <v>46229</v>
      </c>
      <c r="S998" s="7">
        <f t="shared" ca="1" si="31"/>
        <v>10.008219178082191</v>
      </c>
    </row>
    <row r="999" spans="1:19" x14ac:dyDescent="0.25">
      <c r="A999">
        <v>961675</v>
      </c>
      <c r="B999" t="s">
        <v>782</v>
      </c>
      <c r="C999" t="s">
        <v>17</v>
      </c>
      <c r="D999" s="6" t="s">
        <v>22</v>
      </c>
      <c r="E999" t="s">
        <v>44</v>
      </c>
      <c r="G999" s="6" t="s">
        <v>967</v>
      </c>
      <c r="H999" s="59" t="s">
        <v>1023</v>
      </c>
      <c r="I999" s="58" t="s">
        <v>826</v>
      </c>
      <c r="J999" t="s">
        <v>827</v>
      </c>
      <c r="K999" t="s">
        <v>28</v>
      </c>
      <c r="L999" t="s">
        <v>1038</v>
      </c>
      <c r="M999" t="s">
        <v>1163</v>
      </c>
      <c r="N999" s="57">
        <v>1500</v>
      </c>
      <c r="O999" t="s">
        <v>100</v>
      </c>
      <c r="P999" t="s">
        <v>93</v>
      </c>
      <c r="Q999" s="3">
        <v>42590</v>
      </c>
      <c r="R999" s="10">
        <f t="shared" ca="1" si="30"/>
        <v>46229</v>
      </c>
      <c r="S999" s="7">
        <f t="shared" ca="1" si="31"/>
        <v>9.9698630136986299</v>
      </c>
    </row>
    <row r="1000" spans="1:19" x14ac:dyDescent="0.25">
      <c r="A1000">
        <v>1134565</v>
      </c>
      <c r="B1000" t="s">
        <v>164</v>
      </c>
      <c r="C1000" t="s">
        <v>17</v>
      </c>
      <c r="D1000" s="6" t="s">
        <v>22</v>
      </c>
      <c r="E1000" t="s">
        <v>45</v>
      </c>
      <c r="G1000" s="6" t="s">
        <v>968</v>
      </c>
      <c r="H1000" s="59" t="s">
        <v>1027</v>
      </c>
      <c r="I1000" s="58" t="s">
        <v>847</v>
      </c>
      <c r="J1000" t="s">
        <v>830</v>
      </c>
      <c r="K1000" t="s">
        <v>94</v>
      </c>
      <c r="L1000" t="s">
        <v>966</v>
      </c>
      <c r="M1000" t="s">
        <v>1163</v>
      </c>
      <c r="N1000" s="57">
        <v>1200</v>
      </c>
      <c r="O1000" t="s">
        <v>100</v>
      </c>
      <c r="P1000" t="s">
        <v>93</v>
      </c>
      <c r="Q1000" s="3">
        <v>44410</v>
      </c>
      <c r="R1000" s="10">
        <f t="shared" ca="1" si="30"/>
        <v>46229</v>
      </c>
      <c r="S1000" s="7">
        <f t="shared" ca="1" si="31"/>
        <v>4.9835616438356167</v>
      </c>
    </row>
    <row r="1001" spans="1:19" x14ac:dyDescent="0.25">
      <c r="A1001">
        <v>31572</v>
      </c>
      <c r="B1001" t="s">
        <v>376</v>
      </c>
      <c r="C1001" t="s">
        <v>17</v>
      </c>
      <c r="D1001" s="6" t="s">
        <v>22</v>
      </c>
      <c r="E1001" t="s">
        <v>45</v>
      </c>
      <c r="G1001" s="6" t="s">
        <v>968</v>
      </c>
      <c r="H1001" s="59" t="s">
        <v>1027</v>
      </c>
      <c r="I1001" s="58" t="s">
        <v>847</v>
      </c>
      <c r="J1001" t="s">
        <v>830</v>
      </c>
      <c r="K1001" t="s">
        <v>94</v>
      </c>
      <c r="L1001" t="s">
        <v>91</v>
      </c>
      <c r="M1001" t="s">
        <v>1163</v>
      </c>
      <c r="N1001" s="57">
        <v>1200</v>
      </c>
      <c r="O1001" t="s">
        <v>100</v>
      </c>
      <c r="P1001" t="s">
        <v>93</v>
      </c>
      <c r="Q1001" s="3">
        <v>36864</v>
      </c>
      <c r="R1001" s="10">
        <f t="shared" ca="1" si="30"/>
        <v>46229</v>
      </c>
      <c r="S1001" s="7">
        <f t="shared" ca="1" si="31"/>
        <v>25.657534246575342</v>
      </c>
    </row>
    <row r="1002" spans="1:19" x14ac:dyDescent="0.25">
      <c r="A1002">
        <v>4035071</v>
      </c>
      <c r="B1002" t="s">
        <v>450</v>
      </c>
      <c r="C1002" t="s">
        <v>17</v>
      </c>
      <c r="D1002" s="6" t="s">
        <v>22</v>
      </c>
      <c r="E1002" t="s">
        <v>43</v>
      </c>
      <c r="G1002" s="6" t="s">
        <v>968</v>
      </c>
      <c r="H1002" s="59" t="s">
        <v>1009</v>
      </c>
      <c r="I1002" s="58" t="s">
        <v>847</v>
      </c>
      <c r="J1002" t="s">
        <v>830</v>
      </c>
      <c r="K1002" t="s">
        <v>94</v>
      </c>
      <c r="L1002" t="s">
        <v>25</v>
      </c>
      <c r="M1002" t="s">
        <v>1163</v>
      </c>
      <c r="N1002" s="57">
        <v>1200</v>
      </c>
      <c r="O1002" t="s">
        <v>100</v>
      </c>
      <c r="P1002" t="s">
        <v>38</v>
      </c>
      <c r="Q1002" s="3">
        <v>44252</v>
      </c>
      <c r="R1002" s="10">
        <f t="shared" ca="1" si="30"/>
        <v>46229</v>
      </c>
      <c r="S1002" s="7">
        <f t="shared" ca="1" si="31"/>
        <v>5.4164383561643836</v>
      </c>
    </row>
    <row r="1003" spans="1:19" x14ac:dyDescent="0.25">
      <c r="A1003">
        <v>4105671</v>
      </c>
      <c r="B1003" t="s">
        <v>652</v>
      </c>
      <c r="C1003" t="s">
        <v>17</v>
      </c>
      <c r="D1003" s="6" t="s">
        <v>22</v>
      </c>
      <c r="E1003" t="s">
        <v>70</v>
      </c>
      <c r="G1003" s="6" t="s">
        <v>968</v>
      </c>
      <c r="H1003" s="59" t="s">
        <v>1027</v>
      </c>
      <c r="I1003" s="58" t="s">
        <v>847</v>
      </c>
      <c r="J1003" t="s">
        <v>830</v>
      </c>
      <c r="K1003" t="s">
        <v>94</v>
      </c>
      <c r="L1003" t="s">
        <v>1038</v>
      </c>
      <c r="M1003" t="s">
        <v>1163</v>
      </c>
      <c r="N1003" s="57">
        <v>1200</v>
      </c>
      <c r="O1003" t="s">
        <v>100</v>
      </c>
      <c r="P1003" t="s">
        <v>93</v>
      </c>
      <c r="Q1003" s="3">
        <v>45561</v>
      </c>
      <c r="R1003" s="10">
        <f t="shared" ca="1" si="30"/>
        <v>46229</v>
      </c>
      <c r="S1003" s="7">
        <f t="shared" ca="1" si="31"/>
        <v>1.8301369863013699</v>
      </c>
    </row>
    <row r="1004" spans="1:19" x14ac:dyDescent="0.25">
      <c r="A1004">
        <v>1093188</v>
      </c>
      <c r="B1004" t="s">
        <v>150</v>
      </c>
      <c r="C1004" t="s">
        <v>17</v>
      </c>
      <c r="D1004" s="6" t="s">
        <v>39</v>
      </c>
      <c r="E1004" t="s">
        <v>58</v>
      </c>
      <c r="G1004" s="6" t="s">
        <v>1840</v>
      </c>
      <c r="H1004" s="59" t="s">
        <v>92</v>
      </c>
      <c r="I1004" s="58" t="s">
        <v>30</v>
      </c>
      <c r="J1004" t="s">
        <v>31</v>
      </c>
      <c r="K1004" t="s">
        <v>94</v>
      </c>
      <c r="L1004" t="s">
        <v>966</v>
      </c>
      <c r="M1004" t="s">
        <v>1163</v>
      </c>
      <c r="N1004" s="57">
        <v>6900</v>
      </c>
      <c r="O1004" t="s">
        <v>100</v>
      </c>
      <c r="P1004" t="s">
        <v>38</v>
      </c>
      <c r="Q1004" s="3">
        <v>43556</v>
      </c>
      <c r="R1004" s="10">
        <f t="shared" ca="1" si="30"/>
        <v>46229</v>
      </c>
      <c r="S1004" s="7">
        <f t="shared" ca="1" si="31"/>
        <v>7.3232876712328769</v>
      </c>
    </row>
    <row r="1005" spans="1:19" x14ac:dyDescent="0.25">
      <c r="A1005">
        <v>1180344</v>
      </c>
      <c r="B1005" t="s">
        <v>240</v>
      </c>
      <c r="C1005" t="s">
        <v>17</v>
      </c>
      <c r="D1005" s="6" t="s">
        <v>39</v>
      </c>
      <c r="E1005" t="s">
        <v>58</v>
      </c>
      <c r="G1005" s="6" t="s">
        <v>1840</v>
      </c>
      <c r="H1005" s="59" t="s">
        <v>92</v>
      </c>
      <c r="I1005" s="58" t="s">
        <v>30</v>
      </c>
      <c r="J1005" t="s">
        <v>31</v>
      </c>
      <c r="K1005" t="s">
        <v>94</v>
      </c>
      <c r="L1005" t="s">
        <v>966</v>
      </c>
      <c r="M1005" t="s">
        <v>1163</v>
      </c>
      <c r="N1005" s="57">
        <v>6900</v>
      </c>
      <c r="O1005" t="s">
        <v>100</v>
      </c>
      <c r="P1005" t="s">
        <v>38</v>
      </c>
      <c r="Q1005" s="3">
        <v>45124</v>
      </c>
      <c r="R1005" s="10">
        <f t="shared" ca="1" si="30"/>
        <v>46229</v>
      </c>
      <c r="S1005" s="7">
        <f t="shared" ca="1" si="31"/>
        <v>3.0273972602739727</v>
      </c>
    </row>
    <row r="1006" spans="1:19" x14ac:dyDescent="0.25">
      <c r="A1006">
        <v>1205758</v>
      </c>
      <c r="B1006" t="s">
        <v>284</v>
      </c>
      <c r="C1006" t="s">
        <v>17</v>
      </c>
      <c r="D1006" s="6" t="s">
        <v>39</v>
      </c>
      <c r="E1006" t="s">
        <v>58</v>
      </c>
      <c r="G1006" s="6" t="s">
        <v>1840</v>
      </c>
      <c r="H1006" s="59" t="s">
        <v>92</v>
      </c>
      <c r="I1006" s="58" t="s">
        <v>30</v>
      </c>
      <c r="J1006" t="s">
        <v>31</v>
      </c>
      <c r="K1006" t="s">
        <v>94</v>
      </c>
      <c r="L1006" t="s">
        <v>966</v>
      </c>
      <c r="M1006" t="s">
        <v>1163</v>
      </c>
      <c r="N1006" s="57">
        <v>6900</v>
      </c>
      <c r="O1006" t="s">
        <v>100</v>
      </c>
      <c r="P1006" t="s">
        <v>38</v>
      </c>
      <c r="Q1006" s="3">
        <v>45754</v>
      </c>
      <c r="R1006" s="10">
        <f t="shared" ca="1" si="30"/>
        <v>46229</v>
      </c>
      <c r="S1006" s="7">
        <f t="shared" ca="1" si="31"/>
        <v>1.3013698630136987</v>
      </c>
    </row>
    <row r="1007" spans="1:19" x14ac:dyDescent="0.25">
      <c r="A1007">
        <v>26579</v>
      </c>
      <c r="B1007" t="s">
        <v>329</v>
      </c>
      <c r="C1007" t="s">
        <v>17</v>
      </c>
      <c r="D1007" s="6" t="s">
        <v>22</v>
      </c>
      <c r="E1007" t="s">
        <v>72</v>
      </c>
      <c r="G1007" s="6" t="s">
        <v>1840</v>
      </c>
      <c r="H1007" s="59" t="s">
        <v>1018</v>
      </c>
      <c r="I1007" s="58" t="s">
        <v>30</v>
      </c>
      <c r="J1007" t="s">
        <v>31</v>
      </c>
      <c r="K1007" t="s">
        <v>94</v>
      </c>
      <c r="L1007" t="s">
        <v>966</v>
      </c>
      <c r="M1007" t="s">
        <v>1163</v>
      </c>
      <c r="N1007" s="57">
        <v>1300</v>
      </c>
      <c r="O1007" t="s">
        <v>100</v>
      </c>
      <c r="P1007" t="s">
        <v>93</v>
      </c>
      <c r="Q1007" s="3">
        <v>38985</v>
      </c>
      <c r="R1007" s="10">
        <f t="shared" ca="1" si="30"/>
        <v>46229</v>
      </c>
      <c r="S1007" s="7">
        <f t="shared" ca="1" si="31"/>
        <v>19.846575342465755</v>
      </c>
    </row>
    <row r="1008" spans="1:19" x14ac:dyDescent="0.25">
      <c r="A1008">
        <v>4067624</v>
      </c>
      <c r="B1008" t="s">
        <v>521</v>
      </c>
      <c r="C1008" t="s">
        <v>17</v>
      </c>
      <c r="D1008" s="6" t="s">
        <v>22</v>
      </c>
      <c r="E1008" t="s">
        <v>50</v>
      </c>
      <c r="G1008" s="6" t="s">
        <v>970</v>
      </c>
      <c r="H1008" s="59" t="s">
        <v>1031</v>
      </c>
      <c r="I1008" s="58" t="s">
        <v>1535</v>
      </c>
      <c r="J1008" t="s">
        <v>895</v>
      </c>
      <c r="K1008" t="s">
        <v>1532</v>
      </c>
      <c r="L1008" t="s">
        <v>966</v>
      </c>
      <c r="M1008" t="s">
        <v>1163</v>
      </c>
      <c r="N1008" s="57">
        <v>1200</v>
      </c>
      <c r="O1008" t="s">
        <v>100</v>
      </c>
      <c r="P1008" t="s">
        <v>93</v>
      </c>
      <c r="Q1008" s="3">
        <v>45418</v>
      </c>
      <c r="R1008" s="10">
        <f t="shared" ca="1" si="30"/>
        <v>46229</v>
      </c>
      <c r="S1008" s="7">
        <f t="shared" ca="1" si="31"/>
        <v>2.2219178082191782</v>
      </c>
    </row>
    <row r="1009" spans="1:19" x14ac:dyDescent="0.25">
      <c r="A1009">
        <v>3008445</v>
      </c>
      <c r="B1009" t="s">
        <v>1461</v>
      </c>
      <c r="C1009" t="s">
        <v>17</v>
      </c>
      <c r="D1009" s="6" t="s">
        <v>22</v>
      </c>
      <c r="E1009" t="s">
        <v>53</v>
      </c>
      <c r="G1009" s="6" t="s">
        <v>967</v>
      </c>
      <c r="H1009" s="59" t="s">
        <v>1023</v>
      </c>
      <c r="I1009" s="58" t="s">
        <v>1534</v>
      </c>
      <c r="J1009" t="s">
        <v>922</v>
      </c>
      <c r="K1009" t="s">
        <v>826</v>
      </c>
      <c r="L1009" t="s">
        <v>91</v>
      </c>
      <c r="M1009" t="s">
        <v>1163</v>
      </c>
      <c r="N1009" s="57">
        <v>1200</v>
      </c>
      <c r="O1009" t="s">
        <v>100</v>
      </c>
      <c r="P1009" t="s">
        <v>93</v>
      </c>
      <c r="Q1009" s="3">
        <v>45470</v>
      </c>
      <c r="R1009" s="10">
        <f t="shared" ca="1" si="30"/>
        <v>46229</v>
      </c>
      <c r="S1009" s="7">
        <f t="shared" ca="1" si="31"/>
        <v>2.0794520547945203</v>
      </c>
    </row>
    <row r="1010" spans="1:19" x14ac:dyDescent="0.25">
      <c r="A1010">
        <v>4003524</v>
      </c>
      <c r="B1010" t="s">
        <v>422</v>
      </c>
      <c r="C1010" t="s">
        <v>17</v>
      </c>
      <c r="D1010" s="6" t="s">
        <v>22</v>
      </c>
      <c r="E1010" t="s">
        <v>53</v>
      </c>
      <c r="G1010" s="6" t="s">
        <v>967</v>
      </c>
      <c r="H1010" s="59" t="s">
        <v>1023</v>
      </c>
      <c r="I1010" s="58" t="s">
        <v>1534</v>
      </c>
      <c r="J1010" t="s">
        <v>922</v>
      </c>
      <c r="K1010" t="s">
        <v>826</v>
      </c>
      <c r="L1010" t="s">
        <v>91</v>
      </c>
      <c r="M1010" t="s">
        <v>1163</v>
      </c>
      <c r="N1010" s="57">
        <v>1500</v>
      </c>
      <c r="O1010" t="s">
        <v>100</v>
      </c>
      <c r="P1010" t="s">
        <v>93</v>
      </c>
      <c r="Q1010" s="3">
        <v>45572</v>
      </c>
      <c r="R1010" s="10">
        <f t="shared" ca="1" si="30"/>
        <v>46229</v>
      </c>
      <c r="S1010" s="7">
        <f t="shared" ca="1" si="31"/>
        <v>1.8</v>
      </c>
    </row>
    <row r="1011" spans="1:19" x14ac:dyDescent="0.25">
      <c r="A1011">
        <v>4088325</v>
      </c>
      <c r="B1011" t="s">
        <v>567</v>
      </c>
      <c r="C1011" t="s">
        <v>17</v>
      </c>
      <c r="D1011" s="6" t="s">
        <v>22</v>
      </c>
      <c r="E1011" t="s">
        <v>88</v>
      </c>
      <c r="G1011" s="6" t="s">
        <v>967</v>
      </c>
      <c r="H1011" s="59" t="s">
        <v>1023</v>
      </c>
      <c r="I1011" s="58" t="s">
        <v>1534</v>
      </c>
      <c r="J1011" t="s">
        <v>922</v>
      </c>
      <c r="K1011" t="s">
        <v>826</v>
      </c>
      <c r="L1011" t="s">
        <v>91</v>
      </c>
      <c r="M1011" t="s">
        <v>1163</v>
      </c>
      <c r="N1011" s="57">
        <v>1500</v>
      </c>
      <c r="O1011" t="s">
        <v>100</v>
      </c>
      <c r="P1011" t="s">
        <v>93</v>
      </c>
      <c r="Q1011" s="3">
        <v>45050</v>
      </c>
      <c r="R1011" s="10">
        <f t="shared" ca="1" si="30"/>
        <v>46229</v>
      </c>
      <c r="S1011" s="7">
        <f t="shared" ca="1" si="31"/>
        <v>3.2301369863013698</v>
      </c>
    </row>
    <row r="1012" spans="1:19" x14ac:dyDescent="0.25">
      <c r="A1012">
        <v>4100911</v>
      </c>
      <c r="B1012" t="s">
        <v>615</v>
      </c>
      <c r="C1012" t="s">
        <v>17</v>
      </c>
      <c r="D1012" s="6" t="s">
        <v>22</v>
      </c>
      <c r="E1012" t="s">
        <v>88</v>
      </c>
      <c r="G1012" s="6" t="s">
        <v>967</v>
      </c>
      <c r="H1012" s="59" t="s">
        <v>1023</v>
      </c>
      <c r="I1012" s="58" t="s">
        <v>1534</v>
      </c>
      <c r="J1012" t="s">
        <v>922</v>
      </c>
      <c r="K1012" t="s">
        <v>826</v>
      </c>
      <c r="L1012" t="s">
        <v>91</v>
      </c>
      <c r="M1012" t="s">
        <v>1163</v>
      </c>
      <c r="N1012" s="57">
        <v>1500</v>
      </c>
      <c r="O1012" t="s">
        <v>100</v>
      </c>
      <c r="P1012" t="s">
        <v>93</v>
      </c>
      <c r="Q1012" s="3">
        <v>45442</v>
      </c>
      <c r="R1012" s="10">
        <f t="shared" ca="1" si="30"/>
        <v>46229</v>
      </c>
      <c r="S1012" s="7">
        <f t="shared" ca="1" si="31"/>
        <v>2.1561643835616437</v>
      </c>
    </row>
    <row r="1013" spans="1:19" x14ac:dyDescent="0.25">
      <c r="A1013">
        <v>4114890</v>
      </c>
      <c r="B1013" t="s">
        <v>1463</v>
      </c>
      <c r="C1013" t="s">
        <v>17</v>
      </c>
      <c r="D1013" s="6" t="s">
        <v>22</v>
      </c>
      <c r="E1013" t="s">
        <v>53</v>
      </c>
      <c r="G1013" s="6" t="s">
        <v>967</v>
      </c>
      <c r="H1013" s="59" t="s">
        <v>1023</v>
      </c>
      <c r="I1013" s="58" t="s">
        <v>1534</v>
      </c>
      <c r="J1013" t="s">
        <v>922</v>
      </c>
      <c r="K1013" t="s">
        <v>826</v>
      </c>
      <c r="L1013" t="s">
        <v>91</v>
      </c>
      <c r="M1013" t="s">
        <v>1163</v>
      </c>
      <c r="N1013" s="57">
        <v>1200</v>
      </c>
      <c r="O1013" t="s">
        <v>100</v>
      </c>
      <c r="P1013" t="s">
        <v>93</v>
      </c>
      <c r="Q1013" s="3">
        <v>45820</v>
      </c>
      <c r="R1013" s="10">
        <f t="shared" ca="1" si="30"/>
        <v>46229</v>
      </c>
      <c r="S1013" s="7">
        <f t="shared" ca="1" si="31"/>
        <v>1.1205479452054794</v>
      </c>
    </row>
    <row r="1014" spans="1:19" x14ac:dyDescent="0.25">
      <c r="A1014">
        <v>4116766</v>
      </c>
      <c r="B1014" t="s">
        <v>1491</v>
      </c>
      <c r="C1014" t="s">
        <v>17</v>
      </c>
      <c r="D1014" s="6" t="s">
        <v>22</v>
      </c>
      <c r="E1014" t="s">
        <v>53</v>
      </c>
      <c r="G1014" s="6" t="s">
        <v>967</v>
      </c>
      <c r="H1014" s="59" t="s">
        <v>1023</v>
      </c>
      <c r="I1014" s="58" t="s">
        <v>1534</v>
      </c>
      <c r="J1014" t="s">
        <v>922</v>
      </c>
      <c r="K1014" t="s">
        <v>826</v>
      </c>
      <c r="L1014" t="s">
        <v>91</v>
      </c>
      <c r="M1014" t="s">
        <v>1163</v>
      </c>
      <c r="N1014" s="57">
        <v>1500</v>
      </c>
      <c r="O1014" t="s">
        <v>100</v>
      </c>
      <c r="P1014" t="s">
        <v>93</v>
      </c>
      <c r="Q1014" s="3">
        <v>45925</v>
      </c>
      <c r="R1014" s="10">
        <f t="shared" ca="1" si="30"/>
        <v>46229</v>
      </c>
      <c r="S1014" s="7">
        <f t="shared" ca="1" si="31"/>
        <v>0.83287671232876714</v>
      </c>
    </row>
    <row r="1015" spans="1:19" x14ac:dyDescent="0.25">
      <c r="A1015">
        <v>572147</v>
      </c>
      <c r="B1015" t="s">
        <v>702</v>
      </c>
      <c r="C1015" t="s">
        <v>17</v>
      </c>
      <c r="D1015" s="6" t="s">
        <v>22</v>
      </c>
      <c r="E1015" t="s">
        <v>53</v>
      </c>
      <c r="G1015" s="6" t="s">
        <v>967</v>
      </c>
      <c r="H1015" s="59" t="s">
        <v>1023</v>
      </c>
      <c r="I1015" s="58" t="s">
        <v>1534</v>
      </c>
      <c r="J1015" t="s">
        <v>922</v>
      </c>
      <c r="K1015" t="s">
        <v>826</v>
      </c>
      <c r="L1015" t="s">
        <v>91</v>
      </c>
      <c r="M1015" t="s">
        <v>1163</v>
      </c>
      <c r="N1015" s="57">
        <v>1500</v>
      </c>
      <c r="O1015" t="s">
        <v>100</v>
      </c>
      <c r="P1015" t="s">
        <v>93</v>
      </c>
      <c r="Q1015" s="3">
        <v>43587</v>
      </c>
      <c r="R1015" s="10">
        <f t="shared" ca="1" si="30"/>
        <v>46229</v>
      </c>
      <c r="S1015" s="7">
        <f t="shared" ca="1" si="31"/>
        <v>7.2383561643835614</v>
      </c>
    </row>
    <row r="1016" spans="1:19" x14ac:dyDescent="0.25">
      <c r="A1016">
        <v>1087839</v>
      </c>
      <c r="B1016" t="s">
        <v>143</v>
      </c>
      <c r="C1016" t="s">
        <v>17</v>
      </c>
      <c r="D1016" s="6" t="s">
        <v>22</v>
      </c>
      <c r="E1016" t="s">
        <v>79</v>
      </c>
      <c r="G1016" s="6" t="s">
        <v>971</v>
      </c>
      <c r="H1016" s="59" t="s">
        <v>1013</v>
      </c>
      <c r="I1016" s="58" t="s">
        <v>870</v>
      </c>
      <c r="J1016" t="s">
        <v>857</v>
      </c>
      <c r="K1016" t="s">
        <v>845</v>
      </c>
      <c r="L1016" t="s">
        <v>1038</v>
      </c>
      <c r="M1016" t="s">
        <v>1163</v>
      </c>
      <c r="N1016" s="57">
        <v>1300</v>
      </c>
      <c r="O1016" t="s">
        <v>100</v>
      </c>
      <c r="P1016" t="s">
        <v>38</v>
      </c>
      <c r="Q1016" s="3">
        <v>45628</v>
      </c>
      <c r="R1016" s="10">
        <f t="shared" ca="1" si="30"/>
        <v>46229</v>
      </c>
      <c r="S1016" s="7">
        <f t="shared" ca="1" si="31"/>
        <v>1.6465753424657534</v>
      </c>
    </row>
    <row r="1017" spans="1:19" x14ac:dyDescent="0.25">
      <c r="A1017">
        <v>26476</v>
      </c>
      <c r="B1017" t="s">
        <v>326</v>
      </c>
      <c r="C1017" t="s">
        <v>17</v>
      </c>
      <c r="D1017" s="6" t="s">
        <v>22</v>
      </c>
      <c r="E1017" t="s">
        <v>79</v>
      </c>
      <c r="G1017" s="6" t="s">
        <v>971</v>
      </c>
      <c r="H1017" s="59" t="s">
        <v>1013</v>
      </c>
      <c r="I1017" s="58" t="s">
        <v>870</v>
      </c>
      <c r="J1017" t="s">
        <v>857</v>
      </c>
      <c r="K1017" t="s">
        <v>845</v>
      </c>
      <c r="L1017" t="s">
        <v>25</v>
      </c>
      <c r="M1017" t="s">
        <v>1163</v>
      </c>
      <c r="N1017" s="57">
        <v>1300</v>
      </c>
      <c r="O1017" t="s">
        <v>100</v>
      </c>
      <c r="P1017" t="s">
        <v>93</v>
      </c>
      <c r="Q1017" s="3">
        <v>38873</v>
      </c>
      <c r="R1017" s="10">
        <f t="shared" ca="1" si="30"/>
        <v>46229</v>
      </c>
      <c r="S1017" s="7">
        <f t="shared" ca="1" si="31"/>
        <v>20.153424657534245</v>
      </c>
    </row>
    <row r="1018" spans="1:19" x14ac:dyDescent="0.25">
      <c r="A1018">
        <v>26670</v>
      </c>
      <c r="B1018" t="s">
        <v>330</v>
      </c>
      <c r="C1018" t="s">
        <v>17</v>
      </c>
      <c r="D1018" s="6" t="s">
        <v>22</v>
      </c>
      <c r="E1018" t="s">
        <v>949</v>
      </c>
      <c r="G1018" s="6" t="s">
        <v>971</v>
      </c>
      <c r="H1018" s="59" t="s">
        <v>1013</v>
      </c>
      <c r="I1018" s="58" t="s">
        <v>870</v>
      </c>
      <c r="J1018" t="s">
        <v>857</v>
      </c>
      <c r="K1018" t="s">
        <v>845</v>
      </c>
      <c r="L1018" t="s">
        <v>1038</v>
      </c>
      <c r="M1018" t="s">
        <v>1163</v>
      </c>
      <c r="N1018" s="57">
        <v>1300</v>
      </c>
      <c r="O1018" t="s">
        <v>100</v>
      </c>
      <c r="P1018" t="s">
        <v>93</v>
      </c>
      <c r="Q1018" s="3">
        <v>42562</v>
      </c>
      <c r="R1018" s="10">
        <f t="shared" ca="1" si="30"/>
        <v>46229</v>
      </c>
      <c r="S1018" s="7">
        <f t="shared" ca="1" si="31"/>
        <v>10.046575342465754</v>
      </c>
    </row>
    <row r="1019" spans="1:19" x14ac:dyDescent="0.25">
      <c r="A1019">
        <v>4046915</v>
      </c>
      <c r="B1019" t="s">
        <v>472</v>
      </c>
      <c r="C1019" t="s">
        <v>17</v>
      </c>
      <c r="D1019" s="6" t="s">
        <v>22</v>
      </c>
      <c r="E1019" t="s">
        <v>949</v>
      </c>
      <c r="G1019" s="6" t="s">
        <v>971</v>
      </c>
      <c r="H1019" s="59" t="s">
        <v>1013</v>
      </c>
      <c r="I1019" s="58" t="s">
        <v>870</v>
      </c>
      <c r="J1019" t="s">
        <v>857</v>
      </c>
      <c r="K1019" t="s">
        <v>845</v>
      </c>
      <c r="L1019" t="s">
        <v>25</v>
      </c>
      <c r="M1019" t="s">
        <v>1163</v>
      </c>
      <c r="N1019" s="57">
        <v>1200</v>
      </c>
      <c r="O1019" t="s">
        <v>100</v>
      </c>
      <c r="P1019" t="s">
        <v>93</v>
      </c>
      <c r="Q1019" s="3">
        <v>45411</v>
      </c>
      <c r="R1019" s="10">
        <f t="shared" ca="1" si="30"/>
        <v>46229</v>
      </c>
      <c r="S1019" s="7">
        <f t="shared" ca="1" si="31"/>
        <v>2.2410958904109588</v>
      </c>
    </row>
    <row r="1020" spans="1:19" x14ac:dyDescent="0.25">
      <c r="A1020">
        <v>559619</v>
      </c>
      <c r="B1020" t="s">
        <v>699</v>
      </c>
      <c r="C1020" t="s">
        <v>17</v>
      </c>
      <c r="D1020" s="6" t="s">
        <v>22</v>
      </c>
      <c r="E1020" t="s">
        <v>949</v>
      </c>
      <c r="G1020" s="6" t="s">
        <v>971</v>
      </c>
      <c r="H1020" s="59" t="s">
        <v>1013</v>
      </c>
      <c r="I1020" s="58" t="s">
        <v>870</v>
      </c>
      <c r="J1020" t="s">
        <v>857</v>
      </c>
      <c r="K1020" t="s">
        <v>845</v>
      </c>
      <c r="L1020" t="s">
        <v>91</v>
      </c>
      <c r="M1020" t="s">
        <v>1163</v>
      </c>
      <c r="N1020" s="57">
        <v>1300</v>
      </c>
      <c r="O1020" t="s">
        <v>100</v>
      </c>
      <c r="P1020" t="s">
        <v>93</v>
      </c>
      <c r="Q1020" s="3">
        <v>41736</v>
      </c>
      <c r="R1020" s="10">
        <f t="shared" ca="1" si="30"/>
        <v>46229</v>
      </c>
      <c r="S1020" s="7">
        <f t="shared" ca="1" si="31"/>
        <v>12.30958904109589</v>
      </c>
    </row>
    <row r="1021" spans="1:19" x14ac:dyDescent="0.25">
      <c r="A1021">
        <v>986760</v>
      </c>
      <c r="B1021" t="s">
        <v>1577</v>
      </c>
      <c r="C1021" t="s">
        <v>17</v>
      </c>
      <c r="D1021" s="6" t="s">
        <v>22</v>
      </c>
      <c r="E1021" t="s">
        <v>43</v>
      </c>
      <c r="G1021" s="6" t="s">
        <v>971</v>
      </c>
      <c r="H1021" s="59" t="s">
        <v>1021</v>
      </c>
      <c r="I1021" s="58" t="s">
        <v>870</v>
      </c>
      <c r="J1021" t="s">
        <v>857</v>
      </c>
      <c r="K1021" t="s">
        <v>845</v>
      </c>
      <c r="L1021" t="s">
        <v>1038</v>
      </c>
      <c r="M1021" t="s">
        <v>1163</v>
      </c>
      <c r="N1021" s="57">
        <v>1300</v>
      </c>
      <c r="O1021" t="s">
        <v>100</v>
      </c>
      <c r="P1021" t="s">
        <v>93</v>
      </c>
      <c r="Q1021" s="3">
        <v>42674</v>
      </c>
      <c r="R1021" s="10">
        <f t="shared" ca="1" si="30"/>
        <v>46229</v>
      </c>
      <c r="S1021" s="7">
        <f t="shared" ca="1" si="31"/>
        <v>9.7397260273972606</v>
      </c>
    </row>
    <row r="1022" spans="1:19" x14ac:dyDescent="0.25">
      <c r="A1022">
        <v>1133192</v>
      </c>
      <c r="B1022" t="s">
        <v>1432</v>
      </c>
      <c r="C1022" t="s">
        <v>17</v>
      </c>
      <c r="D1022" s="6" t="s">
        <v>39</v>
      </c>
      <c r="E1022" t="s">
        <v>1452</v>
      </c>
      <c r="G1022" s="6" t="s">
        <v>1452</v>
      </c>
      <c r="H1022" s="59" t="s">
        <v>92</v>
      </c>
      <c r="I1022" s="58" t="s">
        <v>1434</v>
      </c>
      <c r="J1022" t="s">
        <v>1435</v>
      </c>
      <c r="K1022" t="s">
        <v>1436</v>
      </c>
      <c r="L1022" t="s">
        <v>966</v>
      </c>
      <c r="M1022" t="s">
        <v>1034</v>
      </c>
      <c r="N1022" s="1">
        <v>7300</v>
      </c>
      <c r="O1022" t="s">
        <v>100</v>
      </c>
      <c r="P1022" t="s">
        <v>38</v>
      </c>
      <c r="Q1022" s="3">
        <v>44389</v>
      </c>
      <c r="R1022" s="10">
        <f t="shared" ca="1" si="30"/>
        <v>46229</v>
      </c>
      <c r="S1022" s="1">
        <v>4.8904109589041092</v>
      </c>
    </row>
    <row r="1023" spans="1:19" x14ac:dyDescent="0.25">
      <c r="A1023">
        <v>1165976</v>
      </c>
      <c r="B1023" t="s">
        <v>1433</v>
      </c>
      <c r="C1023" t="s">
        <v>17</v>
      </c>
      <c r="D1023" s="6" t="s">
        <v>39</v>
      </c>
      <c r="E1023" t="s">
        <v>1452</v>
      </c>
      <c r="G1023" s="6" t="s">
        <v>1452</v>
      </c>
      <c r="H1023" s="59" t="s">
        <v>92</v>
      </c>
      <c r="I1023" s="58" t="s">
        <v>1434</v>
      </c>
      <c r="J1023" t="s">
        <v>1435</v>
      </c>
      <c r="K1023" t="s">
        <v>1436</v>
      </c>
      <c r="L1023" t="s">
        <v>966</v>
      </c>
      <c r="M1023" t="s">
        <v>1034</v>
      </c>
      <c r="N1023" s="1">
        <v>7300</v>
      </c>
      <c r="O1023" t="s">
        <v>100</v>
      </c>
      <c r="P1023" t="s">
        <v>38</v>
      </c>
      <c r="Q1023" s="3">
        <v>46125</v>
      </c>
      <c r="R1023" s="10">
        <f t="shared" ca="1" si="30"/>
        <v>46229</v>
      </c>
      <c r="S1023" s="1">
        <v>0.13424657534246576</v>
      </c>
    </row>
    <row r="1024" spans="1:19" x14ac:dyDescent="0.25">
      <c r="A1024">
        <v>28937</v>
      </c>
      <c r="B1024" t="s">
        <v>349</v>
      </c>
      <c r="C1024" t="s">
        <v>17</v>
      </c>
      <c r="D1024" s="6" t="s">
        <v>22</v>
      </c>
      <c r="E1024" t="s">
        <v>21</v>
      </c>
      <c r="G1024" s="6" t="s">
        <v>968</v>
      </c>
      <c r="H1024" s="59" t="s">
        <v>1019</v>
      </c>
      <c r="I1024" s="58" t="s">
        <v>912</v>
      </c>
      <c r="J1024" t="s">
        <v>829</v>
      </c>
      <c r="K1024" t="s">
        <v>830</v>
      </c>
      <c r="L1024" t="s">
        <v>1038</v>
      </c>
      <c r="M1024" t="s">
        <v>1163</v>
      </c>
      <c r="N1024" s="57">
        <v>1200</v>
      </c>
      <c r="O1024" t="s">
        <v>100</v>
      </c>
      <c r="P1024" t="s">
        <v>93</v>
      </c>
      <c r="Q1024" s="3">
        <v>45544</v>
      </c>
      <c r="R1024" s="10">
        <f t="shared" ca="1" si="30"/>
        <v>46229</v>
      </c>
      <c r="S1024" s="7">
        <f t="shared" ref="S1024:S1087" ca="1" si="32">(R1024-Q1024)/365</f>
        <v>1.8767123287671232</v>
      </c>
    </row>
    <row r="1025" spans="1:19" x14ac:dyDescent="0.25">
      <c r="A1025">
        <v>4065557</v>
      </c>
      <c r="B1025" t="s">
        <v>517</v>
      </c>
      <c r="C1025" t="s">
        <v>17</v>
      </c>
      <c r="D1025" s="6" t="s">
        <v>22</v>
      </c>
      <c r="E1025" t="s">
        <v>21</v>
      </c>
      <c r="G1025" s="6" t="s">
        <v>968</v>
      </c>
      <c r="H1025" s="59" t="s">
        <v>1019</v>
      </c>
      <c r="I1025" s="58" t="s">
        <v>912</v>
      </c>
      <c r="J1025" t="s">
        <v>829</v>
      </c>
      <c r="K1025" t="s">
        <v>830</v>
      </c>
      <c r="L1025" t="s">
        <v>1038</v>
      </c>
      <c r="M1025" t="s">
        <v>1163</v>
      </c>
      <c r="N1025" s="57">
        <v>1200</v>
      </c>
      <c r="O1025" t="s">
        <v>100</v>
      </c>
      <c r="P1025" t="s">
        <v>93</v>
      </c>
      <c r="Q1025" s="3">
        <v>44805</v>
      </c>
      <c r="R1025" s="10">
        <f t="shared" ca="1" si="30"/>
        <v>46229</v>
      </c>
      <c r="S1025" s="7">
        <f t="shared" ca="1" si="32"/>
        <v>3.9013698630136986</v>
      </c>
    </row>
    <row r="1026" spans="1:19" x14ac:dyDescent="0.25">
      <c r="A1026">
        <v>4066286</v>
      </c>
      <c r="B1026" t="s">
        <v>519</v>
      </c>
      <c r="C1026" t="s">
        <v>17</v>
      </c>
      <c r="D1026" s="6" t="s">
        <v>22</v>
      </c>
      <c r="E1026" t="s">
        <v>21</v>
      </c>
      <c r="G1026" s="6" t="s">
        <v>968</v>
      </c>
      <c r="H1026" s="59" t="s">
        <v>1019</v>
      </c>
      <c r="I1026" s="58" t="s">
        <v>912</v>
      </c>
      <c r="J1026" t="s">
        <v>829</v>
      </c>
      <c r="K1026" t="s">
        <v>830</v>
      </c>
      <c r="L1026" t="s">
        <v>1038</v>
      </c>
      <c r="M1026" t="s">
        <v>1163</v>
      </c>
      <c r="N1026" s="57">
        <v>1200</v>
      </c>
      <c r="O1026" t="s">
        <v>100</v>
      </c>
      <c r="P1026" t="s">
        <v>93</v>
      </c>
      <c r="Q1026" s="3">
        <v>45701</v>
      </c>
      <c r="R1026" s="10">
        <f t="shared" ca="1" si="30"/>
        <v>46229</v>
      </c>
      <c r="S1026" s="7">
        <f t="shared" ca="1" si="32"/>
        <v>1.4465753424657535</v>
      </c>
    </row>
    <row r="1027" spans="1:19" x14ac:dyDescent="0.25">
      <c r="A1027">
        <v>4067629</v>
      </c>
      <c r="B1027" t="s">
        <v>522</v>
      </c>
      <c r="C1027" t="s">
        <v>17</v>
      </c>
      <c r="D1027" s="6" t="s">
        <v>22</v>
      </c>
      <c r="E1027" t="s">
        <v>21</v>
      </c>
      <c r="G1027" s="6" t="s">
        <v>968</v>
      </c>
      <c r="H1027" s="59" t="s">
        <v>1019</v>
      </c>
      <c r="I1027" s="58" t="s">
        <v>912</v>
      </c>
      <c r="J1027" t="s">
        <v>829</v>
      </c>
      <c r="K1027" t="s">
        <v>830</v>
      </c>
      <c r="L1027" t="s">
        <v>1038</v>
      </c>
      <c r="M1027" t="s">
        <v>1163</v>
      </c>
      <c r="N1027" s="57">
        <v>1200</v>
      </c>
      <c r="O1027" t="s">
        <v>100</v>
      </c>
      <c r="P1027" t="s">
        <v>93</v>
      </c>
      <c r="Q1027" s="3">
        <v>44823</v>
      </c>
      <c r="R1027" s="10">
        <f t="shared" ref="R1027:R1090" ca="1" si="33">TODAY()</f>
        <v>46229</v>
      </c>
      <c r="S1027" s="7">
        <f t="shared" ca="1" si="32"/>
        <v>3.8520547945205479</v>
      </c>
    </row>
    <row r="1028" spans="1:19" x14ac:dyDescent="0.25">
      <c r="A1028">
        <v>4069770</v>
      </c>
      <c r="B1028" t="s">
        <v>524</v>
      </c>
      <c r="C1028" t="s">
        <v>17</v>
      </c>
      <c r="D1028" s="6" t="s">
        <v>22</v>
      </c>
      <c r="E1028" t="s">
        <v>21</v>
      </c>
      <c r="G1028" s="6" t="s">
        <v>968</v>
      </c>
      <c r="H1028" s="59" t="s">
        <v>1019</v>
      </c>
      <c r="I1028" s="58" t="s">
        <v>912</v>
      </c>
      <c r="J1028" t="s">
        <v>829</v>
      </c>
      <c r="K1028" t="s">
        <v>830</v>
      </c>
      <c r="L1028" t="s">
        <v>1038</v>
      </c>
      <c r="M1028" t="s">
        <v>1163</v>
      </c>
      <c r="N1028" s="57">
        <v>1200</v>
      </c>
      <c r="O1028" t="s">
        <v>100</v>
      </c>
      <c r="P1028" t="s">
        <v>93</v>
      </c>
      <c r="Q1028" s="3">
        <v>44840</v>
      </c>
      <c r="R1028" s="10">
        <f t="shared" ca="1" si="33"/>
        <v>46229</v>
      </c>
      <c r="S1028" s="7">
        <f t="shared" ca="1" si="32"/>
        <v>3.8054794520547945</v>
      </c>
    </row>
    <row r="1029" spans="1:19" x14ac:dyDescent="0.25">
      <c r="A1029">
        <v>4071620</v>
      </c>
      <c r="B1029" t="s">
        <v>1205</v>
      </c>
      <c r="C1029" t="s">
        <v>1044</v>
      </c>
      <c r="D1029" s="6" t="s">
        <v>22</v>
      </c>
      <c r="E1029" t="s">
        <v>21</v>
      </c>
      <c r="G1029" s="6" t="s">
        <v>968</v>
      </c>
      <c r="H1029" s="59" t="s">
        <v>1019</v>
      </c>
      <c r="I1029" s="58" t="s">
        <v>912</v>
      </c>
      <c r="J1029" t="s">
        <v>829</v>
      </c>
      <c r="K1029" t="s">
        <v>830</v>
      </c>
      <c r="L1029" t="s">
        <v>1038</v>
      </c>
      <c r="M1029" t="s">
        <v>1163</v>
      </c>
      <c r="N1029" s="57">
        <v>1200</v>
      </c>
      <c r="O1029" t="s">
        <v>100</v>
      </c>
      <c r="P1029" t="s">
        <v>93</v>
      </c>
      <c r="Q1029" s="3">
        <v>46111</v>
      </c>
      <c r="R1029" s="10">
        <f t="shared" ca="1" si="33"/>
        <v>46229</v>
      </c>
      <c r="S1029" s="7">
        <f t="shared" ca="1" si="32"/>
        <v>0.32328767123287672</v>
      </c>
    </row>
    <row r="1030" spans="1:19" x14ac:dyDescent="0.25">
      <c r="A1030">
        <v>4103322</v>
      </c>
      <c r="B1030" t="s">
        <v>637</v>
      </c>
      <c r="C1030" t="s">
        <v>17</v>
      </c>
      <c r="D1030" s="6" t="s">
        <v>22</v>
      </c>
      <c r="E1030" t="s">
        <v>21</v>
      </c>
      <c r="G1030" s="6" t="s">
        <v>968</v>
      </c>
      <c r="H1030" s="59" t="s">
        <v>1019</v>
      </c>
      <c r="I1030" s="58" t="s">
        <v>912</v>
      </c>
      <c r="J1030" t="s">
        <v>829</v>
      </c>
      <c r="K1030" t="s">
        <v>830</v>
      </c>
      <c r="L1030" t="s">
        <v>1038</v>
      </c>
      <c r="M1030" t="s">
        <v>1163</v>
      </c>
      <c r="N1030" s="57">
        <v>1200</v>
      </c>
      <c r="O1030" t="s">
        <v>100</v>
      </c>
      <c r="P1030" t="s">
        <v>93</v>
      </c>
      <c r="Q1030" s="3">
        <v>45505</v>
      </c>
      <c r="R1030" s="10">
        <f t="shared" ca="1" si="33"/>
        <v>46229</v>
      </c>
      <c r="S1030" s="7">
        <f t="shared" ca="1" si="32"/>
        <v>1.9835616438356165</v>
      </c>
    </row>
    <row r="1031" spans="1:19" x14ac:dyDescent="0.25">
      <c r="A1031">
        <v>4103329</v>
      </c>
      <c r="B1031" t="s">
        <v>639</v>
      </c>
      <c r="C1031" t="s">
        <v>17</v>
      </c>
      <c r="D1031" s="6" t="s">
        <v>22</v>
      </c>
      <c r="E1031" t="s">
        <v>21</v>
      </c>
      <c r="G1031" s="6" t="s">
        <v>968</v>
      </c>
      <c r="H1031" s="59" t="s">
        <v>1019</v>
      </c>
      <c r="I1031" s="58" t="s">
        <v>912</v>
      </c>
      <c r="J1031" t="s">
        <v>829</v>
      </c>
      <c r="K1031" t="s">
        <v>830</v>
      </c>
      <c r="L1031" t="s">
        <v>1038</v>
      </c>
      <c r="M1031" t="s">
        <v>1163</v>
      </c>
      <c r="N1031" s="57">
        <v>1200</v>
      </c>
      <c r="O1031" t="s">
        <v>100</v>
      </c>
      <c r="P1031" t="s">
        <v>93</v>
      </c>
      <c r="Q1031" s="3">
        <v>45505</v>
      </c>
      <c r="R1031" s="10">
        <f t="shared" ca="1" si="33"/>
        <v>46229</v>
      </c>
      <c r="S1031" s="7">
        <f t="shared" ca="1" si="32"/>
        <v>1.9835616438356165</v>
      </c>
    </row>
    <row r="1032" spans="1:19" x14ac:dyDescent="0.25">
      <c r="A1032">
        <v>4113280</v>
      </c>
      <c r="B1032" t="s">
        <v>684</v>
      </c>
      <c r="C1032" t="s">
        <v>17</v>
      </c>
      <c r="D1032" s="6" t="s">
        <v>22</v>
      </c>
      <c r="E1032" t="s">
        <v>21</v>
      </c>
      <c r="G1032" s="6" t="s">
        <v>968</v>
      </c>
      <c r="H1032" s="59" t="s">
        <v>1019</v>
      </c>
      <c r="I1032" s="58" t="s">
        <v>912</v>
      </c>
      <c r="J1032" t="s">
        <v>829</v>
      </c>
      <c r="K1032" t="s">
        <v>830</v>
      </c>
      <c r="L1032" t="s">
        <v>1038</v>
      </c>
      <c r="M1032" t="s">
        <v>1163</v>
      </c>
      <c r="N1032" s="57">
        <v>1200</v>
      </c>
      <c r="O1032" t="s">
        <v>100</v>
      </c>
      <c r="P1032" t="s">
        <v>93</v>
      </c>
      <c r="Q1032" s="3">
        <v>45729</v>
      </c>
      <c r="R1032" s="10">
        <f t="shared" ca="1" si="33"/>
        <v>46229</v>
      </c>
      <c r="S1032" s="7">
        <f t="shared" ca="1" si="32"/>
        <v>1.3698630136986301</v>
      </c>
    </row>
    <row r="1033" spans="1:19" x14ac:dyDescent="0.25">
      <c r="A1033">
        <v>4113308</v>
      </c>
      <c r="B1033" t="s">
        <v>688</v>
      </c>
      <c r="C1033" t="s">
        <v>17</v>
      </c>
      <c r="D1033" s="6" t="s">
        <v>22</v>
      </c>
      <c r="E1033" t="s">
        <v>21</v>
      </c>
      <c r="G1033" s="6" t="s">
        <v>968</v>
      </c>
      <c r="H1033" s="59" t="s">
        <v>1019</v>
      </c>
      <c r="I1033" s="58" t="s">
        <v>912</v>
      </c>
      <c r="J1033" t="s">
        <v>829</v>
      </c>
      <c r="K1033" t="s">
        <v>830</v>
      </c>
      <c r="L1033" t="s">
        <v>1038</v>
      </c>
      <c r="M1033" t="s">
        <v>1163</v>
      </c>
      <c r="N1033" s="57">
        <v>1200</v>
      </c>
      <c r="O1033" t="s">
        <v>100</v>
      </c>
      <c r="P1033" t="s">
        <v>93</v>
      </c>
      <c r="Q1033" s="3">
        <v>45734</v>
      </c>
      <c r="R1033" s="10">
        <f t="shared" ca="1" si="33"/>
        <v>46229</v>
      </c>
      <c r="S1033" s="7">
        <f t="shared" ca="1" si="32"/>
        <v>1.3561643835616439</v>
      </c>
    </row>
    <row r="1034" spans="1:19" x14ac:dyDescent="0.25">
      <c r="A1034">
        <v>4113462</v>
      </c>
      <c r="B1034" t="s">
        <v>691</v>
      </c>
      <c r="C1034" t="s">
        <v>17</v>
      </c>
      <c r="D1034" s="6" t="s">
        <v>22</v>
      </c>
      <c r="E1034" t="s">
        <v>21</v>
      </c>
      <c r="G1034" s="6" t="s">
        <v>968</v>
      </c>
      <c r="H1034" s="59" t="s">
        <v>1019</v>
      </c>
      <c r="I1034" s="58" t="s">
        <v>912</v>
      </c>
      <c r="J1034" t="s">
        <v>829</v>
      </c>
      <c r="K1034" t="s">
        <v>830</v>
      </c>
      <c r="L1034" t="s">
        <v>1038</v>
      </c>
      <c r="M1034" t="s">
        <v>1163</v>
      </c>
      <c r="N1034" s="57">
        <v>1200</v>
      </c>
      <c r="O1034" t="s">
        <v>100</v>
      </c>
      <c r="P1034" t="s">
        <v>93</v>
      </c>
      <c r="Q1034" s="3">
        <v>45757</v>
      </c>
      <c r="R1034" s="10">
        <f t="shared" ca="1" si="33"/>
        <v>46229</v>
      </c>
      <c r="S1034" s="7">
        <f t="shared" ca="1" si="32"/>
        <v>1.2931506849315069</v>
      </c>
    </row>
    <row r="1035" spans="1:19" x14ac:dyDescent="0.25">
      <c r="A1035">
        <v>4121079</v>
      </c>
      <c r="B1035" t="s">
        <v>1076</v>
      </c>
      <c r="C1035" t="s">
        <v>17</v>
      </c>
      <c r="D1035" s="6" t="s">
        <v>22</v>
      </c>
      <c r="E1035" t="s">
        <v>21</v>
      </c>
      <c r="G1035" s="6" t="s">
        <v>968</v>
      </c>
      <c r="H1035" s="59" t="s">
        <v>1019</v>
      </c>
      <c r="I1035" s="58" t="s">
        <v>912</v>
      </c>
      <c r="J1035" t="s">
        <v>829</v>
      </c>
      <c r="K1035" t="s">
        <v>830</v>
      </c>
      <c r="L1035" t="s">
        <v>1038</v>
      </c>
      <c r="M1035" t="s">
        <v>1163</v>
      </c>
      <c r="N1035" s="57">
        <v>1200</v>
      </c>
      <c r="O1035" t="s">
        <v>100</v>
      </c>
      <c r="P1035" t="s">
        <v>93</v>
      </c>
      <c r="Q1035" s="3">
        <v>46072</v>
      </c>
      <c r="R1035" s="10">
        <f t="shared" ca="1" si="33"/>
        <v>46229</v>
      </c>
      <c r="S1035" s="7">
        <f t="shared" ca="1" si="32"/>
        <v>0.43013698630136987</v>
      </c>
    </row>
    <row r="1036" spans="1:19" x14ac:dyDescent="0.25">
      <c r="A1036">
        <v>4121213</v>
      </c>
      <c r="B1036" t="s">
        <v>1115</v>
      </c>
      <c r="C1036" t="s">
        <v>17</v>
      </c>
      <c r="D1036" s="6" t="s">
        <v>22</v>
      </c>
      <c r="E1036" t="s">
        <v>21</v>
      </c>
      <c r="G1036" s="6" t="s">
        <v>968</v>
      </c>
      <c r="H1036" s="59" t="s">
        <v>1019</v>
      </c>
      <c r="I1036" s="58" t="s">
        <v>912</v>
      </c>
      <c r="J1036" t="s">
        <v>829</v>
      </c>
      <c r="K1036" t="s">
        <v>830</v>
      </c>
      <c r="L1036" t="s">
        <v>1038</v>
      </c>
      <c r="M1036" t="s">
        <v>1163</v>
      </c>
      <c r="N1036" s="57">
        <v>1200</v>
      </c>
      <c r="O1036" t="s">
        <v>100</v>
      </c>
      <c r="P1036" t="s">
        <v>93</v>
      </c>
      <c r="Q1036" s="3">
        <v>46076</v>
      </c>
      <c r="R1036" s="10">
        <f t="shared" ca="1" si="33"/>
        <v>46229</v>
      </c>
      <c r="S1036" s="7">
        <f t="shared" ca="1" si="32"/>
        <v>0.41917808219178082</v>
      </c>
    </row>
    <row r="1037" spans="1:19" x14ac:dyDescent="0.25">
      <c r="A1037">
        <v>4122501</v>
      </c>
      <c r="B1037" t="s">
        <v>1209</v>
      </c>
      <c r="C1037" t="s">
        <v>1044</v>
      </c>
      <c r="D1037" s="6" t="s">
        <v>22</v>
      </c>
      <c r="E1037" t="s">
        <v>21</v>
      </c>
      <c r="G1037" s="6" t="s">
        <v>968</v>
      </c>
      <c r="H1037" s="59" t="s">
        <v>1019</v>
      </c>
      <c r="I1037" s="58" t="s">
        <v>912</v>
      </c>
      <c r="J1037" t="s">
        <v>829</v>
      </c>
      <c r="K1037" t="s">
        <v>830</v>
      </c>
      <c r="L1037" t="s">
        <v>1038</v>
      </c>
      <c r="M1037" t="s">
        <v>1163</v>
      </c>
      <c r="N1037" s="57">
        <v>1200</v>
      </c>
      <c r="O1037" t="s">
        <v>100</v>
      </c>
      <c r="P1037" t="s">
        <v>93</v>
      </c>
      <c r="Q1037" s="3">
        <v>46111</v>
      </c>
      <c r="R1037" s="10">
        <f t="shared" ca="1" si="33"/>
        <v>46229</v>
      </c>
      <c r="S1037" s="7">
        <f t="shared" ca="1" si="32"/>
        <v>0.32328767123287672</v>
      </c>
    </row>
    <row r="1038" spans="1:19" x14ac:dyDescent="0.25">
      <c r="A1038">
        <v>4122539</v>
      </c>
      <c r="B1038" t="s">
        <v>1251</v>
      </c>
      <c r="C1038" t="s">
        <v>1044</v>
      </c>
      <c r="D1038" s="6" t="s">
        <v>22</v>
      </c>
      <c r="E1038" t="s">
        <v>21</v>
      </c>
      <c r="G1038" s="6" t="s">
        <v>968</v>
      </c>
      <c r="H1038" s="59" t="s">
        <v>1019</v>
      </c>
      <c r="I1038" s="58" t="s">
        <v>912</v>
      </c>
      <c r="J1038" t="s">
        <v>829</v>
      </c>
      <c r="K1038" t="s">
        <v>830</v>
      </c>
      <c r="L1038" t="s">
        <v>1038</v>
      </c>
      <c r="M1038" t="s">
        <v>1163</v>
      </c>
      <c r="N1038" s="57">
        <v>1200</v>
      </c>
      <c r="O1038" t="s">
        <v>100</v>
      </c>
      <c r="P1038" t="s">
        <v>93</v>
      </c>
      <c r="Q1038" s="3">
        <v>46118</v>
      </c>
      <c r="R1038" s="10">
        <f t="shared" ca="1" si="33"/>
        <v>46229</v>
      </c>
      <c r="S1038" s="7">
        <f t="shared" ca="1" si="32"/>
        <v>0.30410958904109592</v>
      </c>
    </row>
    <row r="1039" spans="1:19" x14ac:dyDescent="0.25">
      <c r="A1039">
        <v>4122542</v>
      </c>
      <c r="B1039" t="s">
        <v>1253</v>
      </c>
      <c r="C1039" t="s">
        <v>1044</v>
      </c>
      <c r="D1039" s="6" t="s">
        <v>22</v>
      </c>
      <c r="E1039" t="s">
        <v>21</v>
      </c>
      <c r="G1039" s="6" t="s">
        <v>968</v>
      </c>
      <c r="H1039" s="59" t="s">
        <v>1019</v>
      </c>
      <c r="I1039" s="58" t="s">
        <v>912</v>
      </c>
      <c r="J1039" t="s">
        <v>829</v>
      </c>
      <c r="K1039" t="s">
        <v>830</v>
      </c>
      <c r="L1039" t="s">
        <v>1038</v>
      </c>
      <c r="M1039" t="s">
        <v>1163</v>
      </c>
      <c r="N1039" s="57">
        <v>1200</v>
      </c>
      <c r="O1039" t="s">
        <v>100</v>
      </c>
      <c r="P1039" t="s">
        <v>93</v>
      </c>
      <c r="Q1039" s="3">
        <v>46118</v>
      </c>
      <c r="R1039" s="10">
        <f t="shared" ca="1" si="33"/>
        <v>46229</v>
      </c>
      <c r="S1039" s="7">
        <f t="shared" ca="1" si="32"/>
        <v>0.30410958904109592</v>
      </c>
    </row>
    <row r="1040" spans="1:19" x14ac:dyDescent="0.25">
      <c r="A1040">
        <v>4122561</v>
      </c>
      <c r="B1040" t="s">
        <v>1268</v>
      </c>
      <c r="C1040" t="s">
        <v>1044</v>
      </c>
      <c r="D1040" s="6" t="s">
        <v>22</v>
      </c>
      <c r="E1040" t="s">
        <v>21</v>
      </c>
      <c r="G1040" s="6" t="s">
        <v>968</v>
      </c>
      <c r="H1040" s="59" t="s">
        <v>1019</v>
      </c>
      <c r="I1040" s="58" t="s">
        <v>912</v>
      </c>
      <c r="J1040" t="s">
        <v>829</v>
      </c>
      <c r="K1040" t="s">
        <v>830</v>
      </c>
      <c r="L1040" t="s">
        <v>1038</v>
      </c>
      <c r="M1040" t="s">
        <v>1163</v>
      </c>
      <c r="N1040" s="57">
        <v>1200</v>
      </c>
      <c r="O1040" t="s">
        <v>100</v>
      </c>
      <c r="P1040" t="s">
        <v>93</v>
      </c>
      <c r="Q1040" s="3">
        <v>46118</v>
      </c>
      <c r="R1040" s="10">
        <f t="shared" ca="1" si="33"/>
        <v>46229</v>
      </c>
      <c r="S1040" s="7">
        <f t="shared" ca="1" si="32"/>
        <v>0.30410958904109592</v>
      </c>
    </row>
    <row r="1041" spans="1:19" x14ac:dyDescent="0.25">
      <c r="A1041">
        <v>4122731</v>
      </c>
      <c r="B1041" t="s">
        <v>1278</v>
      </c>
      <c r="C1041" t="s">
        <v>1044</v>
      </c>
      <c r="D1041" s="6" t="s">
        <v>22</v>
      </c>
      <c r="E1041" t="s">
        <v>21</v>
      </c>
      <c r="G1041" s="6" t="s">
        <v>968</v>
      </c>
      <c r="H1041" s="59" t="s">
        <v>1019</v>
      </c>
      <c r="I1041" s="58" t="s">
        <v>912</v>
      </c>
      <c r="J1041" t="s">
        <v>829</v>
      </c>
      <c r="K1041" t="s">
        <v>830</v>
      </c>
      <c r="L1041" t="s">
        <v>1038</v>
      </c>
      <c r="M1041" t="s">
        <v>1163</v>
      </c>
      <c r="N1041" s="57">
        <v>1200</v>
      </c>
      <c r="O1041" t="s">
        <v>100</v>
      </c>
      <c r="P1041" t="s">
        <v>93</v>
      </c>
      <c r="Q1041" s="3">
        <v>46121</v>
      </c>
      <c r="R1041" s="10">
        <f t="shared" ca="1" si="33"/>
        <v>46229</v>
      </c>
      <c r="S1041" s="7">
        <f t="shared" ca="1" si="32"/>
        <v>0.29589041095890412</v>
      </c>
    </row>
    <row r="1042" spans="1:19" x14ac:dyDescent="0.25">
      <c r="A1042">
        <v>4122740</v>
      </c>
      <c r="B1042" t="s">
        <v>1285</v>
      </c>
      <c r="C1042" t="s">
        <v>1044</v>
      </c>
      <c r="D1042" s="6" t="s">
        <v>22</v>
      </c>
      <c r="E1042" t="s">
        <v>21</v>
      </c>
      <c r="G1042" s="6" t="s">
        <v>968</v>
      </c>
      <c r="H1042" s="59" t="s">
        <v>1019</v>
      </c>
      <c r="I1042" s="58" t="s">
        <v>912</v>
      </c>
      <c r="J1042" t="s">
        <v>829</v>
      </c>
      <c r="K1042" t="s">
        <v>830</v>
      </c>
      <c r="L1042" t="s">
        <v>1038</v>
      </c>
      <c r="M1042" t="s">
        <v>1163</v>
      </c>
      <c r="N1042" s="57">
        <v>1200</v>
      </c>
      <c r="O1042" t="s">
        <v>100</v>
      </c>
      <c r="P1042" t="s">
        <v>93</v>
      </c>
      <c r="Q1042" s="3">
        <v>46121</v>
      </c>
      <c r="R1042" s="10">
        <f t="shared" ca="1" si="33"/>
        <v>46229</v>
      </c>
      <c r="S1042" s="7">
        <f t="shared" ca="1" si="32"/>
        <v>0.29589041095890412</v>
      </c>
    </row>
    <row r="1043" spans="1:19" x14ac:dyDescent="0.25">
      <c r="A1043">
        <v>4122744</v>
      </c>
      <c r="B1043" t="s">
        <v>1288</v>
      </c>
      <c r="C1043" t="s">
        <v>1044</v>
      </c>
      <c r="D1043" s="6" t="s">
        <v>22</v>
      </c>
      <c r="E1043" t="s">
        <v>21</v>
      </c>
      <c r="G1043" s="6" t="s">
        <v>968</v>
      </c>
      <c r="H1043" s="59" t="s">
        <v>1019</v>
      </c>
      <c r="I1043" s="58" t="s">
        <v>912</v>
      </c>
      <c r="J1043" t="s">
        <v>829</v>
      </c>
      <c r="K1043" t="s">
        <v>830</v>
      </c>
      <c r="L1043" t="s">
        <v>1038</v>
      </c>
      <c r="M1043" t="s">
        <v>1163</v>
      </c>
      <c r="N1043" s="57">
        <v>1200</v>
      </c>
      <c r="O1043" t="s">
        <v>100</v>
      </c>
      <c r="P1043" t="s">
        <v>93</v>
      </c>
      <c r="Q1043" s="3">
        <v>46121</v>
      </c>
      <c r="R1043" s="10">
        <f t="shared" ca="1" si="33"/>
        <v>46229</v>
      </c>
      <c r="S1043" s="7">
        <f t="shared" ca="1" si="32"/>
        <v>0.29589041095890412</v>
      </c>
    </row>
    <row r="1044" spans="1:19" x14ac:dyDescent="0.25">
      <c r="A1044">
        <v>4122747</v>
      </c>
      <c r="B1044" t="s">
        <v>1290</v>
      </c>
      <c r="C1044" t="s">
        <v>1044</v>
      </c>
      <c r="D1044" s="6" t="s">
        <v>22</v>
      </c>
      <c r="E1044" t="s">
        <v>21</v>
      </c>
      <c r="G1044" s="6" t="s">
        <v>968</v>
      </c>
      <c r="H1044" s="59" t="s">
        <v>1019</v>
      </c>
      <c r="I1044" s="58" t="s">
        <v>912</v>
      </c>
      <c r="J1044" t="s">
        <v>829</v>
      </c>
      <c r="K1044" t="s">
        <v>830</v>
      </c>
      <c r="L1044" t="s">
        <v>1038</v>
      </c>
      <c r="M1044" t="s">
        <v>1163</v>
      </c>
      <c r="N1044" s="57">
        <v>1200</v>
      </c>
      <c r="O1044" t="s">
        <v>100</v>
      </c>
      <c r="P1044" t="s">
        <v>93</v>
      </c>
      <c r="Q1044" s="3">
        <v>46121</v>
      </c>
      <c r="R1044" s="10">
        <f t="shared" ca="1" si="33"/>
        <v>46229</v>
      </c>
      <c r="S1044" s="7">
        <f t="shared" ca="1" si="32"/>
        <v>0.29589041095890412</v>
      </c>
    </row>
    <row r="1045" spans="1:19" x14ac:dyDescent="0.25">
      <c r="A1045">
        <v>4122751</v>
      </c>
      <c r="B1045" t="s">
        <v>1293</v>
      </c>
      <c r="C1045" t="s">
        <v>1044</v>
      </c>
      <c r="D1045" s="6" t="s">
        <v>22</v>
      </c>
      <c r="E1045" t="s">
        <v>21</v>
      </c>
      <c r="G1045" s="6" t="s">
        <v>968</v>
      </c>
      <c r="H1045" s="59" t="s">
        <v>1019</v>
      </c>
      <c r="I1045" s="58" t="s">
        <v>912</v>
      </c>
      <c r="J1045" t="s">
        <v>829</v>
      </c>
      <c r="K1045" t="s">
        <v>830</v>
      </c>
      <c r="L1045" t="s">
        <v>1038</v>
      </c>
      <c r="M1045" t="s">
        <v>1163</v>
      </c>
      <c r="N1045" s="57">
        <v>1200</v>
      </c>
      <c r="O1045" t="s">
        <v>100</v>
      </c>
      <c r="P1045" t="s">
        <v>93</v>
      </c>
      <c r="Q1045" s="3">
        <v>46121</v>
      </c>
      <c r="R1045" s="10">
        <f t="shared" ca="1" si="33"/>
        <v>46229</v>
      </c>
      <c r="S1045" s="7">
        <f t="shared" ca="1" si="32"/>
        <v>0.29589041095890412</v>
      </c>
    </row>
    <row r="1046" spans="1:19" x14ac:dyDescent="0.25">
      <c r="A1046">
        <v>4122789</v>
      </c>
      <c r="B1046" t="s">
        <v>1317</v>
      </c>
      <c r="C1046" t="s">
        <v>1044</v>
      </c>
      <c r="D1046" s="6" t="s">
        <v>22</v>
      </c>
      <c r="E1046" t="s">
        <v>21</v>
      </c>
      <c r="G1046" s="6" t="s">
        <v>968</v>
      </c>
      <c r="H1046" s="59" t="s">
        <v>1019</v>
      </c>
      <c r="I1046" s="58" t="s">
        <v>912</v>
      </c>
      <c r="J1046" t="s">
        <v>829</v>
      </c>
      <c r="K1046" t="s">
        <v>830</v>
      </c>
      <c r="L1046" t="s">
        <v>1038</v>
      </c>
      <c r="M1046" t="s">
        <v>1163</v>
      </c>
      <c r="N1046" s="57">
        <v>1200</v>
      </c>
      <c r="O1046" t="s">
        <v>100</v>
      </c>
      <c r="P1046" t="s">
        <v>93</v>
      </c>
      <c r="Q1046" s="3">
        <v>46121</v>
      </c>
      <c r="R1046" s="10">
        <f t="shared" ca="1" si="33"/>
        <v>46229</v>
      </c>
      <c r="S1046" s="7">
        <f t="shared" ca="1" si="32"/>
        <v>0.29589041095890412</v>
      </c>
    </row>
    <row r="1047" spans="1:19" x14ac:dyDescent="0.25">
      <c r="A1047">
        <v>4122790</v>
      </c>
      <c r="B1047" t="s">
        <v>1318</v>
      </c>
      <c r="C1047" t="s">
        <v>1044</v>
      </c>
      <c r="D1047" s="6" t="s">
        <v>22</v>
      </c>
      <c r="E1047" t="s">
        <v>21</v>
      </c>
      <c r="G1047" s="6" t="s">
        <v>968</v>
      </c>
      <c r="H1047" s="59" t="s">
        <v>1019</v>
      </c>
      <c r="I1047" s="58" t="s">
        <v>912</v>
      </c>
      <c r="J1047" t="s">
        <v>829</v>
      </c>
      <c r="K1047" t="s">
        <v>830</v>
      </c>
      <c r="L1047" t="s">
        <v>1038</v>
      </c>
      <c r="M1047" t="s">
        <v>1163</v>
      </c>
      <c r="N1047" s="57">
        <v>1200</v>
      </c>
      <c r="O1047" t="s">
        <v>100</v>
      </c>
      <c r="P1047" t="s">
        <v>93</v>
      </c>
      <c r="Q1047" s="3">
        <v>46121</v>
      </c>
      <c r="R1047" s="10">
        <f t="shared" ca="1" si="33"/>
        <v>46229</v>
      </c>
      <c r="S1047" s="7">
        <f t="shared" ca="1" si="32"/>
        <v>0.29589041095890412</v>
      </c>
    </row>
    <row r="1048" spans="1:19" x14ac:dyDescent="0.25">
      <c r="A1048">
        <v>1192837</v>
      </c>
      <c r="B1048" t="s">
        <v>261</v>
      </c>
      <c r="C1048" t="s">
        <v>17</v>
      </c>
      <c r="D1048" s="6" t="s">
        <v>22</v>
      </c>
      <c r="E1048" t="s">
        <v>79</v>
      </c>
      <c r="G1048" s="6" t="s">
        <v>971</v>
      </c>
      <c r="H1048" s="59" t="s">
        <v>1021</v>
      </c>
      <c r="I1048" s="58" t="s">
        <v>856</v>
      </c>
      <c r="J1048" t="s">
        <v>857</v>
      </c>
      <c r="K1048" t="s">
        <v>845</v>
      </c>
      <c r="L1048" t="s">
        <v>1038</v>
      </c>
      <c r="M1048" t="s">
        <v>1163</v>
      </c>
      <c r="N1048" s="57">
        <v>1300</v>
      </c>
      <c r="O1048" t="s">
        <v>100</v>
      </c>
      <c r="P1048" t="s">
        <v>93</v>
      </c>
      <c r="Q1048" s="3">
        <v>45495</v>
      </c>
      <c r="R1048" s="10">
        <f t="shared" ca="1" si="33"/>
        <v>46229</v>
      </c>
      <c r="S1048" s="7">
        <f t="shared" ca="1" si="32"/>
        <v>2.010958904109589</v>
      </c>
    </row>
    <row r="1049" spans="1:19" x14ac:dyDescent="0.25">
      <c r="A1049">
        <v>1002991</v>
      </c>
      <c r="B1049" t="s">
        <v>1176</v>
      </c>
      <c r="C1049" t="s">
        <v>1044</v>
      </c>
      <c r="D1049" s="6" t="s">
        <v>22</v>
      </c>
      <c r="E1049" t="s">
        <v>21</v>
      </c>
      <c r="G1049" s="6" t="s">
        <v>968</v>
      </c>
      <c r="H1049" s="59" t="s">
        <v>1019</v>
      </c>
      <c r="I1049" s="58" t="s">
        <v>828</v>
      </c>
      <c r="J1049" t="s">
        <v>829</v>
      </c>
      <c r="K1049" t="s">
        <v>830</v>
      </c>
      <c r="L1049" t="s">
        <v>91</v>
      </c>
      <c r="M1049" t="s">
        <v>1163</v>
      </c>
      <c r="N1049" s="57">
        <v>1200</v>
      </c>
      <c r="O1049" t="s">
        <v>100</v>
      </c>
      <c r="P1049" t="s">
        <v>93</v>
      </c>
      <c r="Q1049" s="3">
        <v>46107</v>
      </c>
      <c r="R1049" s="10">
        <f t="shared" ca="1" si="33"/>
        <v>46229</v>
      </c>
      <c r="S1049" s="7">
        <f t="shared" ca="1" si="32"/>
        <v>0.33424657534246577</v>
      </c>
    </row>
    <row r="1050" spans="1:19" x14ac:dyDescent="0.25">
      <c r="A1050">
        <v>1007460</v>
      </c>
      <c r="B1050" t="s">
        <v>113</v>
      </c>
      <c r="C1050" t="s">
        <v>17</v>
      </c>
      <c r="D1050" s="6" t="s">
        <v>22</v>
      </c>
      <c r="E1050" t="s">
        <v>21</v>
      </c>
      <c r="G1050" s="6" t="s">
        <v>968</v>
      </c>
      <c r="H1050" s="59" t="s">
        <v>1019</v>
      </c>
      <c r="I1050" s="58" t="s">
        <v>828</v>
      </c>
      <c r="J1050" t="s">
        <v>829</v>
      </c>
      <c r="K1050" t="s">
        <v>830</v>
      </c>
      <c r="L1050" t="s">
        <v>91</v>
      </c>
      <c r="M1050" t="s">
        <v>1163</v>
      </c>
      <c r="N1050" s="57">
        <v>1200</v>
      </c>
      <c r="O1050" t="s">
        <v>100</v>
      </c>
      <c r="P1050" t="s">
        <v>93</v>
      </c>
      <c r="Q1050" s="3">
        <v>45068</v>
      </c>
      <c r="R1050" s="10">
        <f t="shared" ca="1" si="33"/>
        <v>46229</v>
      </c>
      <c r="S1050" s="7">
        <f t="shared" ca="1" si="32"/>
        <v>3.1808219178082191</v>
      </c>
    </row>
    <row r="1051" spans="1:19" x14ac:dyDescent="0.25">
      <c r="A1051">
        <v>1011109</v>
      </c>
      <c r="B1051" t="s">
        <v>1177</v>
      </c>
      <c r="C1051" t="s">
        <v>1044</v>
      </c>
      <c r="D1051" s="6" t="s">
        <v>22</v>
      </c>
      <c r="E1051" t="s">
        <v>21</v>
      </c>
      <c r="G1051" s="6" t="s">
        <v>968</v>
      </c>
      <c r="H1051" s="59" t="s">
        <v>1019</v>
      </c>
      <c r="I1051" s="58" t="s">
        <v>828</v>
      </c>
      <c r="J1051" t="s">
        <v>829</v>
      </c>
      <c r="K1051" t="s">
        <v>830</v>
      </c>
      <c r="L1051" t="s">
        <v>91</v>
      </c>
      <c r="M1051" t="s">
        <v>1163</v>
      </c>
      <c r="N1051" s="57">
        <v>1200</v>
      </c>
      <c r="O1051" t="s">
        <v>100</v>
      </c>
      <c r="P1051" t="s">
        <v>93</v>
      </c>
      <c r="Q1051" s="3">
        <v>46107</v>
      </c>
      <c r="R1051" s="10">
        <f t="shared" ca="1" si="33"/>
        <v>46229</v>
      </c>
      <c r="S1051" s="7">
        <f t="shared" ca="1" si="32"/>
        <v>0.33424657534246577</v>
      </c>
    </row>
    <row r="1052" spans="1:19" x14ac:dyDescent="0.25">
      <c r="A1052">
        <v>1025404</v>
      </c>
      <c r="B1052" t="s">
        <v>1587</v>
      </c>
      <c r="C1052" t="s">
        <v>1044</v>
      </c>
      <c r="D1052" s="6" t="s">
        <v>22</v>
      </c>
      <c r="E1052" t="s">
        <v>21</v>
      </c>
      <c r="G1052" s="6" t="s">
        <v>968</v>
      </c>
      <c r="H1052" s="59" t="s">
        <v>1019</v>
      </c>
      <c r="I1052" s="58" t="s">
        <v>828</v>
      </c>
      <c r="J1052" t="s">
        <v>829</v>
      </c>
      <c r="K1052" t="s">
        <v>830</v>
      </c>
      <c r="L1052" t="s">
        <v>91</v>
      </c>
      <c r="M1052" t="s">
        <v>1163</v>
      </c>
      <c r="N1052" s="57">
        <v>1200</v>
      </c>
      <c r="O1052" t="s">
        <v>100</v>
      </c>
      <c r="P1052" t="s">
        <v>93</v>
      </c>
      <c r="Q1052" s="3">
        <v>46170</v>
      </c>
      <c r="R1052" s="10">
        <f t="shared" ca="1" si="33"/>
        <v>46229</v>
      </c>
      <c r="S1052" s="7">
        <f t="shared" ca="1" si="32"/>
        <v>0.16164383561643836</v>
      </c>
    </row>
    <row r="1053" spans="1:19" x14ac:dyDescent="0.25">
      <c r="A1053">
        <v>1040956</v>
      </c>
      <c r="B1053" t="s">
        <v>137</v>
      </c>
      <c r="C1053" t="s">
        <v>17</v>
      </c>
      <c r="D1053" s="6" t="s">
        <v>22</v>
      </c>
      <c r="E1053" t="s">
        <v>21</v>
      </c>
      <c r="G1053" s="6" t="s">
        <v>968</v>
      </c>
      <c r="H1053" s="59" t="s">
        <v>1019</v>
      </c>
      <c r="I1053" s="58" t="s">
        <v>828</v>
      </c>
      <c r="J1053" t="s">
        <v>829</v>
      </c>
      <c r="K1053" t="s">
        <v>830</v>
      </c>
      <c r="L1053" t="s">
        <v>91</v>
      </c>
      <c r="M1053" t="s">
        <v>1163</v>
      </c>
      <c r="N1053" s="57">
        <v>1200</v>
      </c>
      <c r="O1053" t="s">
        <v>100</v>
      </c>
      <c r="P1053" t="s">
        <v>93</v>
      </c>
      <c r="Q1053" s="3">
        <v>44214</v>
      </c>
      <c r="R1053" s="10">
        <f t="shared" ca="1" si="33"/>
        <v>46229</v>
      </c>
      <c r="S1053" s="7">
        <f t="shared" ca="1" si="32"/>
        <v>5.5205479452054798</v>
      </c>
    </row>
    <row r="1054" spans="1:19" x14ac:dyDescent="0.25">
      <c r="A1054">
        <v>4070457</v>
      </c>
      <c r="B1054" t="s">
        <v>1631</v>
      </c>
      <c r="C1054" t="s">
        <v>17</v>
      </c>
      <c r="D1054" s="6" t="s">
        <v>22</v>
      </c>
      <c r="E1054" t="s">
        <v>21</v>
      </c>
      <c r="G1054" s="6" t="s">
        <v>968</v>
      </c>
      <c r="H1054" s="59" t="s">
        <v>1019</v>
      </c>
      <c r="I1054" s="58" t="s">
        <v>828</v>
      </c>
      <c r="J1054" t="s">
        <v>829</v>
      </c>
      <c r="K1054" t="s">
        <v>830</v>
      </c>
      <c r="L1054" t="s">
        <v>91</v>
      </c>
      <c r="M1054" t="s">
        <v>1163</v>
      </c>
      <c r="N1054" s="57">
        <v>1200</v>
      </c>
      <c r="O1054" t="s">
        <v>100</v>
      </c>
      <c r="P1054" t="s">
        <v>93</v>
      </c>
      <c r="Q1054" s="3">
        <v>44847</v>
      </c>
      <c r="R1054" s="10">
        <f t="shared" ca="1" si="33"/>
        <v>46229</v>
      </c>
      <c r="S1054" s="7">
        <f t="shared" ca="1" si="32"/>
        <v>3.7863013698630139</v>
      </c>
    </row>
    <row r="1055" spans="1:19" x14ac:dyDescent="0.25">
      <c r="A1055">
        <v>4104510</v>
      </c>
      <c r="B1055" t="s">
        <v>1642</v>
      </c>
      <c r="C1055" t="s">
        <v>17</v>
      </c>
      <c r="D1055" s="6" t="s">
        <v>22</v>
      </c>
      <c r="E1055" t="s">
        <v>21</v>
      </c>
      <c r="G1055" s="6" t="s">
        <v>968</v>
      </c>
      <c r="H1055" s="59" t="s">
        <v>1019</v>
      </c>
      <c r="I1055" s="58" t="s">
        <v>828</v>
      </c>
      <c r="J1055" t="s">
        <v>829</v>
      </c>
      <c r="K1055" t="s">
        <v>830</v>
      </c>
      <c r="L1055" t="s">
        <v>91</v>
      </c>
      <c r="M1055" t="s">
        <v>1163</v>
      </c>
      <c r="N1055" s="57">
        <v>1200</v>
      </c>
      <c r="O1055" t="s">
        <v>100</v>
      </c>
      <c r="P1055" t="s">
        <v>93</v>
      </c>
      <c r="Q1055" s="3">
        <v>45530</v>
      </c>
      <c r="R1055" s="10">
        <f t="shared" ca="1" si="33"/>
        <v>46229</v>
      </c>
      <c r="S1055" s="7">
        <f t="shared" ca="1" si="32"/>
        <v>1.9150684931506849</v>
      </c>
    </row>
    <row r="1056" spans="1:19" x14ac:dyDescent="0.25">
      <c r="A1056">
        <v>3002770</v>
      </c>
      <c r="B1056" t="s">
        <v>1183</v>
      </c>
      <c r="C1056" t="s">
        <v>1044</v>
      </c>
      <c r="D1056" s="6" t="s">
        <v>22</v>
      </c>
      <c r="E1056" t="s">
        <v>21</v>
      </c>
      <c r="G1056" s="6" t="s">
        <v>968</v>
      </c>
      <c r="H1056" s="59" t="s">
        <v>1019</v>
      </c>
      <c r="I1056" s="58" t="s">
        <v>828</v>
      </c>
      <c r="J1056" t="s">
        <v>829</v>
      </c>
      <c r="K1056" t="s">
        <v>830</v>
      </c>
      <c r="L1056" t="s">
        <v>91</v>
      </c>
      <c r="M1056" t="s">
        <v>1163</v>
      </c>
      <c r="N1056" s="57">
        <v>1200</v>
      </c>
      <c r="O1056" t="s">
        <v>100</v>
      </c>
      <c r="P1056" t="s">
        <v>93</v>
      </c>
      <c r="Q1056" s="3">
        <v>46107</v>
      </c>
      <c r="R1056" s="10">
        <f t="shared" ca="1" si="33"/>
        <v>46229</v>
      </c>
      <c r="S1056" s="7">
        <f t="shared" ca="1" si="32"/>
        <v>0.33424657534246577</v>
      </c>
    </row>
    <row r="1057" spans="1:19" x14ac:dyDescent="0.25">
      <c r="A1057">
        <v>36560</v>
      </c>
      <c r="B1057" t="s">
        <v>1611</v>
      </c>
      <c r="C1057" t="s">
        <v>1044</v>
      </c>
      <c r="D1057" s="6" t="s">
        <v>22</v>
      </c>
      <c r="E1057" t="s">
        <v>21</v>
      </c>
      <c r="G1057" s="6" t="s">
        <v>968</v>
      </c>
      <c r="H1057" s="59" t="s">
        <v>1019</v>
      </c>
      <c r="I1057" s="58" t="s">
        <v>828</v>
      </c>
      <c r="J1057" t="s">
        <v>829</v>
      </c>
      <c r="K1057" t="s">
        <v>830</v>
      </c>
      <c r="L1057" t="s">
        <v>91</v>
      </c>
      <c r="M1057" t="s">
        <v>1163</v>
      </c>
      <c r="N1057" s="57">
        <v>1200</v>
      </c>
      <c r="O1057" t="s">
        <v>100</v>
      </c>
      <c r="P1057" t="s">
        <v>93</v>
      </c>
      <c r="Q1057" s="3">
        <v>46170</v>
      </c>
      <c r="R1057" s="10">
        <f t="shared" ca="1" si="33"/>
        <v>46229</v>
      </c>
      <c r="S1057" s="7">
        <f t="shared" ca="1" si="32"/>
        <v>0.16164383561643836</v>
      </c>
    </row>
    <row r="1058" spans="1:19" x14ac:dyDescent="0.25">
      <c r="A1058">
        <v>4010426</v>
      </c>
      <c r="B1058" t="s">
        <v>428</v>
      </c>
      <c r="C1058" t="s">
        <v>17</v>
      </c>
      <c r="D1058" s="6" t="s">
        <v>22</v>
      </c>
      <c r="E1058" t="s">
        <v>21</v>
      </c>
      <c r="G1058" s="6" t="s">
        <v>968</v>
      </c>
      <c r="H1058" s="59" t="s">
        <v>1019</v>
      </c>
      <c r="I1058" s="58" t="s">
        <v>828</v>
      </c>
      <c r="J1058" t="s">
        <v>829</v>
      </c>
      <c r="K1058" t="s">
        <v>830</v>
      </c>
      <c r="L1058" t="s">
        <v>91</v>
      </c>
      <c r="M1058" t="s">
        <v>1163</v>
      </c>
      <c r="N1058" s="57">
        <v>1200</v>
      </c>
      <c r="O1058" t="s">
        <v>100</v>
      </c>
      <c r="P1058" t="s">
        <v>93</v>
      </c>
      <c r="Q1058" s="3">
        <v>43696</v>
      </c>
      <c r="R1058" s="10">
        <f t="shared" ca="1" si="33"/>
        <v>46229</v>
      </c>
      <c r="S1058" s="7">
        <f t="shared" ca="1" si="32"/>
        <v>6.9397260273972599</v>
      </c>
    </row>
    <row r="1059" spans="1:19" x14ac:dyDescent="0.25">
      <c r="A1059">
        <v>4027131</v>
      </c>
      <c r="B1059" t="s">
        <v>441</v>
      </c>
      <c r="C1059" t="s">
        <v>17</v>
      </c>
      <c r="D1059" s="6" t="s">
        <v>22</v>
      </c>
      <c r="E1059" t="s">
        <v>87</v>
      </c>
      <c r="G1059" s="6" t="s">
        <v>968</v>
      </c>
      <c r="H1059" s="59" t="s">
        <v>1019</v>
      </c>
      <c r="I1059" s="58" t="s">
        <v>828</v>
      </c>
      <c r="J1059" t="s">
        <v>829</v>
      </c>
      <c r="K1059" t="s">
        <v>830</v>
      </c>
      <c r="L1059" t="s">
        <v>91</v>
      </c>
      <c r="M1059" t="s">
        <v>1163</v>
      </c>
      <c r="N1059" s="57">
        <v>1200</v>
      </c>
      <c r="O1059" t="s">
        <v>100</v>
      </c>
      <c r="P1059" t="s">
        <v>93</v>
      </c>
      <c r="Q1059" s="3">
        <v>44116</v>
      </c>
      <c r="R1059" s="10">
        <f t="shared" ca="1" si="33"/>
        <v>46229</v>
      </c>
      <c r="S1059" s="7">
        <f t="shared" ca="1" si="32"/>
        <v>5.7890410958904113</v>
      </c>
    </row>
    <row r="1060" spans="1:19" x14ac:dyDescent="0.25">
      <c r="A1060">
        <v>4038621</v>
      </c>
      <c r="B1060" t="s">
        <v>460</v>
      </c>
      <c r="C1060" t="s">
        <v>17</v>
      </c>
      <c r="D1060" s="6" t="s">
        <v>22</v>
      </c>
      <c r="E1060" t="s">
        <v>21</v>
      </c>
      <c r="G1060" s="6" t="s">
        <v>968</v>
      </c>
      <c r="H1060" s="59" t="s">
        <v>1019</v>
      </c>
      <c r="I1060" s="58" t="s">
        <v>828</v>
      </c>
      <c r="J1060" t="s">
        <v>829</v>
      </c>
      <c r="K1060" t="s">
        <v>830</v>
      </c>
      <c r="L1060" t="s">
        <v>91</v>
      </c>
      <c r="M1060" t="s">
        <v>1163</v>
      </c>
      <c r="N1060" s="57">
        <v>1200</v>
      </c>
      <c r="O1060" t="s">
        <v>100</v>
      </c>
      <c r="P1060" t="s">
        <v>93</v>
      </c>
      <c r="Q1060" s="3">
        <v>45561</v>
      </c>
      <c r="R1060" s="10">
        <f t="shared" ca="1" si="33"/>
        <v>46229</v>
      </c>
      <c r="S1060" s="7">
        <f t="shared" ca="1" si="32"/>
        <v>1.8301369863013699</v>
      </c>
    </row>
    <row r="1061" spans="1:19" x14ac:dyDescent="0.25">
      <c r="A1061">
        <v>4040639</v>
      </c>
      <c r="B1061" t="s">
        <v>463</v>
      </c>
      <c r="C1061" t="s">
        <v>17</v>
      </c>
      <c r="D1061" s="6" t="s">
        <v>22</v>
      </c>
      <c r="E1061" t="s">
        <v>21</v>
      </c>
      <c r="G1061" s="6" t="s">
        <v>968</v>
      </c>
      <c r="H1061" s="59" t="s">
        <v>1019</v>
      </c>
      <c r="I1061" s="58" t="s">
        <v>828</v>
      </c>
      <c r="J1061" t="s">
        <v>829</v>
      </c>
      <c r="K1061" t="s">
        <v>830</v>
      </c>
      <c r="L1061" t="s">
        <v>91</v>
      </c>
      <c r="M1061" t="s">
        <v>1163</v>
      </c>
      <c r="N1061" s="57">
        <v>1200</v>
      </c>
      <c r="O1061" t="s">
        <v>100</v>
      </c>
      <c r="P1061" t="s">
        <v>93</v>
      </c>
      <c r="Q1061" s="3">
        <v>44445</v>
      </c>
      <c r="R1061" s="10">
        <f t="shared" ca="1" si="33"/>
        <v>46229</v>
      </c>
      <c r="S1061" s="7">
        <f t="shared" ca="1" si="32"/>
        <v>4.8876712328767127</v>
      </c>
    </row>
    <row r="1062" spans="1:19" x14ac:dyDescent="0.25">
      <c r="A1062">
        <v>4046536</v>
      </c>
      <c r="B1062" t="s">
        <v>1233</v>
      </c>
      <c r="C1062" t="s">
        <v>1044</v>
      </c>
      <c r="D1062" s="6" t="s">
        <v>22</v>
      </c>
      <c r="E1062" t="s">
        <v>21</v>
      </c>
      <c r="G1062" s="6" t="s">
        <v>968</v>
      </c>
      <c r="H1062" s="59" t="s">
        <v>1019</v>
      </c>
      <c r="I1062" s="58" t="s">
        <v>828</v>
      </c>
      <c r="J1062" t="s">
        <v>829</v>
      </c>
      <c r="K1062" t="s">
        <v>830</v>
      </c>
      <c r="L1062" t="s">
        <v>91</v>
      </c>
      <c r="M1062" t="s">
        <v>1163</v>
      </c>
      <c r="N1062" s="57">
        <v>1200</v>
      </c>
      <c r="O1062" t="s">
        <v>100</v>
      </c>
      <c r="P1062" t="s">
        <v>93</v>
      </c>
      <c r="Q1062" s="3">
        <v>46121</v>
      </c>
      <c r="R1062" s="10">
        <f t="shared" ca="1" si="33"/>
        <v>46229</v>
      </c>
      <c r="S1062" s="7">
        <f t="shared" ca="1" si="32"/>
        <v>0.29589041095890412</v>
      </c>
    </row>
    <row r="1063" spans="1:19" x14ac:dyDescent="0.25">
      <c r="A1063">
        <v>4053194</v>
      </c>
      <c r="B1063" t="s">
        <v>1621</v>
      </c>
      <c r="C1063" t="s">
        <v>1044</v>
      </c>
      <c r="D1063" s="6" t="s">
        <v>22</v>
      </c>
      <c r="E1063" t="s">
        <v>21</v>
      </c>
      <c r="G1063" s="6" t="s">
        <v>968</v>
      </c>
      <c r="H1063" s="59" t="s">
        <v>1019</v>
      </c>
      <c r="I1063" s="58" t="s">
        <v>828</v>
      </c>
      <c r="J1063" t="s">
        <v>829</v>
      </c>
      <c r="K1063" t="s">
        <v>830</v>
      </c>
      <c r="L1063" t="s">
        <v>91</v>
      </c>
      <c r="M1063" t="s">
        <v>1163</v>
      </c>
      <c r="N1063" s="57">
        <v>1200</v>
      </c>
      <c r="O1063" t="s">
        <v>100</v>
      </c>
      <c r="P1063" t="s">
        <v>93</v>
      </c>
      <c r="Q1063" s="3">
        <v>46170</v>
      </c>
      <c r="R1063" s="10">
        <f t="shared" ca="1" si="33"/>
        <v>46229</v>
      </c>
      <c r="S1063" s="7">
        <f t="shared" ca="1" si="32"/>
        <v>0.16164383561643836</v>
      </c>
    </row>
    <row r="1064" spans="1:19" x14ac:dyDescent="0.25">
      <c r="A1064">
        <v>4054501</v>
      </c>
      <c r="B1064" t="s">
        <v>486</v>
      </c>
      <c r="C1064" t="s">
        <v>17</v>
      </c>
      <c r="D1064" s="6" t="s">
        <v>22</v>
      </c>
      <c r="E1064" t="s">
        <v>87</v>
      </c>
      <c r="G1064" s="6" t="s">
        <v>968</v>
      </c>
      <c r="H1064" s="59" t="s">
        <v>1019</v>
      </c>
      <c r="I1064" s="58" t="s">
        <v>828</v>
      </c>
      <c r="J1064" t="s">
        <v>829</v>
      </c>
      <c r="K1064" t="s">
        <v>830</v>
      </c>
      <c r="L1064" t="s">
        <v>91</v>
      </c>
      <c r="M1064" t="s">
        <v>1163</v>
      </c>
      <c r="N1064" s="57">
        <v>1200</v>
      </c>
      <c r="O1064" t="s">
        <v>100</v>
      </c>
      <c r="P1064" t="s">
        <v>93</v>
      </c>
      <c r="Q1064" s="3">
        <v>44642</v>
      </c>
      <c r="R1064" s="10">
        <f t="shared" ca="1" si="33"/>
        <v>46229</v>
      </c>
      <c r="S1064" s="7">
        <f t="shared" ca="1" si="32"/>
        <v>4.3479452054794523</v>
      </c>
    </row>
    <row r="1065" spans="1:19" x14ac:dyDescent="0.25">
      <c r="A1065">
        <v>4054520</v>
      </c>
      <c r="B1065" t="s">
        <v>487</v>
      </c>
      <c r="C1065" t="s">
        <v>17</v>
      </c>
      <c r="D1065" s="6" t="s">
        <v>22</v>
      </c>
      <c r="E1065" t="s">
        <v>21</v>
      </c>
      <c r="G1065" s="6" t="s">
        <v>968</v>
      </c>
      <c r="H1065" s="59" t="s">
        <v>1019</v>
      </c>
      <c r="I1065" s="58" t="s">
        <v>828</v>
      </c>
      <c r="J1065" t="s">
        <v>829</v>
      </c>
      <c r="K1065" t="s">
        <v>830</v>
      </c>
      <c r="L1065" t="s">
        <v>91</v>
      </c>
      <c r="M1065" t="s">
        <v>1163</v>
      </c>
      <c r="N1065" s="57">
        <v>1200</v>
      </c>
      <c r="O1065" t="s">
        <v>100</v>
      </c>
      <c r="P1065" t="s">
        <v>93</v>
      </c>
      <c r="Q1065" s="3">
        <v>44642</v>
      </c>
      <c r="R1065" s="10">
        <f t="shared" ca="1" si="33"/>
        <v>46229</v>
      </c>
      <c r="S1065" s="7">
        <f t="shared" ca="1" si="32"/>
        <v>4.3479452054794523</v>
      </c>
    </row>
    <row r="1066" spans="1:19" x14ac:dyDescent="0.25">
      <c r="A1066">
        <v>4058938</v>
      </c>
      <c r="B1066" t="s">
        <v>1057</v>
      </c>
      <c r="C1066" t="s">
        <v>17</v>
      </c>
      <c r="D1066" s="6" t="s">
        <v>22</v>
      </c>
      <c r="E1066" t="s">
        <v>21</v>
      </c>
      <c r="G1066" s="6" t="s">
        <v>968</v>
      </c>
      <c r="H1066" s="59" t="s">
        <v>1019</v>
      </c>
      <c r="I1066" s="58" t="s">
        <v>828</v>
      </c>
      <c r="J1066" t="s">
        <v>829</v>
      </c>
      <c r="K1066" t="s">
        <v>830</v>
      </c>
      <c r="L1066" t="s">
        <v>91</v>
      </c>
      <c r="M1066" t="s">
        <v>1163</v>
      </c>
      <c r="N1066" s="57">
        <v>1200</v>
      </c>
      <c r="O1066" t="s">
        <v>100</v>
      </c>
      <c r="P1066" t="s">
        <v>93</v>
      </c>
      <c r="Q1066" s="3">
        <v>46072</v>
      </c>
      <c r="R1066" s="10">
        <f t="shared" ca="1" si="33"/>
        <v>46229</v>
      </c>
      <c r="S1066" s="7">
        <f t="shared" ca="1" si="32"/>
        <v>0.43013698630136987</v>
      </c>
    </row>
    <row r="1067" spans="1:19" x14ac:dyDescent="0.25">
      <c r="A1067">
        <v>26903</v>
      </c>
      <c r="B1067" t="s">
        <v>1601</v>
      </c>
      <c r="C1067" t="s">
        <v>17</v>
      </c>
      <c r="D1067" s="6" t="s">
        <v>22</v>
      </c>
      <c r="E1067" t="s">
        <v>87</v>
      </c>
      <c r="G1067" s="6" t="s">
        <v>968</v>
      </c>
      <c r="H1067" s="59" t="s">
        <v>1019</v>
      </c>
      <c r="I1067" s="58" t="s">
        <v>828</v>
      </c>
      <c r="J1067" t="s">
        <v>829</v>
      </c>
      <c r="K1067" t="s">
        <v>830</v>
      </c>
      <c r="L1067" t="s">
        <v>91</v>
      </c>
      <c r="M1067" t="s">
        <v>1163</v>
      </c>
      <c r="N1067" s="57">
        <v>1200</v>
      </c>
      <c r="O1067" t="s">
        <v>100</v>
      </c>
      <c r="P1067" t="s">
        <v>93</v>
      </c>
      <c r="Q1067" s="3">
        <v>39118</v>
      </c>
      <c r="R1067" s="10">
        <f t="shared" ca="1" si="33"/>
        <v>46229</v>
      </c>
      <c r="S1067" s="7">
        <f t="shared" ca="1" si="32"/>
        <v>19.482191780821918</v>
      </c>
    </row>
    <row r="1068" spans="1:19" x14ac:dyDescent="0.25">
      <c r="A1068">
        <v>843942</v>
      </c>
      <c r="B1068" t="s">
        <v>1783</v>
      </c>
      <c r="C1068" t="s">
        <v>17</v>
      </c>
      <c r="D1068" s="6" t="s">
        <v>22</v>
      </c>
      <c r="E1068" t="s">
        <v>87</v>
      </c>
      <c r="G1068" s="6" t="s">
        <v>968</v>
      </c>
      <c r="H1068" s="59" t="s">
        <v>1019</v>
      </c>
      <c r="I1068" s="58" t="s">
        <v>828</v>
      </c>
      <c r="J1068" t="s">
        <v>829</v>
      </c>
      <c r="K1068" t="s">
        <v>830</v>
      </c>
      <c r="L1068" t="s">
        <v>91</v>
      </c>
      <c r="M1068" t="s">
        <v>1163</v>
      </c>
      <c r="N1068" s="57">
        <v>1200</v>
      </c>
      <c r="O1068" t="s">
        <v>100</v>
      </c>
      <c r="P1068" t="s">
        <v>93</v>
      </c>
      <c r="Q1068" s="3">
        <v>41554</v>
      </c>
      <c r="R1068" s="10">
        <f t="shared" ca="1" si="33"/>
        <v>46229</v>
      </c>
      <c r="S1068" s="7">
        <f t="shared" ca="1" si="32"/>
        <v>12.808219178082192</v>
      </c>
    </row>
    <row r="1069" spans="1:19" x14ac:dyDescent="0.25">
      <c r="A1069">
        <v>4064580</v>
      </c>
      <c r="B1069" t="s">
        <v>510</v>
      </c>
      <c r="C1069" t="s">
        <v>17</v>
      </c>
      <c r="D1069" s="6" t="s">
        <v>22</v>
      </c>
      <c r="E1069" t="s">
        <v>21</v>
      </c>
      <c r="G1069" s="6" t="s">
        <v>968</v>
      </c>
      <c r="H1069" s="59" t="s">
        <v>1019</v>
      </c>
      <c r="I1069" s="58" t="s">
        <v>828</v>
      </c>
      <c r="J1069" t="s">
        <v>829</v>
      </c>
      <c r="K1069" t="s">
        <v>830</v>
      </c>
      <c r="L1069" t="s">
        <v>91</v>
      </c>
      <c r="M1069" t="s">
        <v>1163</v>
      </c>
      <c r="N1069" s="57">
        <v>1200</v>
      </c>
      <c r="O1069" t="s">
        <v>100</v>
      </c>
      <c r="P1069" t="s">
        <v>93</v>
      </c>
      <c r="Q1069" s="3">
        <v>44795</v>
      </c>
      <c r="R1069" s="10">
        <f t="shared" ca="1" si="33"/>
        <v>46229</v>
      </c>
      <c r="S1069" s="7">
        <f t="shared" ca="1" si="32"/>
        <v>3.9287671232876713</v>
      </c>
    </row>
    <row r="1070" spans="1:19" x14ac:dyDescent="0.25">
      <c r="A1070">
        <v>4073026</v>
      </c>
      <c r="B1070" t="s">
        <v>530</v>
      </c>
      <c r="C1070" t="s">
        <v>17</v>
      </c>
      <c r="D1070" s="6" t="s">
        <v>22</v>
      </c>
      <c r="E1070" t="s">
        <v>21</v>
      </c>
      <c r="G1070" s="6" t="s">
        <v>968</v>
      </c>
      <c r="H1070" s="59" t="s">
        <v>1019</v>
      </c>
      <c r="I1070" s="58" t="s">
        <v>828</v>
      </c>
      <c r="J1070" t="s">
        <v>829</v>
      </c>
      <c r="K1070" t="s">
        <v>830</v>
      </c>
      <c r="L1070" t="s">
        <v>91</v>
      </c>
      <c r="M1070" t="s">
        <v>1163</v>
      </c>
      <c r="N1070" s="57">
        <v>1200</v>
      </c>
      <c r="O1070" t="s">
        <v>100</v>
      </c>
      <c r="P1070" t="s">
        <v>93</v>
      </c>
      <c r="Q1070" s="3">
        <v>44879</v>
      </c>
      <c r="R1070" s="10">
        <f t="shared" ca="1" si="33"/>
        <v>46229</v>
      </c>
      <c r="S1070" s="7">
        <f t="shared" ca="1" si="32"/>
        <v>3.6986301369863015</v>
      </c>
    </row>
    <row r="1071" spans="1:19" x14ac:dyDescent="0.25">
      <c r="A1071">
        <v>4073326</v>
      </c>
      <c r="B1071" t="s">
        <v>531</v>
      </c>
      <c r="C1071" t="s">
        <v>17</v>
      </c>
      <c r="D1071" s="6" t="s">
        <v>22</v>
      </c>
      <c r="E1071" t="s">
        <v>21</v>
      </c>
      <c r="G1071" s="6" t="s">
        <v>968</v>
      </c>
      <c r="H1071" s="59" t="s">
        <v>1019</v>
      </c>
      <c r="I1071" s="58" t="s">
        <v>828</v>
      </c>
      <c r="J1071" t="s">
        <v>829</v>
      </c>
      <c r="K1071" t="s">
        <v>830</v>
      </c>
      <c r="L1071" t="s">
        <v>91</v>
      </c>
      <c r="M1071" t="s">
        <v>1163</v>
      </c>
      <c r="N1071" s="57">
        <v>1200</v>
      </c>
      <c r="O1071" t="s">
        <v>100</v>
      </c>
      <c r="P1071" t="s">
        <v>93</v>
      </c>
      <c r="Q1071" s="3">
        <v>44882</v>
      </c>
      <c r="R1071" s="10">
        <f t="shared" ca="1" si="33"/>
        <v>46229</v>
      </c>
      <c r="S1071" s="7">
        <f t="shared" ca="1" si="32"/>
        <v>3.6904109589041094</v>
      </c>
    </row>
    <row r="1072" spans="1:19" x14ac:dyDescent="0.25">
      <c r="A1072">
        <v>4074892</v>
      </c>
      <c r="B1072" t="s">
        <v>1241</v>
      </c>
      <c r="C1072" t="s">
        <v>1044</v>
      </c>
      <c r="D1072" s="6" t="s">
        <v>22</v>
      </c>
      <c r="E1072" t="s">
        <v>21</v>
      </c>
      <c r="G1072" s="6" t="s">
        <v>968</v>
      </c>
      <c r="H1072" s="59" t="s">
        <v>1019</v>
      </c>
      <c r="I1072" s="58" t="s">
        <v>828</v>
      </c>
      <c r="J1072" t="s">
        <v>829</v>
      </c>
      <c r="K1072" t="s">
        <v>830</v>
      </c>
      <c r="L1072" t="s">
        <v>91</v>
      </c>
      <c r="M1072" t="s">
        <v>1163</v>
      </c>
      <c r="N1072" s="57">
        <v>1200</v>
      </c>
      <c r="O1072" t="s">
        <v>100</v>
      </c>
      <c r="P1072" t="s">
        <v>93</v>
      </c>
      <c r="Q1072" s="3">
        <v>46121</v>
      </c>
      <c r="R1072" s="10">
        <f t="shared" ca="1" si="33"/>
        <v>46229</v>
      </c>
      <c r="S1072" s="7">
        <f t="shared" ca="1" si="32"/>
        <v>0.29589041095890412</v>
      </c>
    </row>
    <row r="1073" spans="1:19" x14ac:dyDescent="0.25">
      <c r="A1073">
        <v>4086368</v>
      </c>
      <c r="B1073" t="s">
        <v>1364</v>
      </c>
      <c r="C1073" t="s">
        <v>1044</v>
      </c>
      <c r="D1073" s="6" t="s">
        <v>22</v>
      </c>
      <c r="E1073" t="s">
        <v>21</v>
      </c>
      <c r="G1073" s="6" t="s">
        <v>968</v>
      </c>
      <c r="H1073" s="59" t="s">
        <v>1019</v>
      </c>
      <c r="I1073" s="58" t="s">
        <v>828</v>
      </c>
      <c r="J1073" t="s">
        <v>829</v>
      </c>
      <c r="K1073" t="s">
        <v>830</v>
      </c>
      <c r="L1073" t="s">
        <v>91</v>
      </c>
      <c r="M1073" t="s">
        <v>1163</v>
      </c>
      <c r="N1073" s="57">
        <v>1200</v>
      </c>
      <c r="O1073" t="s">
        <v>100</v>
      </c>
      <c r="P1073" t="s">
        <v>93</v>
      </c>
      <c r="Q1073" s="3">
        <v>46128</v>
      </c>
      <c r="R1073" s="10">
        <f t="shared" ca="1" si="33"/>
        <v>46229</v>
      </c>
      <c r="S1073" s="7">
        <f t="shared" ca="1" si="32"/>
        <v>0.27671232876712326</v>
      </c>
    </row>
    <row r="1074" spans="1:19" x14ac:dyDescent="0.25">
      <c r="A1074">
        <v>4099985</v>
      </c>
      <c r="B1074" t="s">
        <v>1639</v>
      </c>
      <c r="C1074" t="s">
        <v>1044</v>
      </c>
      <c r="D1074" s="6" t="s">
        <v>22</v>
      </c>
      <c r="E1074" t="s">
        <v>21</v>
      </c>
      <c r="G1074" s="6" t="s">
        <v>968</v>
      </c>
      <c r="H1074" s="59" t="s">
        <v>1019</v>
      </c>
      <c r="I1074" s="58" t="s">
        <v>828</v>
      </c>
      <c r="J1074" t="s">
        <v>829</v>
      </c>
      <c r="K1074" t="s">
        <v>830</v>
      </c>
      <c r="L1074" t="s">
        <v>91</v>
      </c>
      <c r="M1074" t="s">
        <v>1163</v>
      </c>
      <c r="N1074" s="57">
        <v>1200</v>
      </c>
      <c r="O1074" t="s">
        <v>100</v>
      </c>
      <c r="P1074" t="s">
        <v>93</v>
      </c>
      <c r="Q1074" s="3">
        <v>46170</v>
      </c>
      <c r="R1074" s="10">
        <f t="shared" ca="1" si="33"/>
        <v>46229</v>
      </c>
      <c r="S1074" s="7">
        <f t="shared" ca="1" si="32"/>
        <v>0.16164383561643836</v>
      </c>
    </row>
    <row r="1075" spans="1:19" x14ac:dyDescent="0.25">
      <c r="A1075">
        <v>4099988</v>
      </c>
      <c r="B1075" t="s">
        <v>602</v>
      </c>
      <c r="C1075" t="s">
        <v>17</v>
      </c>
      <c r="D1075" s="6" t="s">
        <v>22</v>
      </c>
      <c r="E1075" t="s">
        <v>21</v>
      </c>
      <c r="G1075" s="6" t="s">
        <v>968</v>
      </c>
      <c r="H1075" s="59" t="s">
        <v>1019</v>
      </c>
      <c r="I1075" s="58" t="s">
        <v>828</v>
      </c>
      <c r="J1075" t="s">
        <v>829</v>
      </c>
      <c r="K1075" t="s">
        <v>830</v>
      </c>
      <c r="L1075" t="s">
        <v>91</v>
      </c>
      <c r="M1075" t="s">
        <v>1163</v>
      </c>
      <c r="N1075" s="57">
        <v>1200</v>
      </c>
      <c r="O1075" t="s">
        <v>100</v>
      </c>
      <c r="P1075" t="s">
        <v>93</v>
      </c>
      <c r="Q1075" s="3">
        <v>45414</v>
      </c>
      <c r="R1075" s="10">
        <f t="shared" ca="1" si="33"/>
        <v>46229</v>
      </c>
      <c r="S1075" s="7">
        <f t="shared" ca="1" si="32"/>
        <v>2.2328767123287672</v>
      </c>
    </row>
    <row r="1076" spans="1:19" x14ac:dyDescent="0.25">
      <c r="A1076">
        <v>4103328</v>
      </c>
      <c r="B1076" t="s">
        <v>638</v>
      </c>
      <c r="C1076" t="s">
        <v>17</v>
      </c>
      <c r="D1076" s="6" t="s">
        <v>22</v>
      </c>
      <c r="E1076" t="s">
        <v>21</v>
      </c>
      <c r="G1076" s="6" t="s">
        <v>968</v>
      </c>
      <c r="H1076" s="59" t="s">
        <v>1019</v>
      </c>
      <c r="I1076" s="58" t="s">
        <v>828</v>
      </c>
      <c r="J1076" t="s">
        <v>829</v>
      </c>
      <c r="K1076" t="s">
        <v>830</v>
      </c>
      <c r="L1076" t="s">
        <v>91</v>
      </c>
      <c r="M1076" t="s">
        <v>1163</v>
      </c>
      <c r="N1076" s="57">
        <v>1200</v>
      </c>
      <c r="O1076" t="s">
        <v>100</v>
      </c>
      <c r="P1076" t="s">
        <v>93</v>
      </c>
      <c r="Q1076" s="3">
        <v>45505</v>
      </c>
      <c r="R1076" s="10">
        <f t="shared" ca="1" si="33"/>
        <v>46229</v>
      </c>
      <c r="S1076" s="7">
        <f t="shared" ca="1" si="32"/>
        <v>1.9835616438356165</v>
      </c>
    </row>
    <row r="1077" spans="1:19" x14ac:dyDescent="0.25">
      <c r="A1077">
        <v>4109283</v>
      </c>
      <c r="B1077" t="s">
        <v>667</v>
      </c>
      <c r="C1077" t="s">
        <v>17</v>
      </c>
      <c r="D1077" s="6" t="s">
        <v>22</v>
      </c>
      <c r="E1077" t="s">
        <v>21</v>
      </c>
      <c r="G1077" s="6" t="s">
        <v>968</v>
      </c>
      <c r="H1077" s="59" t="s">
        <v>1019</v>
      </c>
      <c r="I1077" s="58" t="s">
        <v>828</v>
      </c>
      <c r="J1077" t="s">
        <v>829</v>
      </c>
      <c r="K1077" t="s">
        <v>830</v>
      </c>
      <c r="L1077" t="s">
        <v>91</v>
      </c>
      <c r="M1077" t="s">
        <v>1163</v>
      </c>
      <c r="N1077" s="57">
        <v>1200</v>
      </c>
      <c r="O1077" t="s">
        <v>100</v>
      </c>
      <c r="P1077" t="s">
        <v>93</v>
      </c>
      <c r="Q1077" s="3">
        <v>45663</v>
      </c>
      <c r="R1077" s="10">
        <f t="shared" ca="1" si="33"/>
        <v>46229</v>
      </c>
      <c r="S1077" s="7">
        <f t="shared" ca="1" si="32"/>
        <v>1.5506849315068494</v>
      </c>
    </row>
    <row r="1078" spans="1:19" x14ac:dyDescent="0.25">
      <c r="A1078">
        <v>4115167</v>
      </c>
      <c r="B1078" t="s">
        <v>1647</v>
      </c>
      <c r="C1078" t="s">
        <v>1044</v>
      </c>
      <c r="D1078" s="6" t="s">
        <v>22</v>
      </c>
      <c r="E1078" t="s">
        <v>21</v>
      </c>
      <c r="G1078" s="6" t="s">
        <v>968</v>
      </c>
      <c r="H1078" s="59" t="s">
        <v>1019</v>
      </c>
      <c r="I1078" s="58" t="s">
        <v>828</v>
      </c>
      <c r="J1078" t="s">
        <v>829</v>
      </c>
      <c r="K1078" t="s">
        <v>830</v>
      </c>
      <c r="L1078" t="s">
        <v>91</v>
      </c>
      <c r="M1078" t="s">
        <v>1163</v>
      </c>
      <c r="N1078" s="57">
        <v>1200</v>
      </c>
      <c r="O1078" t="s">
        <v>100</v>
      </c>
      <c r="P1078" t="s">
        <v>93</v>
      </c>
      <c r="Q1078" s="3">
        <v>46177</v>
      </c>
      <c r="R1078" s="10">
        <f t="shared" ca="1" si="33"/>
        <v>46229</v>
      </c>
      <c r="S1078" s="7">
        <f t="shared" ca="1" si="32"/>
        <v>0.14246575342465753</v>
      </c>
    </row>
    <row r="1079" spans="1:19" x14ac:dyDescent="0.25">
      <c r="A1079">
        <v>4119417</v>
      </c>
      <c r="B1079" t="s">
        <v>1653</v>
      </c>
      <c r="C1079" t="s">
        <v>1044</v>
      </c>
      <c r="D1079" s="6" t="s">
        <v>22</v>
      </c>
      <c r="E1079" t="s">
        <v>21</v>
      </c>
      <c r="G1079" s="6" t="s">
        <v>968</v>
      </c>
      <c r="H1079" s="59" t="s">
        <v>1019</v>
      </c>
      <c r="I1079" s="58" t="s">
        <v>828</v>
      </c>
      <c r="J1079" t="s">
        <v>829</v>
      </c>
      <c r="K1079" t="s">
        <v>830</v>
      </c>
      <c r="L1079" t="s">
        <v>91</v>
      </c>
      <c r="M1079" t="s">
        <v>1163</v>
      </c>
      <c r="N1079" s="57">
        <v>1200</v>
      </c>
      <c r="O1079" t="s">
        <v>100</v>
      </c>
      <c r="P1079" t="s">
        <v>93</v>
      </c>
      <c r="Q1079" s="3">
        <v>46170</v>
      </c>
      <c r="R1079" s="10">
        <f t="shared" ca="1" si="33"/>
        <v>46229</v>
      </c>
      <c r="S1079" s="7">
        <f t="shared" ca="1" si="32"/>
        <v>0.16164383561643836</v>
      </c>
    </row>
    <row r="1080" spans="1:19" x14ac:dyDescent="0.25">
      <c r="A1080">
        <v>4120857</v>
      </c>
      <c r="B1080" t="s">
        <v>1067</v>
      </c>
      <c r="C1080" t="s">
        <v>17</v>
      </c>
      <c r="D1080" s="6" t="s">
        <v>22</v>
      </c>
      <c r="E1080" t="s">
        <v>21</v>
      </c>
      <c r="G1080" s="6" t="s">
        <v>968</v>
      </c>
      <c r="H1080" s="59" t="s">
        <v>1019</v>
      </c>
      <c r="I1080" s="58" t="s">
        <v>828</v>
      </c>
      <c r="J1080" t="s">
        <v>829</v>
      </c>
      <c r="K1080" t="s">
        <v>830</v>
      </c>
      <c r="L1080" t="s">
        <v>91</v>
      </c>
      <c r="M1080" t="s">
        <v>1163</v>
      </c>
      <c r="N1080" s="57">
        <v>1200</v>
      </c>
      <c r="O1080" t="s">
        <v>100</v>
      </c>
      <c r="P1080" t="s">
        <v>93</v>
      </c>
      <c r="Q1080" s="3">
        <v>46069</v>
      </c>
      <c r="R1080" s="10">
        <f t="shared" ca="1" si="33"/>
        <v>46229</v>
      </c>
      <c r="S1080" s="7">
        <f t="shared" ca="1" si="32"/>
        <v>0.43835616438356162</v>
      </c>
    </row>
    <row r="1081" spans="1:19" x14ac:dyDescent="0.25">
      <c r="A1081">
        <v>4120860</v>
      </c>
      <c r="B1081" t="s">
        <v>1069</v>
      </c>
      <c r="C1081" t="s">
        <v>17</v>
      </c>
      <c r="D1081" s="6" t="s">
        <v>22</v>
      </c>
      <c r="E1081" t="s">
        <v>21</v>
      </c>
      <c r="G1081" s="6" t="s">
        <v>968</v>
      </c>
      <c r="H1081" s="59" t="s">
        <v>1019</v>
      </c>
      <c r="I1081" s="58" t="s">
        <v>828</v>
      </c>
      <c r="J1081" t="s">
        <v>829</v>
      </c>
      <c r="K1081" t="s">
        <v>830</v>
      </c>
      <c r="L1081" t="s">
        <v>91</v>
      </c>
      <c r="M1081" t="s">
        <v>1163</v>
      </c>
      <c r="N1081" s="57">
        <v>1200</v>
      </c>
      <c r="O1081" t="s">
        <v>100</v>
      </c>
      <c r="P1081" t="s">
        <v>93</v>
      </c>
      <c r="Q1081" s="3">
        <v>46069</v>
      </c>
      <c r="R1081" s="10">
        <f t="shared" ca="1" si="33"/>
        <v>46229</v>
      </c>
      <c r="S1081" s="7">
        <f t="shared" ca="1" si="32"/>
        <v>0.43835616438356162</v>
      </c>
    </row>
    <row r="1082" spans="1:19" x14ac:dyDescent="0.25">
      <c r="A1082">
        <v>4121088</v>
      </c>
      <c r="B1082" t="s">
        <v>1080</v>
      </c>
      <c r="C1082" t="s">
        <v>17</v>
      </c>
      <c r="D1082" s="6" t="s">
        <v>22</v>
      </c>
      <c r="E1082" t="s">
        <v>21</v>
      </c>
      <c r="G1082" s="6" t="s">
        <v>968</v>
      </c>
      <c r="H1082" s="59" t="s">
        <v>1019</v>
      </c>
      <c r="I1082" s="58" t="s">
        <v>828</v>
      </c>
      <c r="J1082" t="s">
        <v>829</v>
      </c>
      <c r="K1082" t="s">
        <v>830</v>
      </c>
      <c r="L1082" t="s">
        <v>91</v>
      </c>
      <c r="M1082" t="s">
        <v>1163</v>
      </c>
      <c r="N1082" s="57">
        <v>1200</v>
      </c>
      <c r="O1082" t="s">
        <v>100</v>
      </c>
      <c r="P1082" t="s">
        <v>93</v>
      </c>
      <c r="Q1082" s="3">
        <v>46072</v>
      </c>
      <c r="R1082" s="10">
        <f t="shared" ca="1" si="33"/>
        <v>46229</v>
      </c>
      <c r="S1082" s="7">
        <f t="shared" ca="1" si="32"/>
        <v>0.43013698630136987</v>
      </c>
    </row>
    <row r="1083" spans="1:19" x14ac:dyDescent="0.25">
      <c r="A1083">
        <v>4122389</v>
      </c>
      <c r="B1083" t="s">
        <v>1185</v>
      </c>
      <c r="C1083" t="s">
        <v>1044</v>
      </c>
      <c r="D1083" s="6" t="s">
        <v>22</v>
      </c>
      <c r="E1083" t="s">
        <v>21</v>
      </c>
      <c r="G1083" s="6" t="s">
        <v>968</v>
      </c>
      <c r="H1083" s="59" t="s">
        <v>1019</v>
      </c>
      <c r="I1083" s="58" t="s">
        <v>828</v>
      </c>
      <c r="J1083" t="s">
        <v>829</v>
      </c>
      <c r="K1083" t="s">
        <v>830</v>
      </c>
      <c r="L1083" t="s">
        <v>91</v>
      </c>
      <c r="M1083" t="s">
        <v>1163</v>
      </c>
      <c r="N1083" s="57">
        <v>1200</v>
      </c>
      <c r="O1083" t="s">
        <v>100</v>
      </c>
      <c r="P1083" t="s">
        <v>93</v>
      </c>
      <c r="Q1083" s="3">
        <v>46107</v>
      </c>
      <c r="R1083" s="10">
        <f t="shared" ca="1" si="33"/>
        <v>46229</v>
      </c>
      <c r="S1083" s="7">
        <f t="shared" ca="1" si="32"/>
        <v>0.33424657534246577</v>
      </c>
    </row>
    <row r="1084" spans="1:19" x14ac:dyDescent="0.25">
      <c r="A1084">
        <v>4122394</v>
      </c>
      <c r="B1084" t="s">
        <v>1188</v>
      </c>
      <c r="C1084" t="s">
        <v>1044</v>
      </c>
      <c r="D1084" s="6" t="s">
        <v>22</v>
      </c>
      <c r="E1084" t="s">
        <v>21</v>
      </c>
      <c r="G1084" s="6" t="s">
        <v>968</v>
      </c>
      <c r="H1084" s="59" t="s">
        <v>1019</v>
      </c>
      <c r="I1084" s="58" t="s">
        <v>828</v>
      </c>
      <c r="J1084" t="s">
        <v>829</v>
      </c>
      <c r="K1084" t="s">
        <v>830</v>
      </c>
      <c r="L1084" t="s">
        <v>91</v>
      </c>
      <c r="M1084" t="s">
        <v>1163</v>
      </c>
      <c r="N1084" s="57">
        <v>1200</v>
      </c>
      <c r="O1084" t="s">
        <v>100</v>
      </c>
      <c r="P1084" t="s">
        <v>93</v>
      </c>
      <c r="Q1084" s="3">
        <v>46107</v>
      </c>
      <c r="R1084" s="10">
        <f t="shared" ca="1" si="33"/>
        <v>46229</v>
      </c>
      <c r="S1084" s="7">
        <f t="shared" ca="1" si="32"/>
        <v>0.33424657534246577</v>
      </c>
    </row>
    <row r="1085" spans="1:19" x14ac:dyDescent="0.25">
      <c r="A1085">
        <v>4122551</v>
      </c>
      <c r="B1085" t="s">
        <v>1260</v>
      </c>
      <c r="C1085" t="s">
        <v>1044</v>
      </c>
      <c r="D1085" s="6" t="s">
        <v>22</v>
      </c>
      <c r="E1085" t="s">
        <v>21</v>
      </c>
      <c r="G1085" s="6" t="s">
        <v>968</v>
      </c>
      <c r="H1085" s="59" t="s">
        <v>1019</v>
      </c>
      <c r="I1085" s="58" t="s">
        <v>828</v>
      </c>
      <c r="J1085" t="s">
        <v>829</v>
      </c>
      <c r="K1085" t="s">
        <v>830</v>
      </c>
      <c r="L1085" t="s">
        <v>91</v>
      </c>
      <c r="M1085" t="s">
        <v>1163</v>
      </c>
      <c r="N1085" s="57">
        <v>1200</v>
      </c>
      <c r="O1085" t="s">
        <v>100</v>
      </c>
      <c r="P1085" t="s">
        <v>93</v>
      </c>
      <c r="Q1085" s="3">
        <v>46118</v>
      </c>
      <c r="R1085" s="10">
        <f t="shared" ca="1" si="33"/>
        <v>46229</v>
      </c>
      <c r="S1085" s="7">
        <f t="shared" ca="1" si="32"/>
        <v>0.30410958904109592</v>
      </c>
    </row>
    <row r="1086" spans="1:19" x14ac:dyDescent="0.25">
      <c r="A1086">
        <v>4122769</v>
      </c>
      <c r="B1086" t="s">
        <v>1305</v>
      </c>
      <c r="C1086" t="s">
        <v>1044</v>
      </c>
      <c r="D1086" s="6" t="s">
        <v>22</v>
      </c>
      <c r="E1086" t="s">
        <v>21</v>
      </c>
      <c r="G1086" s="6" t="s">
        <v>968</v>
      </c>
      <c r="H1086" s="59" t="s">
        <v>1019</v>
      </c>
      <c r="I1086" s="58" t="s">
        <v>828</v>
      </c>
      <c r="J1086" t="s">
        <v>829</v>
      </c>
      <c r="K1086" t="s">
        <v>830</v>
      </c>
      <c r="L1086" t="s">
        <v>91</v>
      </c>
      <c r="M1086" t="s">
        <v>1163</v>
      </c>
      <c r="N1086" s="57">
        <v>1200</v>
      </c>
      <c r="O1086" t="s">
        <v>100</v>
      </c>
      <c r="P1086" t="s">
        <v>93</v>
      </c>
      <c r="Q1086" s="3">
        <v>46121</v>
      </c>
      <c r="R1086" s="10">
        <f t="shared" ca="1" si="33"/>
        <v>46229</v>
      </c>
      <c r="S1086" s="7">
        <f t="shared" ca="1" si="32"/>
        <v>0.29589041095890412</v>
      </c>
    </row>
    <row r="1087" spans="1:19" x14ac:dyDescent="0.25">
      <c r="A1087">
        <v>4122771</v>
      </c>
      <c r="B1087" t="s">
        <v>1307</v>
      </c>
      <c r="C1087" t="s">
        <v>1044</v>
      </c>
      <c r="D1087" s="6" t="s">
        <v>22</v>
      </c>
      <c r="E1087" t="s">
        <v>21</v>
      </c>
      <c r="G1087" s="6" t="s">
        <v>968</v>
      </c>
      <c r="H1087" s="59" t="s">
        <v>1019</v>
      </c>
      <c r="I1087" s="58" t="s">
        <v>828</v>
      </c>
      <c r="J1087" t="s">
        <v>829</v>
      </c>
      <c r="K1087" t="s">
        <v>830</v>
      </c>
      <c r="L1087" t="s">
        <v>91</v>
      </c>
      <c r="M1087" t="s">
        <v>1163</v>
      </c>
      <c r="N1087" s="57">
        <v>1200</v>
      </c>
      <c r="O1087" t="s">
        <v>100</v>
      </c>
      <c r="P1087" t="s">
        <v>93</v>
      </c>
      <c r="Q1087" s="3">
        <v>46121</v>
      </c>
      <c r="R1087" s="10">
        <f t="shared" ca="1" si="33"/>
        <v>46229</v>
      </c>
      <c r="S1087" s="7">
        <f t="shared" ca="1" si="32"/>
        <v>0.29589041095890412</v>
      </c>
    </row>
    <row r="1088" spans="1:19" x14ac:dyDescent="0.25">
      <c r="A1088">
        <v>4122773</v>
      </c>
      <c r="B1088" t="s">
        <v>1309</v>
      </c>
      <c r="C1088" t="s">
        <v>1044</v>
      </c>
      <c r="D1088" s="6" t="s">
        <v>22</v>
      </c>
      <c r="E1088" t="s">
        <v>21</v>
      </c>
      <c r="G1088" s="6" t="s">
        <v>968</v>
      </c>
      <c r="H1088" s="59" t="s">
        <v>1019</v>
      </c>
      <c r="I1088" s="58" t="s">
        <v>828</v>
      </c>
      <c r="J1088" t="s">
        <v>829</v>
      </c>
      <c r="K1088" t="s">
        <v>830</v>
      </c>
      <c r="L1088" t="s">
        <v>91</v>
      </c>
      <c r="M1088" t="s">
        <v>1163</v>
      </c>
      <c r="N1088" s="57">
        <v>1200</v>
      </c>
      <c r="O1088" t="s">
        <v>100</v>
      </c>
      <c r="P1088" t="s">
        <v>93</v>
      </c>
      <c r="Q1088" s="3">
        <v>46121</v>
      </c>
      <c r="R1088" s="10">
        <f t="shared" ca="1" si="33"/>
        <v>46229</v>
      </c>
      <c r="S1088" s="7">
        <f t="shared" ref="S1088:S1151" ca="1" si="34">(R1088-Q1088)/365</f>
        <v>0.29589041095890412</v>
      </c>
    </row>
    <row r="1089" spans="1:19" x14ac:dyDescent="0.25">
      <c r="A1089">
        <v>4122774</v>
      </c>
      <c r="B1089" t="s">
        <v>1310</v>
      </c>
      <c r="C1089" t="s">
        <v>1044</v>
      </c>
      <c r="D1089" s="6" t="s">
        <v>22</v>
      </c>
      <c r="E1089" t="s">
        <v>21</v>
      </c>
      <c r="G1089" s="6" t="s">
        <v>968</v>
      </c>
      <c r="H1089" s="59" t="s">
        <v>1019</v>
      </c>
      <c r="I1089" s="58" t="s">
        <v>828</v>
      </c>
      <c r="J1089" t="s">
        <v>829</v>
      </c>
      <c r="K1089" t="s">
        <v>830</v>
      </c>
      <c r="L1089" t="s">
        <v>91</v>
      </c>
      <c r="M1089" t="s">
        <v>1163</v>
      </c>
      <c r="N1089" s="57">
        <v>1200</v>
      </c>
      <c r="O1089" t="s">
        <v>100</v>
      </c>
      <c r="P1089" t="s">
        <v>93</v>
      </c>
      <c r="Q1089" s="3">
        <v>46121</v>
      </c>
      <c r="R1089" s="10">
        <f t="shared" ca="1" si="33"/>
        <v>46229</v>
      </c>
      <c r="S1089" s="7">
        <f t="shared" ca="1" si="34"/>
        <v>0.29589041095890412</v>
      </c>
    </row>
    <row r="1090" spans="1:19" x14ac:dyDescent="0.25">
      <c r="A1090">
        <v>4122779</v>
      </c>
      <c r="B1090" t="s">
        <v>1312</v>
      </c>
      <c r="C1090" t="s">
        <v>1044</v>
      </c>
      <c r="D1090" s="6" t="s">
        <v>22</v>
      </c>
      <c r="E1090" t="s">
        <v>21</v>
      </c>
      <c r="G1090" s="6" t="s">
        <v>968</v>
      </c>
      <c r="H1090" s="59" t="s">
        <v>1019</v>
      </c>
      <c r="I1090" s="58" t="s">
        <v>828</v>
      </c>
      <c r="J1090" t="s">
        <v>829</v>
      </c>
      <c r="K1090" t="s">
        <v>830</v>
      </c>
      <c r="L1090" t="s">
        <v>91</v>
      </c>
      <c r="M1090" t="s">
        <v>1163</v>
      </c>
      <c r="N1090" s="57">
        <v>1200</v>
      </c>
      <c r="O1090" t="s">
        <v>100</v>
      </c>
      <c r="P1090" t="s">
        <v>93</v>
      </c>
      <c r="Q1090" s="3">
        <v>46121</v>
      </c>
      <c r="R1090" s="10">
        <f t="shared" ca="1" si="33"/>
        <v>46229</v>
      </c>
      <c r="S1090" s="7">
        <f t="shared" ca="1" si="34"/>
        <v>0.29589041095890412</v>
      </c>
    </row>
    <row r="1091" spans="1:19" x14ac:dyDescent="0.25">
      <c r="A1091">
        <v>4122806</v>
      </c>
      <c r="B1091" t="s">
        <v>1329</v>
      </c>
      <c r="C1091" t="s">
        <v>1044</v>
      </c>
      <c r="D1091" s="6" t="s">
        <v>22</v>
      </c>
      <c r="E1091" t="s">
        <v>21</v>
      </c>
      <c r="G1091" s="6" t="s">
        <v>968</v>
      </c>
      <c r="H1091" s="59" t="s">
        <v>1019</v>
      </c>
      <c r="I1091" s="58" t="s">
        <v>828</v>
      </c>
      <c r="J1091" t="s">
        <v>829</v>
      </c>
      <c r="K1091" t="s">
        <v>830</v>
      </c>
      <c r="L1091" t="s">
        <v>91</v>
      </c>
      <c r="M1091" t="s">
        <v>1163</v>
      </c>
      <c r="N1091" s="57">
        <v>1200</v>
      </c>
      <c r="O1091" t="s">
        <v>100</v>
      </c>
      <c r="P1091" t="s">
        <v>93</v>
      </c>
      <c r="Q1091" s="3">
        <v>46121</v>
      </c>
      <c r="R1091" s="10">
        <f t="shared" ref="R1091:R1154" ca="1" si="35">TODAY()</f>
        <v>46229</v>
      </c>
      <c r="S1091" s="7">
        <f t="shared" ca="1" si="34"/>
        <v>0.29589041095890412</v>
      </c>
    </row>
    <row r="1092" spans="1:19" x14ac:dyDescent="0.25">
      <c r="A1092">
        <v>4122868</v>
      </c>
      <c r="B1092" t="s">
        <v>1373</v>
      </c>
      <c r="C1092" t="s">
        <v>1044</v>
      </c>
      <c r="D1092" s="6" t="s">
        <v>22</v>
      </c>
      <c r="E1092" t="s">
        <v>21</v>
      </c>
      <c r="G1092" s="6" t="s">
        <v>968</v>
      </c>
      <c r="H1092" s="59" t="s">
        <v>1019</v>
      </c>
      <c r="I1092" s="58" t="s">
        <v>828</v>
      </c>
      <c r="J1092" t="s">
        <v>829</v>
      </c>
      <c r="K1092" t="s">
        <v>830</v>
      </c>
      <c r="L1092" t="s">
        <v>91</v>
      </c>
      <c r="M1092" t="s">
        <v>1163</v>
      </c>
      <c r="N1092" s="57">
        <v>1200</v>
      </c>
      <c r="O1092" t="s">
        <v>100</v>
      </c>
      <c r="P1092" t="s">
        <v>93</v>
      </c>
      <c r="Q1092" s="3">
        <v>46125</v>
      </c>
      <c r="R1092" s="10">
        <f t="shared" ca="1" si="35"/>
        <v>46229</v>
      </c>
      <c r="S1092" s="7">
        <f t="shared" ca="1" si="34"/>
        <v>0.28493150684931506</v>
      </c>
    </row>
    <row r="1093" spans="1:19" x14ac:dyDescent="0.25">
      <c r="A1093">
        <v>4122875</v>
      </c>
      <c r="B1093" t="s">
        <v>1377</v>
      </c>
      <c r="C1093" t="s">
        <v>1044</v>
      </c>
      <c r="D1093" s="6" t="s">
        <v>22</v>
      </c>
      <c r="E1093" t="s">
        <v>21</v>
      </c>
      <c r="G1093" s="6" t="s">
        <v>968</v>
      </c>
      <c r="H1093" s="59" t="s">
        <v>1019</v>
      </c>
      <c r="I1093" s="58" t="s">
        <v>828</v>
      </c>
      <c r="J1093" t="s">
        <v>829</v>
      </c>
      <c r="K1093" t="s">
        <v>830</v>
      </c>
      <c r="L1093" t="s">
        <v>91</v>
      </c>
      <c r="M1093" t="s">
        <v>1163</v>
      </c>
      <c r="N1093" s="57">
        <v>1200</v>
      </c>
      <c r="O1093" t="s">
        <v>100</v>
      </c>
      <c r="P1093" t="s">
        <v>93</v>
      </c>
      <c r="Q1093" s="3">
        <v>46125</v>
      </c>
      <c r="R1093" s="10">
        <f t="shared" ca="1" si="35"/>
        <v>46229</v>
      </c>
      <c r="S1093" s="7">
        <f t="shared" ca="1" si="34"/>
        <v>0.28493150684931506</v>
      </c>
    </row>
    <row r="1094" spans="1:19" x14ac:dyDescent="0.25">
      <c r="A1094">
        <v>4123028</v>
      </c>
      <c r="B1094" t="s">
        <v>1405</v>
      </c>
      <c r="C1094" t="s">
        <v>1044</v>
      </c>
      <c r="D1094" s="6" t="s">
        <v>22</v>
      </c>
      <c r="E1094" t="s">
        <v>21</v>
      </c>
      <c r="G1094" s="6" t="s">
        <v>968</v>
      </c>
      <c r="H1094" s="59" t="s">
        <v>1019</v>
      </c>
      <c r="I1094" s="58" t="s">
        <v>828</v>
      </c>
      <c r="J1094" t="s">
        <v>829</v>
      </c>
      <c r="K1094" t="s">
        <v>830</v>
      </c>
      <c r="L1094" t="s">
        <v>91</v>
      </c>
      <c r="M1094" t="s">
        <v>1163</v>
      </c>
      <c r="N1094" s="57">
        <v>1200</v>
      </c>
      <c r="O1094" t="s">
        <v>100</v>
      </c>
      <c r="P1094" t="s">
        <v>93</v>
      </c>
      <c r="Q1094" s="3">
        <v>46128</v>
      </c>
      <c r="R1094" s="10">
        <f t="shared" ca="1" si="35"/>
        <v>46229</v>
      </c>
      <c r="S1094" s="7">
        <f t="shared" ca="1" si="34"/>
        <v>0.27671232876712326</v>
      </c>
    </row>
    <row r="1095" spans="1:19" x14ac:dyDescent="0.25">
      <c r="A1095">
        <v>4123271</v>
      </c>
      <c r="B1095" t="s">
        <v>1446</v>
      </c>
      <c r="C1095" t="s">
        <v>1044</v>
      </c>
      <c r="D1095" s="6" t="s">
        <v>22</v>
      </c>
      <c r="E1095" t="s">
        <v>21</v>
      </c>
      <c r="G1095" s="6" t="s">
        <v>968</v>
      </c>
      <c r="H1095" s="59" t="s">
        <v>1019</v>
      </c>
      <c r="I1095" s="58" t="s">
        <v>828</v>
      </c>
      <c r="J1095" t="s">
        <v>829</v>
      </c>
      <c r="K1095" t="s">
        <v>830</v>
      </c>
      <c r="L1095" t="s">
        <v>91</v>
      </c>
      <c r="M1095" t="s">
        <v>1163</v>
      </c>
      <c r="N1095" s="57">
        <v>1200</v>
      </c>
      <c r="O1095" t="s">
        <v>100</v>
      </c>
      <c r="P1095" t="s">
        <v>93</v>
      </c>
      <c r="Q1095" s="3">
        <v>46139</v>
      </c>
      <c r="R1095" s="10">
        <f t="shared" ca="1" si="35"/>
        <v>46229</v>
      </c>
      <c r="S1095" s="7">
        <f t="shared" ca="1" si="34"/>
        <v>0.24657534246575341</v>
      </c>
    </row>
    <row r="1096" spans="1:19" x14ac:dyDescent="0.25">
      <c r="A1096">
        <v>4124108</v>
      </c>
      <c r="B1096" t="s">
        <v>1556</v>
      </c>
      <c r="C1096" t="s">
        <v>1044</v>
      </c>
      <c r="D1096" s="6" t="s">
        <v>22</v>
      </c>
      <c r="E1096" t="s">
        <v>21</v>
      </c>
      <c r="G1096" s="6" t="s">
        <v>968</v>
      </c>
      <c r="H1096" s="59" t="s">
        <v>1019</v>
      </c>
      <c r="I1096" s="58" t="s">
        <v>828</v>
      </c>
      <c r="J1096" t="s">
        <v>829</v>
      </c>
      <c r="K1096" t="s">
        <v>830</v>
      </c>
      <c r="L1096" t="s">
        <v>91</v>
      </c>
      <c r="M1096" t="s">
        <v>1163</v>
      </c>
      <c r="N1096" s="57">
        <v>1200</v>
      </c>
      <c r="O1096" t="s">
        <v>100</v>
      </c>
      <c r="P1096" t="s">
        <v>93</v>
      </c>
      <c r="Q1096" s="3">
        <v>46167</v>
      </c>
      <c r="R1096" s="10">
        <f t="shared" ca="1" si="35"/>
        <v>46229</v>
      </c>
      <c r="S1096" s="7">
        <f t="shared" ca="1" si="34"/>
        <v>0.16986301369863013</v>
      </c>
    </row>
    <row r="1097" spans="1:19" x14ac:dyDescent="0.25">
      <c r="A1097">
        <v>4124114</v>
      </c>
      <c r="B1097" t="s">
        <v>1561</v>
      </c>
      <c r="C1097" t="s">
        <v>1044</v>
      </c>
      <c r="D1097" s="6" t="s">
        <v>22</v>
      </c>
      <c r="E1097" t="s">
        <v>21</v>
      </c>
      <c r="G1097" s="6" t="s">
        <v>968</v>
      </c>
      <c r="H1097" s="59" t="s">
        <v>1019</v>
      </c>
      <c r="I1097" s="58" t="s">
        <v>828</v>
      </c>
      <c r="J1097" t="s">
        <v>829</v>
      </c>
      <c r="K1097" t="s">
        <v>830</v>
      </c>
      <c r="L1097" t="s">
        <v>91</v>
      </c>
      <c r="M1097" t="s">
        <v>1163</v>
      </c>
      <c r="N1097" s="57">
        <v>1200</v>
      </c>
      <c r="O1097" t="s">
        <v>100</v>
      </c>
      <c r="P1097" t="s">
        <v>93</v>
      </c>
      <c r="Q1097" s="3">
        <v>46167</v>
      </c>
      <c r="R1097" s="10">
        <f t="shared" ca="1" si="35"/>
        <v>46229</v>
      </c>
      <c r="S1097" s="7">
        <f t="shared" ca="1" si="34"/>
        <v>0.16986301369863013</v>
      </c>
    </row>
    <row r="1098" spans="1:19" x14ac:dyDescent="0.25">
      <c r="A1098">
        <v>4124141</v>
      </c>
      <c r="B1098" t="s">
        <v>1572</v>
      </c>
      <c r="C1098" t="s">
        <v>1044</v>
      </c>
      <c r="D1098" s="6" t="s">
        <v>22</v>
      </c>
      <c r="E1098" t="s">
        <v>21</v>
      </c>
      <c r="G1098" s="6" t="s">
        <v>968</v>
      </c>
      <c r="H1098" s="59" t="s">
        <v>1019</v>
      </c>
      <c r="I1098" s="58" t="s">
        <v>828</v>
      </c>
      <c r="J1098" t="s">
        <v>829</v>
      </c>
      <c r="K1098" t="s">
        <v>830</v>
      </c>
      <c r="L1098" t="s">
        <v>91</v>
      </c>
      <c r="M1098" t="s">
        <v>1163</v>
      </c>
      <c r="N1098" s="57">
        <v>1200</v>
      </c>
      <c r="O1098" t="s">
        <v>100</v>
      </c>
      <c r="P1098" t="s">
        <v>93</v>
      </c>
      <c r="Q1098" s="3">
        <v>46167</v>
      </c>
      <c r="R1098" s="10">
        <f t="shared" ca="1" si="35"/>
        <v>46229</v>
      </c>
      <c r="S1098" s="7">
        <f t="shared" ca="1" si="34"/>
        <v>0.16986301369863013</v>
      </c>
    </row>
    <row r="1099" spans="1:19" x14ac:dyDescent="0.25">
      <c r="A1099">
        <v>4124210</v>
      </c>
      <c r="B1099" t="s">
        <v>1675</v>
      </c>
      <c r="C1099" t="s">
        <v>1044</v>
      </c>
      <c r="D1099" s="6" t="s">
        <v>22</v>
      </c>
      <c r="E1099" t="s">
        <v>21</v>
      </c>
      <c r="G1099" s="6" t="s">
        <v>968</v>
      </c>
      <c r="H1099" s="59" t="s">
        <v>1019</v>
      </c>
      <c r="I1099" s="58" t="s">
        <v>828</v>
      </c>
      <c r="J1099" t="s">
        <v>829</v>
      </c>
      <c r="K1099" t="s">
        <v>830</v>
      </c>
      <c r="L1099" t="s">
        <v>91</v>
      </c>
      <c r="M1099" t="s">
        <v>1163</v>
      </c>
      <c r="N1099" s="57">
        <v>1200</v>
      </c>
      <c r="O1099" t="s">
        <v>100</v>
      </c>
      <c r="P1099" t="s">
        <v>93</v>
      </c>
      <c r="Q1099" s="3">
        <v>46170</v>
      </c>
      <c r="R1099" s="10">
        <f t="shared" ca="1" si="35"/>
        <v>46229</v>
      </c>
      <c r="S1099" s="7">
        <f t="shared" ca="1" si="34"/>
        <v>0.16164383561643836</v>
      </c>
    </row>
    <row r="1100" spans="1:19" x14ac:dyDescent="0.25">
      <c r="A1100">
        <v>4124239</v>
      </c>
      <c r="B1100" t="s">
        <v>1696</v>
      </c>
      <c r="C1100" t="s">
        <v>1044</v>
      </c>
      <c r="D1100" s="6" t="s">
        <v>22</v>
      </c>
      <c r="E1100" t="s">
        <v>21</v>
      </c>
      <c r="G1100" s="6" t="s">
        <v>968</v>
      </c>
      <c r="H1100" s="59" t="s">
        <v>1019</v>
      </c>
      <c r="I1100" s="58" t="s">
        <v>828</v>
      </c>
      <c r="J1100" t="s">
        <v>829</v>
      </c>
      <c r="K1100" t="s">
        <v>830</v>
      </c>
      <c r="L1100" t="s">
        <v>91</v>
      </c>
      <c r="M1100" t="s">
        <v>1163</v>
      </c>
      <c r="N1100" s="57">
        <v>1200</v>
      </c>
      <c r="O1100" t="s">
        <v>100</v>
      </c>
      <c r="P1100" t="s">
        <v>93</v>
      </c>
      <c r="Q1100" s="3">
        <v>46170</v>
      </c>
      <c r="R1100" s="10">
        <f t="shared" ca="1" si="35"/>
        <v>46229</v>
      </c>
      <c r="S1100" s="7">
        <f t="shared" ca="1" si="34"/>
        <v>0.16164383561643836</v>
      </c>
    </row>
    <row r="1101" spans="1:19" x14ac:dyDescent="0.25">
      <c r="A1101">
        <v>4124242</v>
      </c>
      <c r="B1101" t="s">
        <v>1697</v>
      </c>
      <c r="C1101" t="s">
        <v>1044</v>
      </c>
      <c r="D1101" s="6" t="s">
        <v>22</v>
      </c>
      <c r="E1101" t="s">
        <v>21</v>
      </c>
      <c r="G1101" s="6" t="s">
        <v>968</v>
      </c>
      <c r="H1101" s="59" t="s">
        <v>1019</v>
      </c>
      <c r="I1101" s="58" t="s">
        <v>828</v>
      </c>
      <c r="J1101" t="s">
        <v>829</v>
      </c>
      <c r="K1101" t="s">
        <v>830</v>
      </c>
      <c r="L1101" t="s">
        <v>91</v>
      </c>
      <c r="M1101" t="s">
        <v>1163</v>
      </c>
      <c r="N1101" s="57">
        <v>1200</v>
      </c>
      <c r="O1101" t="s">
        <v>100</v>
      </c>
      <c r="P1101" t="s">
        <v>93</v>
      </c>
      <c r="Q1101" s="3">
        <v>46170</v>
      </c>
      <c r="R1101" s="10">
        <f t="shared" ca="1" si="35"/>
        <v>46229</v>
      </c>
      <c r="S1101" s="7">
        <f t="shared" ca="1" si="34"/>
        <v>0.16164383561643836</v>
      </c>
    </row>
    <row r="1102" spans="1:19" x14ac:dyDescent="0.25">
      <c r="A1102">
        <v>4124264</v>
      </c>
      <c r="B1102" t="s">
        <v>1715</v>
      </c>
      <c r="C1102" t="s">
        <v>1044</v>
      </c>
      <c r="D1102" s="6" t="s">
        <v>22</v>
      </c>
      <c r="E1102" t="s">
        <v>21</v>
      </c>
      <c r="G1102" s="6" t="s">
        <v>968</v>
      </c>
      <c r="H1102" s="59" t="s">
        <v>1019</v>
      </c>
      <c r="I1102" s="58" t="s">
        <v>828</v>
      </c>
      <c r="J1102" t="s">
        <v>829</v>
      </c>
      <c r="K1102" t="s">
        <v>830</v>
      </c>
      <c r="L1102" t="s">
        <v>91</v>
      </c>
      <c r="M1102" t="s">
        <v>1163</v>
      </c>
      <c r="N1102" s="57">
        <v>1200</v>
      </c>
      <c r="O1102" t="s">
        <v>100</v>
      </c>
      <c r="P1102" t="s">
        <v>93</v>
      </c>
      <c r="Q1102" s="3">
        <v>46170</v>
      </c>
      <c r="R1102" s="10">
        <f t="shared" ca="1" si="35"/>
        <v>46229</v>
      </c>
      <c r="S1102" s="7">
        <f t="shared" ca="1" si="34"/>
        <v>0.16164383561643836</v>
      </c>
    </row>
    <row r="1103" spans="1:19" x14ac:dyDescent="0.25">
      <c r="A1103">
        <v>4124265</v>
      </c>
      <c r="B1103" t="s">
        <v>1716</v>
      </c>
      <c r="C1103" t="s">
        <v>1044</v>
      </c>
      <c r="D1103" s="6" t="s">
        <v>22</v>
      </c>
      <c r="E1103" t="s">
        <v>21</v>
      </c>
      <c r="G1103" s="6" t="s">
        <v>968</v>
      </c>
      <c r="H1103" s="59" t="s">
        <v>1019</v>
      </c>
      <c r="I1103" s="58" t="s">
        <v>828</v>
      </c>
      <c r="J1103" t="s">
        <v>829</v>
      </c>
      <c r="K1103" t="s">
        <v>830</v>
      </c>
      <c r="L1103" t="s">
        <v>91</v>
      </c>
      <c r="M1103" t="s">
        <v>1163</v>
      </c>
      <c r="N1103" s="57">
        <v>1200</v>
      </c>
      <c r="O1103" t="s">
        <v>100</v>
      </c>
      <c r="P1103" t="s">
        <v>93</v>
      </c>
      <c r="Q1103" s="3">
        <v>46170</v>
      </c>
      <c r="R1103" s="10">
        <f t="shared" ca="1" si="35"/>
        <v>46229</v>
      </c>
      <c r="S1103" s="7">
        <f t="shared" ca="1" si="34"/>
        <v>0.16164383561643836</v>
      </c>
    </row>
    <row r="1104" spans="1:19" x14ac:dyDescent="0.25">
      <c r="A1104">
        <v>815381</v>
      </c>
      <c r="B1104" t="s">
        <v>730</v>
      </c>
      <c r="C1104" t="s">
        <v>17</v>
      </c>
      <c r="D1104" s="6" t="s">
        <v>22</v>
      </c>
      <c r="E1104" t="s">
        <v>21</v>
      </c>
      <c r="G1104" s="6" t="s">
        <v>968</v>
      </c>
      <c r="H1104" s="59" t="s">
        <v>1019</v>
      </c>
      <c r="I1104" s="58" t="s">
        <v>828</v>
      </c>
      <c r="J1104" t="s">
        <v>829</v>
      </c>
      <c r="K1104" t="s">
        <v>830</v>
      </c>
      <c r="L1104" t="s">
        <v>91</v>
      </c>
      <c r="M1104" t="s">
        <v>1163</v>
      </c>
      <c r="N1104" s="57">
        <v>1200</v>
      </c>
      <c r="O1104" t="s">
        <v>100</v>
      </c>
      <c r="P1104" t="s">
        <v>93</v>
      </c>
      <c r="Q1104" s="3">
        <v>45596</v>
      </c>
      <c r="R1104" s="10">
        <f t="shared" ca="1" si="35"/>
        <v>46229</v>
      </c>
      <c r="S1104" s="7">
        <f t="shared" ca="1" si="34"/>
        <v>1.7342465753424658</v>
      </c>
    </row>
    <row r="1105" spans="1:19" x14ac:dyDescent="0.25">
      <c r="A1105">
        <v>874252</v>
      </c>
      <c r="B1105" t="s">
        <v>750</v>
      </c>
      <c r="C1105" t="s">
        <v>17</v>
      </c>
      <c r="D1105" s="6" t="s">
        <v>22</v>
      </c>
      <c r="E1105" t="s">
        <v>70</v>
      </c>
      <c r="G1105" s="6" t="s">
        <v>968</v>
      </c>
      <c r="H1105" s="59" t="s">
        <v>1019</v>
      </c>
      <c r="I1105" s="58" t="s">
        <v>828</v>
      </c>
      <c r="J1105" t="s">
        <v>829</v>
      </c>
      <c r="K1105" t="s">
        <v>830</v>
      </c>
      <c r="L1105" t="s">
        <v>91</v>
      </c>
      <c r="M1105" t="s">
        <v>1163</v>
      </c>
      <c r="N1105" s="57">
        <v>1200</v>
      </c>
      <c r="O1105" t="s">
        <v>100</v>
      </c>
      <c r="P1105" t="s">
        <v>38</v>
      </c>
      <c r="Q1105" s="3">
        <v>42086</v>
      </c>
      <c r="R1105" s="10">
        <f t="shared" ca="1" si="35"/>
        <v>46229</v>
      </c>
      <c r="S1105" s="7">
        <f t="shared" ca="1" si="34"/>
        <v>11.35068493150685</v>
      </c>
    </row>
    <row r="1106" spans="1:19" x14ac:dyDescent="0.25">
      <c r="A1106">
        <v>977343</v>
      </c>
      <c r="B1106" t="s">
        <v>799</v>
      </c>
      <c r="C1106" t="s">
        <v>17</v>
      </c>
      <c r="D1106" s="6" t="s">
        <v>22</v>
      </c>
      <c r="E1106" t="s">
        <v>21</v>
      </c>
      <c r="G1106" s="6" t="s">
        <v>968</v>
      </c>
      <c r="H1106" s="59" t="s">
        <v>1019</v>
      </c>
      <c r="I1106" s="58" t="s">
        <v>828</v>
      </c>
      <c r="J1106" t="s">
        <v>829</v>
      </c>
      <c r="K1106" t="s">
        <v>830</v>
      </c>
      <c r="L1106" t="s">
        <v>91</v>
      </c>
      <c r="M1106" t="s">
        <v>1163</v>
      </c>
      <c r="N1106" s="57">
        <v>1200</v>
      </c>
      <c r="O1106" t="s">
        <v>100</v>
      </c>
      <c r="P1106" t="s">
        <v>93</v>
      </c>
      <c r="Q1106" s="3">
        <v>45565</v>
      </c>
      <c r="R1106" s="10">
        <f t="shared" ca="1" si="35"/>
        <v>46229</v>
      </c>
      <c r="S1106" s="7">
        <f t="shared" ca="1" si="34"/>
        <v>1.8191780821917809</v>
      </c>
    </row>
    <row r="1107" spans="1:19" x14ac:dyDescent="0.25">
      <c r="A1107">
        <v>1150631</v>
      </c>
      <c r="B1107" t="s">
        <v>170</v>
      </c>
      <c r="C1107" t="s">
        <v>17</v>
      </c>
      <c r="D1107" s="6" t="s">
        <v>39</v>
      </c>
      <c r="E1107" t="s">
        <v>49</v>
      </c>
      <c r="G1107" s="6" t="s">
        <v>1845</v>
      </c>
      <c r="H1107" s="59" t="s">
        <v>92</v>
      </c>
      <c r="I1107" s="58" t="s">
        <v>885</v>
      </c>
      <c r="J1107" t="s">
        <v>878</v>
      </c>
      <c r="K1107" t="s">
        <v>28</v>
      </c>
      <c r="L1107" t="s">
        <v>966</v>
      </c>
      <c r="M1107" t="s">
        <v>1163</v>
      </c>
      <c r="N1107" s="57">
        <v>6420</v>
      </c>
      <c r="O1107" t="s">
        <v>100</v>
      </c>
      <c r="P1107" t="s">
        <v>38</v>
      </c>
      <c r="Q1107" s="3">
        <v>44655</v>
      </c>
      <c r="R1107" s="10">
        <f t="shared" ca="1" si="35"/>
        <v>46229</v>
      </c>
      <c r="S1107" s="7">
        <f t="shared" ca="1" si="34"/>
        <v>4.3123287671232875</v>
      </c>
    </row>
    <row r="1108" spans="1:19" x14ac:dyDescent="0.25">
      <c r="A1108">
        <v>24047</v>
      </c>
      <c r="B1108" t="s">
        <v>316</v>
      </c>
      <c r="C1108" t="s">
        <v>17</v>
      </c>
      <c r="D1108" s="6" t="s">
        <v>39</v>
      </c>
      <c r="E1108" t="s">
        <v>49</v>
      </c>
      <c r="G1108" s="6" t="s">
        <v>1845</v>
      </c>
      <c r="H1108" s="59" t="s">
        <v>92</v>
      </c>
      <c r="I1108" s="58" t="s">
        <v>885</v>
      </c>
      <c r="J1108" t="s">
        <v>878</v>
      </c>
      <c r="K1108" t="s">
        <v>28</v>
      </c>
      <c r="L1108" t="s">
        <v>966</v>
      </c>
      <c r="M1108" t="s">
        <v>1163</v>
      </c>
      <c r="N1108" s="57">
        <v>6420</v>
      </c>
      <c r="O1108" t="s">
        <v>100</v>
      </c>
      <c r="P1108" t="s">
        <v>38</v>
      </c>
      <c r="Q1108" s="3">
        <v>43725</v>
      </c>
      <c r="R1108" s="10">
        <f t="shared" ca="1" si="35"/>
        <v>46229</v>
      </c>
      <c r="S1108" s="7">
        <f t="shared" ca="1" si="34"/>
        <v>6.86027397260274</v>
      </c>
    </row>
    <row r="1109" spans="1:19" x14ac:dyDescent="0.25">
      <c r="A1109">
        <v>3006512</v>
      </c>
      <c r="B1109" t="s">
        <v>365</v>
      </c>
      <c r="C1109" t="s">
        <v>17</v>
      </c>
      <c r="D1109" s="6" t="s">
        <v>22</v>
      </c>
      <c r="E1109" t="s">
        <v>66</v>
      </c>
      <c r="G1109" s="6" t="s">
        <v>970</v>
      </c>
      <c r="H1109" s="59" t="s">
        <v>1030</v>
      </c>
      <c r="I1109" s="58" t="s">
        <v>918</v>
      </c>
      <c r="J1109" t="s">
        <v>855</v>
      </c>
      <c r="K1109" t="s">
        <v>837</v>
      </c>
      <c r="L1109" t="s">
        <v>25</v>
      </c>
      <c r="M1109" t="s">
        <v>1163</v>
      </c>
      <c r="N1109" s="57">
        <v>1400</v>
      </c>
      <c r="O1109" t="s">
        <v>100</v>
      </c>
      <c r="P1109" t="s">
        <v>93</v>
      </c>
      <c r="Q1109" s="3">
        <v>43311</v>
      </c>
      <c r="R1109" s="10">
        <f t="shared" ca="1" si="35"/>
        <v>46229</v>
      </c>
      <c r="S1109" s="7">
        <f t="shared" ca="1" si="34"/>
        <v>7.9945205479452053</v>
      </c>
    </row>
    <row r="1110" spans="1:19" x14ac:dyDescent="0.25">
      <c r="A1110">
        <v>1233754</v>
      </c>
      <c r="B1110" t="s">
        <v>1597</v>
      </c>
      <c r="C1110" t="s">
        <v>17</v>
      </c>
      <c r="D1110" s="6" t="s">
        <v>39</v>
      </c>
      <c r="E1110" t="s">
        <v>98</v>
      </c>
      <c r="G1110" s="6" t="s">
        <v>1800</v>
      </c>
      <c r="H1110" s="59" t="s">
        <v>1800</v>
      </c>
      <c r="I1110" s="58" t="s">
        <v>95</v>
      </c>
      <c r="J1110" t="s">
        <v>96</v>
      </c>
      <c r="K1110" t="s">
        <v>97</v>
      </c>
      <c r="L1110" t="s">
        <v>966</v>
      </c>
      <c r="M1110" t="s">
        <v>1163</v>
      </c>
      <c r="N1110" s="57">
        <v>5110</v>
      </c>
      <c r="O1110" t="s">
        <v>100</v>
      </c>
      <c r="P1110" t="s">
        <v>93</v>
      </c>
      <c r="Q1110" s="3">
        <v>46181</v>
      </c>
      <c r="R1110" s="10">
        <f t="shared" ca="1" si="35"/>
        <v>46229</v>
      </c>
      <c r="S1110" s="7">
        <f t="shared" ca="1" si="34"/>
        <v>0.13150684931506848</v>
      </c>
    </row>
    <row r="1111" spans="1:19" x14ac:dyDescent="0.25">
      <c r="A1111">
        <v>4044069</v>
      </c>
      <c r="B1111" t="s">
        <v>469</v>
      </c>
      <c r="C1111" t="s">
        <v>17</v>
      </c>
      <c r="D1111" s="6" t="s">
        <v>39</v>
      </c>
      <c r="E1111" t="s">
        <v>98</v>
      </c>
      <c r="G1111" s="6" t="s">
        <v>1800</v>
      </c>
      <c r="H1111" s="59" t="s">
        <v>974</v>
      </c>
      <c r="I1111" s="58" t="s">
        <v>95</v>
      </c>
      <c r="J1111" t="s">
        <v>96</v>
      </c>
      <c r="K1111" t="s">
        <v>97</v>
      </c>
      <c r="L1111" t="s">
        <v>1038</v>
      </c>
      <c r="M1111" t="s">
        <v>1163</v>
      </c>
      <c r="N1111" s="57">
        <v>5110</v>
      </c>
      <c r="O1111" t="s">
        <v>100</v>
      </c>
      <c r="P1111" t="s">
        <v>38</v>
      </c>
      <c r="Q1111" s="3">
        <v>44511</v>
      </c>
      <c r="R1111" s="10">
        <f t="shared" ca="1" si="35"/>
        <v>46229</v>
      </c>
      <c r="S1111" s="7">
        <f t="shared" ca="1" si="34"/>
        <v>4.7068493150684931</v>
      </c>
    </row>
    <row r="1112" spans="1:19" x14ac:dyDescent="0.25">
      <c r="A1112">
        <v>981477</v>
      </c>
      <c r="B1112" t="s">
        <v>800</v>
      </c>
      <c r="C1112" t="s">
        <v>17</v>
      </c>
      <c r="D1112" s="6" t="s">
        <v>39</v>
      </c>
      <c r="E1112" t="s">
        <v>958</v>
      </c>
      <c r="G1112" s="6" t="s">
        <v>1800</v>
      </c>
      <c r="H1112" s="59" t="s">
        <v>92</v>
      </c>
      <c r="I1112" s="58" t="s">
        <v>95</v>
      </c>
      <c r="J1112" t="s">
        <v>96</v>
      </c>
      <c r="K1112" t="s">
        <v>97</v>
      </c>
      <c r="L1112" t="s">
        <v>966</v>
      </c>
      <c r="M1112" t="s">
        <v>1163</v>
      </c>
      <c r="N1112" s="57">
        <v>5110</v>
      </c>
      <c r="O1112" t="s">
        <v>100</v>
      </c>
      <c r="P1112" t="s">
        <v>38</v>
      </c>
      <c r="Q1112" s="3">
        <v>42618</v>
      </c>
      <c r="R1112" s="10">
        <f t="shared" ca="1" si="35"/>
        <v>46229</v>
      </c>
      <c r="S1112" s="7">
        <f t="shared" ca="1" si="34"/>
        <v>9.8931506849315074</v>
      </c>
    </row>
    <row r="1113" spans="1:19" x14ac:dyDescent="0.25">
      <c r="A1113">
        <v>1163146</v>
      </c>
      <c r="B1113" t="s">
        <v>1477</v>
      </c>
      <c r="C1113" t="s">
        <v>17</v>
      </c>
      <c r="D1113" s="6" t="s">
        <v>22</v>
      </c>
      <c r="E1113" t="s">
        <v>72</v>
      </c>
      <c r="G1113" s="6" t="s">
        <v>1850</v>
      </c>
      <c r="H1113" s="59" t="s">
        <v>1504</v>
      </c>
      <c r="I1113" s="58" t="s">
        <v>1533</v>
      </c>
      <c r="J1113" t="s">
        <v>1795</v>
      </c>
      <c r="K1113" t="s">
        <v>31</v>
      </c>
      <c r="L1113" t="s">
        <v>966</v>
      </c>
      <c r="M1113" t="s">
        <v>1163</v>
      </c>
      <c r="N1113" s="57">
        <v>1300</v>
      </c>
      <c r="O1113" t="s">
        <v>100</v>
      </c>
      <c r="P1113" t="s">
        <v>93</v>
      </c>
      <c r="Q1113" s="3">
        <v>45803</v>
      </c>
      <c r="R1113" s="10">
        <f t="shared" ca="1" si="35"/>
        <v>46229</v>
      </c>
      <c r="S1113" s="7">
        <f t="shared" ca="1" si="34"/>
        <v>1.167123287671233</v>
      </c>
    </row>
    <row r="1114" spans="1:19" x14ac:dyDescent="0.25">
      <c r="A1114">
        <v>1231501</v>
      </c>
      <c r="B1114" t="s">
        <v>1443</v>
      </c>
      <c r="C1114" t="s">
        <v>17</v>
      </c>
      <c r="D1114" s="6" t="s">
        <v>22</v>
      </c>
      <c r="E1114" t="s">
        <v>72</v>
      </c>
      <c r="G1114" s="6" t="s">
        <v>1850</v>
      </c>
      <c r="H1114" s="59" t="s">
        <v>1018</v>
      </c>
      <c r="I1114" s="58" t="s">
        <v>1533</v>
      </c>
      <c r="J1114" t="s">
        <v>1795</v>
      </c>
      <c r="K1114" t="s">
        <v>31</v>
      </c>
      <c r="L1114" t="s">
        <v>1038</v>
      </c>
      <c r="M1114" t="s">
        <v>1163</v>
      </c>
      <c r="N1114" s="57">
        <v>1300</v>
      </c>
      <c r="O1114" t="s">
        <v>100</v>
      </c>
      <c r="P1114" t="s">
        <v>93</v>
      </c>
      <c r="Q1114" s="3">
        <v>46146</v>
      </c>
      <c r="R1114" s="10">
        <f t="shared" ca="1" si="35"/>
        <v>46229</v>
      </c>
      <c r="S1114" s="7">
        <f t="shared" ca="1" si="34"/>
        <v>0.22739726027397261</v>
      </c>
    </row>
    <row r="1115" spans="1:19" x14ac:dyDescent="0.25">
      <c r="A1115">
        <v>1231908</v>
      </c>
      <c r="B1115" t="s">
        <v>1458</v>
      </c>
      <c r="C1115" t="s">
        <v>17</v>
      </c>
      <c r="D1115" s="6" t="s">
        <v>22</v>
      </c>
      <c r="E1115" t="s">
        <v>72</v>
      </c>
      <c r="G1115" s="6" t="s">
        <v>1850</v>
      </c>
      <c r="H1115" s="59" t="s">
        <v>1018</v>
      </c>
      <c r="I1115" s="58" t="s">
        <v>1533</v>
      </c>
      <c r="J1115" t="s">
        <v>1795</v>
      </c>
      <c r="K1115" t="s">
        <v>31</v>
      </c>
      <c r="L1115" t="s">
        <v>966</v>
      </c>
      <c r="M1115" t="s">
        <v>1163</v>
      </c>
      <c r="N1115" s="57">
        <v>1300</v>
      </c>
      <c r="O1115" t="s">
        <v>100</v>
      </c>
      <c r="P1115" t="s">
        <v>93</v>
      </c>
      <c r="Q1115" s="3">
        <v>46153</v>
      </c>
      <c r="R1115" s="10">
        <f t="shared" ca="1" si="35"/>
        <v>46229</v>
      </c>
      <c r="S1115" s="7">
        <f t="shared" ca="1" si="34"/>
        <v>0.20821917808219179</v>
      </c>
    </row>
    <row r="1116" spans="1:19" x14ac:dyDescent="0.25">
      <c r="A1116">
        <v>4016243</v>
      </c>
      <c r="B1116" t="s">
        <v>1360</v>
      </c>
      <c r="C1116" t="s">
        <v>1044</v>
      </c>
      <c r="D1116" s="6" t="s">
        <v>22</v>
      </c>
      <c r="E1116" t="s">
        <v>21</v>
      </c>
      <c r="G1116" s="6" t="s">
        <v>1850</v>
      </c>
      <c r="H1116" s="59" t="s">
        <v>1014</v>
      </c>
      <c r="I1116" s="58" t="s">
        <v>1533</v>
      </c>
      <c r="J1116" t="s">
        <v>1795</v>
      </c>
      <c r="K1116" t="s">
        <v>31</v>
      </c>
      <c r="L1116" t="s">
        <v>25</v>
      </c>
      <c r="M1116" t="s">
        <v>1163</v>
      </c>
      <c r="N1116" s="57">
        <v>1200</v>
      </c>
      <c r="O1116" t="s">
        <v>100</v>
      </c>
      <c r="P1116" t="s">
        <v>93</v>
      </c>
      <c r="Q1116" s="3">
        <v>46125</v>
      </c>
      <c r="R1116" s="10">
        <f t="shared" ca="1" si="35"/>
        <v>46229</v>
      </c>
      <c r="S1116" s="7">
        <f t="shared" ca="1" si="34"/>
        <v>0.28493150684931506</v>
      </c>
    </row>
    <row r="1117" spans="1:19" x14ac:dyDescent="0.25">
      <c r="A1117">
        <v>4077431</v>
      </c>
      <c r="B1117" t="s">
        <v>541</v>
      </c>
      <c r="C1117" t="s">
        <v>17</v>
      </c>
      <c r="D1117" s="6" t="s">
        <v>22</v>
      </c>
      <c r="E1117" t="s">
        <v>1033</v>
      </c>
      <c r="G1117" s="6" t="s">
        <v>1850</v>
      </c>
      <c r="H1117" s="59" t="s">
        <v>1014</v>
      </c>
      <c r="I1117" s="58" t="s">
        <v>1533</v>
      </c>
      <c r="J1117" t="s">
        <v>1795</v>
      </c>
      <c r="K1117" t="s">
        <v>31</v>
      </c>
      <c r="L1117" t="s">
        <v>1038</v>
      </c>
      <c r="M1117" t="s">
        <v>1163</v>
      </c>
      <c r="N1117" s="57">
        <v>1500</v>
      </c>
      <c r="O1117" t="s">
        <v>100</v>
      </c>
      <c r="P1117" t="s">
        <v>93</v>
      </c>
      <c r="Q1117" s="3">
        <v>44938</v>
      </c>
      <c r="R1117" s="10">
        <f t="shared" ca="1" si="35"/>
        <v>46229</v>
      </c>
      <c r="S1117" s="7">
        <f t="shared" ca="1" si="34"/>
        <v>3.536986301369863</v>
      </c>
    </row>
    <row r="1118" spans="1:19" x14ac:dyDescent="0.25">
      <c r="A1118">
        <v>4095278</v>
      </c>
      <c r="B1118" t="s">
        <v>584</v>
      </c>
      <c r="C1118" t="s">
        <v>17</v>
      </c>
      <c r="D1118" s="6" t="s">
        <v>22</v>
      </c>
      <c r="E1118" t="s">
        <v>1033</v>
      </c>
      <c r="G1118" s="6" t="s">
        <v>1850</v>
      </c>
      <c r="H1118" s="59" t="s">
        <v>1014</v>
      </c>
      <c r="I1118" s="58" t="s">
        <v>1533</v>
      </c>
      <c r="J1118" t="s">
        <v>1795</v>
      </c>
      <c r="K1118" t="s">
        <v>31</v>
      </c>
      <c r="L1118" t="s">
        <v>91</v>
      </c>
      <c r="M1118" t="s">
        <v>1163</v>
      </c>
      <c r="N1118" s="57">
        <v>1500</v>
      </c>
      <c r="O1118" t="s">
        <v>100</v>
      </c>
      <c r="P1118" t="s">
        <v>93</v>
      </c>
      <c r="Q1118" s="3">
        <v>45173</v>
      </c>
      <c r="R1118" s="10">
        <f t="shared" ca="1" si="35"/>
        <v>46229</v>
      </c>
      <c r="S1118" s="7">
        <f t="shared" ca="1" si="34"/>
        <v>2.893150684931507</v>
      </c>
    </row>
    <row r="1119" spans="1:19" x14ac:dyDescent="0.25">
      <c r="A1119">
        <v>4122888</v>
      </c>
      <c r="B1119" t="s">
        <v>1386</v>
      </c>
      <c r="C1119" t="s">
        <v>1044</v>
      </c>
      <c r="D1119" s="6" t="s">
        <v>22</v>
      </c>
      <c r="E1119" t="s">
        <v>21</v>
      </c>
      <c r="G1119" s="6" t="s">
        <v>1850</v>
      </c>
      <c r="H1119" s="59" t="s">
        <v>1014</v>
      </c>
      <c r="I1119" s="58" t="s">
        <v>1533</v>
      </c>
      <c r="J1119" t="s">
        <v>1795</v>
      </c>
      <c r="K1119" t="s">
        <v>31</v>
      </c>
      <c r="L1119" t="s">
        <v>25</v>
      </c>
      <c r="M1119" t="s">
        <v>1163</v>
      </c>
      <c r="N1119" s="57">
        <v>1200</v>
      </c>
      <c r="O1119" t="s">
        <v>100</v>
      </c>
      <c r="P1119" t="s">
        <v>93</v>
      </c>
      <c r="Q1119" s="3">
        <v>46125</v>
      </c>
      <c r="R1119" s="10">
        <f t="shared" ca="1" si="35"/>
        <v>46229</v>
      </c>
      <c r="S1119" s="7">
        <f t="shared" ca="1" si="34"/>
        <v>0.28493150684931506</v>
      </c>
    </row>
    <row r="1120" spans="1:19" x14ac:dyDescent="0.25">
      <c r="A1120">
        <v>4105985</v>
      </c>
      <c r="B1120" t="s">
        <v>658</v>
      </c>
      <c r="C1120" t="s">
        <v>17</v>
      </c>
      <c r="D1120" s="6" t="s">
        <v>22</v>
      </c>
      <c r="E1120" t="s">
        <v>54</v>
      </c>
      <c r="G1120" s="6" t="s">
        <v>967</v>
      </c>
      <c r="H1120" s="59" t="s">
        <v>1022</v>
      </c>
      <c r="I1120" s="58" t="s">
        <v>940</v>
      </c>
      <c r="J1120" t="s">
        <v>820</v>
      </c>
      <c r="K1120" t="s">
        <v>821</v>
      </c>
      <c r="L1120" t="s">
        <v>91</v>
      </c>
      <c r="M1120" t="s">
        <v>1163</v>
      </c>
      <c r="N1120" s="57">
        <v>1200</v>
      </c>
      <c r="O1120" t="s">
        <v>100</v>
      </c>
      <c r="P1120" t="s">
        <v>93</v>
      </c>
      <c r="Q1120" s="3">
        <v>45568</v>
      </c>
      <c r="R1120" s="10">
        <f t="shared" ca="1" si="35"/>
        <v>46229</v>
      </c>
      <c r="S1120" s="7">
        <f t="shared" ca="1" si="34"/>
        <v>1.810958904109589</v>
      </c>
    </row>
    <row r="1121" spans="1:19" x14ac:dyDescent="0.25">
      <c r="A1121">
        <v>4105990</v>
      </c>
      <c r="B1121" t="s">
        <v>1063</v>
      </c>
      <c r="C1121" t="s">
        <v>17</v>
      </c>
      <c r="D1121" s="6" t="s">
        <v>22</v>
      </c>
      <c r="E1121" t="s">
        <v>54</v>
      </c>
      <c r="G1121" s="6" t="s">
        <v>967</v>
      </c>
      <c r="H1121" s="59" t="s">
        <v>1022</v>
      </c>
      <c r="I1121" s="58" t="s">
        <v>940</v>
      </c>
      <c r="J1121" t="s">
        <v>820</v>
      </c>
      <c r="K1121" t="s">
        <v>821</v>
      </c>
      <c r="L1121" t="s">
        <v>91</v>
      </c>
      <c r="M1121" t="s">
        <v>1163</v>
      </c>
      <c r="N1121" s="57">
        <v>1500</v>
      </c>
      <c r="O1121" t="s">
        <v>100</v>
      </c>
      <c r="P1121" t="s">
        <v>93</v>
      </c>
      <c r="Q1121" s="3">
        <v>46072</v>
      </c>
      <c r="R1121" s="10">
        <f t="shared" ca="1" si="35"/>
        <v>46229</v>
      </c>
      <c r="S1121" s="7">
        <f t="shared" ca="1" si="34"/>
        <v>0.43013698630136987</v>
      </c>
    </row>
    <row r="1122" spans="1:19" x14ac:dyDescent="0.25">
      <c r="A1122">
        <v>4121093</v>
      </c>
      <c r="B1122" t="s">
        <v>1082</v>
      </c>
      <c r="C1122" t="s">
        <v>17</v>
      </c>
      <c r="D1122" s="6" t="s">
        <v>22</v>
      </c>
      <c r="E1122" t="s">
        <v>54</v>
      </c>
      <c r="G1122" s="6" t="s">
        <v>967</v>
      </c>
      <c r="H1122" s="59" t="s">
        <v>1022</v>
      </c>
      <c r="I1122" s="58" t="s">
        <v>940</v>
      </c>
      <c r="J1122" t="s">
        <v>820</v>
      </c>
      <c r="K1122" t="s">
        <v>821</v>
      </c>
      <c r="L1122" t="s">
        <v>91</v>
      </c>
      <c r="M1122" t="s">
        <v>1163</v>
      </c>
      <c r="N1122" s="57">
        <v>1500</v>
      </c>
      <c r="O1122" t="s">
        <v>100</v>
      </c>
      <c r="P1122" t="s">
        <v>93</v>
      </c>
      <c r="Q1122" s="3">
        <v>46072</v>
      </c>
      <c r="R1122" s="10">
        <f t="shared" ca="1" si="35"/>
        <v>46229</v>
      </c>
      <c r="S1122" s="7">
        <f t="shared" ca="1" si="34"/>
        <v>0.43013698630136987</v>
      </c>
    </row>
    <row r="1123" spans="1:19" x14ac:dyDescent="0.25">
      <c r="A1123">
        <v>4122391</v>
      </c>
      <c r="B1123" t="s">
        <v>1186</v>
      </c>
      <c r="C1123" t="s">
        <v>1044</v>
      </c>
      <c r="D1123" s="6" t="s">
        <v>22</v>
      </c>
      <c r="E1123" t="s">
        <v>54</v>
      </c>
      <c r="G1123" s="6" t="s">
        <v>967</v>
      </c>
      <c r="H1123" s="59" t="s">
        <v>1022</v>
      </c>
      <c r="I1123" s="58" t="s">
        <v>940</v>
      </c>
      <c r="J1123" t="s">
        <v>820</v>
      </c>
      <c r="K1123" t="s">
        <v>821</v>
      </c>
      <c r="L1123" t="s">
        <v>91</v>
      </c>
      <c r="M1123" t="s">
        <v>1163</v>
      </c>
      <c r="N1123" s="57">
        <v>1500</v>
      </c>
      <c r="O1123" t="s">
        <v>100</v>
      </c>
      <c r="P1123" t="s">
        <v>93</v>
      </c>
      <c r="Q1123" s="3">
        <v>46107</v>
      </c>
      <c r="R1123" s="10">
        <f t="shared" ca="1" si="35"/>
        <v>46229</v>
      </c>
      <c r="S1123" s="7">
        <f t="shared" ca="1" si="34"/>
        <v>0.33424657534246577</v>
      </c>
    </row>
    <row r="1124" spans="1:19" x14ac:dyDescent="0.25">
      <c r="A1124">
        <v>4122730</v>
      </c>
      <c r="B1124" t="s">
        <v>1277</v>
      </c>
      <c r="C1124" t="s">
        <v>1044</v>
      </c>
      <c r="D1124" s="6" t="s">
        <v>22</v>
      </c>
      <c r="E1124" t="s">
        <v>54</v>
      </c>
      <c r="G1124" s="6" t="s">
        <v>967</v>
      </c>
      <c r="H1124" s="59" t="s">
        <v>1022</v>
      </c>
      <c r="I1124" s="58" t="s">
        <v>940</v>
      </c>
      <c r="J1124" t="s">
        <v>820</v>
      </c>
      <c r="K1124" t="s">
        <v>821</v>
      </c>
      <c r="L1124" t="s">
        <v>91</v>
      </c>
      <c r="M1124" t="s">
        <v>1163</v>
      </c>
      <c r="N1124" s="57">
        <v>1500</v>
      </c>
      <c r="O1124" t="s">
        <v>100</v>
      </c>
      <c r="P1124" t="s">
        <v>93</v>
      </c>
      <c r="Q1124" s="3">
        <v>46121</v>
      </c>
      <c r="R1124" s="10">
        <f t="shared" ca="1" si="35"/>
        <v>46229</v>
      </c>
      <c r="S1124" s="7">
        <f t="shared" ca="1" si="34"/>
        <v>0.29589041095890412</v>
      </c>
    </row>
    <row r="1125" spans="1:19" x14ac:dyDescent="0.25">
      <c r="A1125">
        <v>4124417</v>
      </c>
      <c r="B1125" t="s">
        <v>1768</v>
      </c>
      <c r="C1125" t="s">
        <v>1044</v>
      </c>
      <c r="D1125" s="6" t="s">
        <v>22</v>
      </c>
      <c r="E1125" t="s">
        <v>54</v>
      </c>
      <c r="G1125" s="6" t="s">
        <v>967</v>
      </c>
      <c r="H1125" s="59" t="s">
        <v>1022</v>
      </c>
      <c r="I1125" s="58" t="s">
        <v>940</v>
      </c>
      <c r="J1125" t="s">
        <v>820</v>
      </c>
      <c r="K1125" t="s">
        <v>821</v>
      </c>
      <c r="L1125" t="s">
        <v>91</v>
      </c>
      <c r="M1125" t="s">
        <v>1163</v>
      </c>
      <c r="N1125" s="57">
        <v>1500</v>
      </c>
      <c r="O1125" t="s">
        <v>100</v>
      </c>
      <c r="P1125" t="s">
        <v>93</v>
      </c>
      <c r="Q1125" s="3">
        <v>46174</v>
      </c>
      <c r="R1125" s="10">
        <f t="shared" ca="1" si="35"/>
        <v>46229</v>
      </c>
      <c r="S1125" s="7">
        <f t="shared" ca="1" si="34"/>
        <v>0.15068493150684931</v>
      </c>
    </row>
    <row r="1126" spans="1:19" x14ac:dyDescent="0.25">
      <c r="A1126">
        <v>588838</v>
      </c>
      <c r="B1126" t="s">
        <v>722</v>
      </c>
      <c r="C1126" t="s">
        <v>17</v>
      </c>
      <c r="D1126" s="6" t="s">
        <v>22</v>
      </c>
      <c r="E1126" t="s">
        <v>54</v>
      </c>
      <c r="G1126" s="6" t="s">
        <v>967</v>
      </c>
      <c r="H1126" s="59" t="s">
        <v>1022</v>
      </c>
      <c r="I1126" s="58" t="s">
        <v>940</v>
      </c>
      <c r="J1126" t="s">
        <v>820</v>
      </c>
      <c r="K1126" t="s">
        <v>821</v>
      </c>
      <c r="L1126" t="s">
        <v>91</v>
      </c>
      <c r="M1126" t="s">
        <v>1163</v>
      </c>
      <c r="N1126" s="57">
        <v>1200</v>
      </c>
      <c r="O1126" t="s">
        <v>100</v>
      </c>
      <c r="P1126" t="s">
        <v>93</v>
      </c>
      <c r="Q1126" s="3">
        <v>45565</v>
      </c>
      <c r="R1126" s="10">
        <f t="shared" ca="1" si="35"/>
        <v>46229</v>
      </c>
      <c r="S1126" s="7">
        <f t="shared" ca="1" si="34"/>
        <v>1.8191780821917809</v>
      </c>
    </row>
    <row r="1127" spans="1:19" x14ac:dyDescent="0.25">
      <c r="A1127">
        <v>929799</v>
      </c>
      <c r="B1127" t="s">
        <v>773</v>
      </c>
      <c r="C1127" t="s">
        <v>17</v>
      </c>
      <c r="D1127" s="6" t="s">
        <v>22</v>
      </c>
      <c r="E1127" t="s">
        <v>65</v>
      </c>
      <c r="G1127" s="6" t="s">
        <v>967</v>
      </c>
      <c r="H1127" s="59" t="s">
        <v>1022</v>
      </c>
      <c r="I1127" s="58" t="s">
        <v>940</v>
      </c>
      <c r="J1127" t="s">
        <v>820</v>
      </c>
      <c r="K1127" t="s">
        <v>821</v>
      </c>
      <c r="L1127" t="s">
        <v>91</v>
      </c>
      <c r="M1127" t="s">
        <v>1163</v>
      </c>
      <c r="N1127" s="57">
        <v>1500</v>
      </c>
      <c r="O1127" t="s">
        <v>100</v>
      </c>
      <c r="P1127" t="s">
        <v>93</v>
      </c>
      <c r="Q1127" s="3">
        <v>42569</v>
      </c>
      <c r="R1127" s="10">
        <f t="shared" ca="1" si="35"/>
        <v>46229</v>
      </c>
      <c r="S1127" s="7">
        <f t="shared" ca="1" si="34"/>
        <v>10.027397260273972</v>
      </c>
    </row>
    <row r="1128" spans="1:19" x14ac:dyDescent="0.25">
      <c r="A1128">
        <v>20446</v>
      </c>
      <c r="B1128" t="s">
        <v>298</v>
      </c>
      <c r="C1128" t="s">
        <v>17</v>
      </c>
      <c r="D1128" s="6" t="s">
        <v>39</v>
      </c>
      <c r="E1128" t="s">
        <v>47</v>
      </c>
      <c r="G1128" s="6" t="s">
        <v>971</v>
      </c>
      <c r="H1128" s="59" t="s">
        <v>973</v>
      </c>
      <c r="I1128" s="58" t="s">
        <v>884</v>
      </c>
      <c r="J1128" t="s">
        <v>882</v>
      </c>
      <c r="K1128" t="s">
        <v>883</v>
      </c>
      <c r="L1128" t="s">
        <v>966</v>
      </c>
      <c r="M1128" t="s">
        <v>1163</v>
      </c>
      <c r="N1128" s="57">
        <v>6900</v>
      </c>
      <c r="O1128" t="s">
        <v>100</v>
      </c>
      <c r="P1128" t="s">
        <v>38</v>
      </c>
      <c r="Q1128" s="3">
        <v>40406</v>
      </c>
      <c r="R1128" s="10">
        <f t="shared" ca="1" si="35"/>
        <v>46229</v>
      </c>
      <c r="S1128" s="7">
        <f t="shared" ca="1" si="34"/>
        <v>15.953424657534246</v>
      </c>
    </row>
    <row r="1129" spans="1:19" x14ac:dyDescent="0.25">
      <c r="A1129">
        <v>1175012</v>
      </c>
      <c r="B1129" t="s">
        <v>216</v>
      </c>
      <c r="C1129" t="s">
        <v>17</v>
      </c>
      <c r="D1129" s="6" t="s">
        <v>22</v>
      </c>
      <c r="E1129" t="s">
        <v>79</v>
      </c>
      <c r="G1129" s="6" t="s">
        <v>971</v>
      </c>
      <c r="H1129" s="59" t="s">
        <v>973</v>
      </c>
      <c r="I1129" s="58" t="s">
        <v>884</v>
      </c>
      <c r="J1129" t="s">
        <v>882</v>
      </c>
      <c r="K1129" t="s">
        <v>883</v>
      </c>
      <c r="L1129" t="s">
        <v>966</v>
      </c>
      <c r="M1129" t="s">
        <v>1163</v>
      </c>
      <c r="N1129" s="57">
        <v>1300</v>
      </c>
      <c r="O1129" t="s">
        <v>100</v>
      </c>
      <c r="P1129" t="s">
        <v>93</v>
      </c>
      <c r="Q1129" s="3">
        <v>44984</v>
      </c>
      <c r="R1129" s="10">
        <f t="shared" ca="1" si="35"/>
        <v>46229</v>
      </c>
      <c r="S1129" s="7">
        <f t="shared" ca="1" si="34"/>
        <v>3.4109589041095889</v>
      </c>
    </row>
    <row r="1130" spans="1:19" x14ac:dyDescent="0.25">
      <c r="A1130">
        <v>1002436</v>
      </c>
      <c r="B1130" t="s">
        <v>104</v>
      </c>
      <c r="C1130" t="s">
        <v>17</v>
      </c>
      <c r="D1130" s="6" t="s">
        <v>22</v>
      </c>
      <c r="E1130" t="s">
        <v>44</v>
      </c>
      <c r="G1130" s="6" t="s">
        <v>967</v>
      </c>
      <c r="H1130" s="59" t="s">
        <v>1022</v>
      </c>
      <c r="I1130" s="58" t="s">
        <v>820</v>
      </c>
      <c r="J1130" t="s">
        <v>821</v>
      </c>
      <c r="K1130" t="s">
        <v>822</v>
      </c>
      <c r="L1130" t="s">
        <v>1038</v>
      </c>
      <c r="M1130" t="s">
        <v>1163</v>
      </c>
      <c r="N1130" s="57">
        <v>1500</v>
      </c>
      <c r="O1130" t="s">
        <v>100</v>
      </c>
      <c r="P1130" t="s">
        <v>93</v>
      </c>
      <c r="Q1130" s="3">
        <v>42807</v>
      </c>
      <c r="R1130" s="10">
        <f t="shared" ca="1" si="35"/>
        <v>46229</v>
      </c>
      <c r="S1130" s="7">
        <f t="shared" ca="1" si="34"/>
        <v>9.375342465753425</v>
      </c>
    </row>
    <row r="1131" spans="1:19" x14ac:dyDescent="0.25">
      <c r="A1131">
        <v>23193</v>
      </c>
      <c r="B1131" t="s">
        <v>312</v>
      </c>
      <c r="C1131" t="s">
        <v>17</v>
      </c>
      <c r="D1131" s="6" t="s">
        <v>22</v>
      </c>
      <c r="E1131" t="s">
        <v>44</v>
      </c>
      <c r="G1131" s="6" t="s">
        <v>967</v>
      </c>
      <c r="H1131" s="59" t="s">
        <v>1022</v>
      </c>
      <c r="I1131" s="58" t="s">
        <v>820</v>
      </c>
      <c r="J1131" t="s">
        <v>821</v>
      </c>
      <c r="K1131" t="s">
        <v>822</v>
      </c>
      <c r="L1131" t="s">
        <v>91</v>
      </c>
      <c r="M1131" t="s">
        <v>1163</v>
      </c>
      <c r="N1131" s="57">
        <v>1500</v>
      </c>
      <c r="O1131" t="s">
        <v>100</v>
      </c>
      <c r="P1131" t="s">
        <v>93</v>
      </c>
      <c r="Q1131" s="3">
        <v>44977</v>
      </c>
      <c r="R1131" s="10">
        <f t="shared" ca="1" si="35"/>
        <v>46229</v>
      </c>
      <c r="S1131" s="7">
        <f t="shared" ca="1" si="34"/>
        <v>3.43013698630137</v>
      </c>
    </row>
    <row r="1132" spans="1:19" x14ac:dyDescent="0.25">
      <c r="A1132">
        <v>29084</v>
      </c>
      <c r="B1132" t="s">
        <v>1482</v>
      </c>
      <c r="C1132" t="s">
        <v>17</v>
      </c>
      <c r="D1132" s="6" t="s">
        <v>22</v>
      </c>
      <c r="E1132" t="s">
        <v>65</v>
      </c>
      <c r="G1132" s="6" t="s">
        <v>967</v>
      </c>
      <c r="H1132" s="59" t="s">
        <v>1022</v>
      </c>
      <c r="I1132" s="58" t="s">
        <v>820</v>
      </c>
      <c r="J1132" t="s">
        <v>821</v>
      </c>
      <c r="K1132" t="s">
        <v>822</v>
      </c>
      <c r="L1132" t="s">
        <v>1038</v>
      </c>
      <c r="M1132" t="s">
        <v>1163</v>
      </c>
      <c r="N1132" s="57">
        <v>1500</v>
      </c>
      <c r="O1132" t="s">
        <v>100</v>
      </c>
      <c r="P1132" t="s">
        <v>93</v>
      </c>
      <c r="Q1132" s="3">
        <v>39601</v>
      </c>
      <c r="R1132" s="10">
        <f t="shared" ca="1" si="35"/>
        <v>46229</v>
      </c>
      <c r="S1132" s="7">
        <f t="shared" ca="1" si="34"/>
        <v>18.158904109589042</v>
      </c>
    </row>
    <row r="1133" spans="1:19" x14ac:dyDescent="0.25">
      <c r="A1133">
        <v>4069631</v>
      </c>
      <c r="B1133" t="s">
        <v>1816</v>
      </c>
      <c r="C1133" t="s">
        <v>17</v>
      </c>
      <c r="D1133" s="6" t="s">
        <v>22</v>
      </c>
      <c r="E1133" t="s">
        <v>53</v>
      </c>
      <c r="G1133" s="6" t="s">
        <v>967</v>
      </c>
      <c r="H1133" s="59" t="s">
        <v>1022</v>
      </c>
      <c r="I1133" s="58" t="s">
        <v>820</v>
      </c>
      <c r="J1133" t="s">
        <v>821</v>
      </c>
      <c r="K1133" t="s">
        <v>822</v>
      </c>
      <c r="L1133" t="s">
        <v>1038</v>
      </c>
      <c r="M1133" t="s">
        <v>1163</v>
      </c>
      <c r="N1133" s="57">
        <v>1500</v>
      </c>
      <c r="O1133" t="s">
        <v>100</v>
      </c>
      <c r="P1133" t="s">
        <v>1833</v>
      </c>
      <c r="Q1133" s="3">
        <v>44840</v>
      </c>
      <c r="R1133" s="10">
        <f t="shared" ca="1" si="35"/>
        <v>46229</v>
      </c>
      <c r="S1133" s="7">
        <f t="shared" ca="1" si="34"/>
        <v>3.8054794520547945</v>
      </c>
    </row>
    <row r="1134" spans="1:19" x14ac:dyDescent="0.25">
      <c r="A1134">
        <v>26555</v>
      </c>
      <c r="B1134" t="s">
        <v>1600</v>
      </c>
      <c r="C1134" t="s">
        <v>17</v>
      </c>
      <c r="D1134" s="6" t="s">
        <v>22</v>
      </c>
      <c r="E1134" t="s">
        <v>65</v>
      </c>
      <c r="G1134" s="6" t="s">
        <v>967</v>
      </c>
      <c r="H1134" s="59" t="s">
        <v>1022</v>
      </c>
      <c r="I1134" s="58" t="s">
        <v>820</v>
      </c>
      <c r="J1134" t="s">
        <v>821</v>
      </c>
      <c r="K1134" t="s">
        <v>822</v>
      </c>
      <c r="L1134" t="s">
        <v>1038</v>
      </c>
      <c r="M1134" t="s">
        <v>1163</v>
      </c>
      <c r="N1134" s="57">
        <v>1500</v>
      </c>
      <c r="O1134" t="s">
        <v>100</v>
      </c>
      <c r="P1134" t="s">
        <v>93</v>
      </c>
      <c r="Q1134" s="3">
        <v>38978</v>
      </c>
      <c r="R1134" s="10">
        <f t="shared" ca="1" si="35"/>
        <v>46229</v>
      </c>
      <c r="S1134" s="7">
        <f t="shared" ca="1" si="34"/>
        <v>19.865753424657534</v>
      </c>
    </row>
    <row r="1135" spans="1:19" x14ac:dyDescent="0.25">
      <c r="A1135">
        <v>4061789</v>
      </c>
      <c r="B1135" t="s">
        <v>1627</v>
      </c>
      <c r="C1135" t="s">
        <v>17</v>
      </c>
      <c r="D1135" s="6" t="s">
        <v>22</v>
      </c>
      <c r="E1135" t="s">
        <v>65</v>
      </c>
      <c r="G1135" s="6" t="s">
        <v>967</v>
      </c>
      <c r="H1135" s="59" t="s">
        <v>1022</v>
      </c>
      <c r="I1135" s="58" t="s">
        <v>820</v>
      </c>
      <c r="J1135" t="s">
        <v>821</v>
      </c>
      <c r="K1135" t="s">
        <v>822</v>
      </c>
      <c r="L1135" t="s">
        <v>1038</v>
      </c>
      <c r="M1135" t="s">
        <v>1163</v>
      </c>
      <c r="N1135" s="57">
        <v>1500</v>
      </c>
      <c r="O1135" t="s">
        <v>100</v>
      </c>
      <c r="P1135" t="s">
        <v>93</v>
      </c>
      <c r="Q1135" s="3">
        <v>44756</v>
      </c>
      <c r="R1135" s="10">
        <f t="shared" ca="1" si="35"/>
        <v>46229</v>
      </c>
      <c r="S1135" s="7">
        <f t="shared" ca="1" si="34"/>
        <v>4.0356164383561648</v>
      </c>
    </row>
    <row r="1136" spans="1:19" x14ac:dyDescent="0.25">
      <c r="A1136">
        <v>4089255</v>
      </c>
      <c r="B1136" t="s">
        <v>570</v>
      </c>
      <c r="C1136" t="s">
        <v>17</v>
      </c>
      <c r="D1136" s="6" t="s">
        <v>22</v>
      </c>
      <c r="E1136" t="s">
        <v>65</v>
      </c>
      <c r="G1136" s="6" t="s">
        <v>967</v>
      </c>
      <c r="H1136" s="59" t="s">
        <v>1022</v>
      </c>
      <c r="I1136" s="58" t="s">
        <v>820</v>
      </c>
      <c r="J1136" t="s">
        <v>821</v>
      </c>
      <c r="K1136" t="s">
        <v>822</v>
      </c>
      <c r="L1136" t="s">
        <v>91</v>
      </c>
      <c r="M1136" t="s">
        <v>1163</v>
      </c>
      <c r="N1136" s="57">
        <v>1500</v>
      </c>
      <c r="O1136" t="s">
        <v>100</v>
      </c>
      <c r="P1136" t="s">
        <v>93</v>
      </c>
      <c r="Q1136" s="3">
        <v>45071</v>
      </c>
      <c r="R1136" s="10">
        <f t="shared" ca="1" si="35"/>
        <v>46229</v>
      </c>
      <c r="S1136" s="7">
        <f t="shared" ca="1" si="34"/>
        <v>3.1726027397260275</v>
      </c>
    </row>
    <row r="1137" spans="1:19" x14ac:dyDescent="0.25">
      <c r="A1137">
        <v>837744</v>
      </c>
      <c r="B1137" t="s">
        <v>738</v>
      </c>
      <c r="C1137" t="s">
        <v>17</v>
      </c>
      <c r="D1137" s="6" t="s">
        <v>22</v>
      </c>
      <c r="E1137" t="s">
        <v>44</v>
      </c>
      <c r="G1137" s="6" t="s">
        <v>967</v>
      </c>
      <c r="H1137" s="59" t="s">
        <v>1022</v>
      </c>
      <c r="I1137" s="58" t="s">
        <v>820</v>
      </c>
      <c r="J1137" t="s">
        <v>821</v>
      </c>
      <c r="K1137" t="s">
        <v>822</v>
      </c>
      <c r="L1137" t="s">
        <v>25</v>
      </c>
      <c r="M1137" t="s">
        <v>1163</v>
      </c>
      <c r="N1137" s="57">
        <v>1500</v>
      </c>
      <c r="O1137" t="s">
        <v>100</v>
      </c>
      <c r="P1137" t="s">
        <v>93</v>
      </c>
      <c r="Q1137" s="3">
        <v>44872</v>
      </c>
      <c r="R1137" s="10">
        <f t="shared" ca="1" si="35"/>
        <v>46229</v>
      </c>
      <c r="S1137" s="7">
        <f t="shared" ca="1" si="34"/>
        <v>3.7178082191780821</v>
      </c>
    </row>
    <row r="1138" spans="1:19" x14ac:dyDescent="0.25">
      <c r="A1138">
        <v>851163</v>
      </c>
      <c r="B1138" t="s">
        <v>742</v>
      </c>
      <c r="C1138" t="s">
        <v>17</v>
      </c>
      <c r="D1138" s="6" t="s">
        <v>22</v>
      </c>
      <c r="E1138" t="s">
        <v>44</v>
      </c>
      <c r="G1138" s="6" t="s">
        <v>967</v>
      </c>
      <c r="H1138" s="59" t="s">
        <v>1022</v>
      </c>
      <c r="I1138" s="58" t="s">
        <v>820</v>
      </c>
      <c r="J1138" t="s">
        <v>821</v>
      </c>
      <c r="K1138" t="s">
        <v>822</v>
      </c>
      <c r="L1138" t="s">
        <v>25</v>
      </c>
      <c r="M1138" t="s">
        <v>1163</v>
      </c>
      <c r="N1138" s="57">
        <v>1500</v>
      </c>
      <c r="O1138" t="s">
        <v>100</v>
      </c>
      <c r="P1138" t="s">
        <v>93</v>
      </c>
      <c r="Q1138" s="3">
        <v>42569</v>
      </c>
      <c r="R1138" s="10">
        <f t="shared" ca="1" si="35"/>
        <v>46229</v>
      </c>
      <c r="S1138" s="7">
        <f t="shared" ca="1" si="34"/>
        <v>10.027397260273972</v>
      </c>
    </row>
    <row r="1139" spans="1:19" x14ac:dyDescent="0.25">
      <c r="A1139">
        <v>858692</v>
      </c>
      <c r="B1139" t="s">
        <v>1494</v>
      </c>
      <c r="C1139" t="s">
        <v>17</v>
      </c>
      <c r="D1139" s="6" t="s">
        <v>22</v>
      </c>
      <c r="E1139" t="s">
        <v>1503</v>
      </c>
      <c r="G1139" s="6" t="s">
        <v>967</v>
      </c>
      <c r="H1139" s="59" t="s">
        <v>1022</v>
      </c>
      <c r="I1139" s="58" t="s">
        <v>820</v>
      </c>
      <c r="J1139" t="s">
        <v>821</v>
      </c>
      <c r="K1139" t="s">
        <v>822</v>
      </c>
      <c r="L1139" t="s">
        <v>1038</v>
      </c>
      <c r="M1139" t="s">
        <v>1163</v>
      </c>
      <c r="N1139" s="57">
        <v>1500</v>
      </c>
      <c r="O1139" t="s">
        <v>100</v>
      </c>
      <c r="P1139" t="s">
        <v>93</v>
      </c>
      <c r="Q1139" s="3">
        <v>41911</v>
      </c>
      <c r="R1139" s="10">
        <f t="shared" ca="1" si="35"/>
        <v>46229</v>
      </c>
      <c r="S1139" s="7">
        <f t="shared" ca="1" si="34"/>
        <v>11.830136986301369</v>
      </c>
    </row>
    <row r="1140" spans="1:19" x14ac:dyDescent="0.25">
      <c r="A1140">
        <v>955151</v>
      </c>
      <c r="B1140" t="s">
        <v>777</v>
      </c>
      <c r="C1140" t="s">
        <v>17</v>
      </c>
      <c r="D1140" s="6" t="s">
        <v>22</v>
      </c>
      <c r="E1140" t="s">
        <v>44</v>
      </c>
      <c r="G1140" s="6" t="s">
        <v>967</v>
      </c>
      <c r="H1140" s="59" t="s">
        <v>1022</v>
      </c>
      <c r="I1140" s="58" t="s">
        <v>820</v>
      </c>
      <c r="J1140" t="s">
        <v>821</v>
      </c>
      <c r="K1140" t="s">
        <v>822</v>
      </c>
      <c r="L1140" t="s">
        <v>1038</v>
      </c>
      <c r="M1140" t="s">
        <v>1163</v>
      </c>
      <c r="N1140" s="57">
        <v>1500</v>
      </c>
      <c r="O1140" t="s">
        <v>100</v>
      </c>
      <c r="P1140" t="s">
        <v>93</v>
      </c>
      <c r="Q1140" s="3">
        <v>42569</v>
      </c>
      <c r="R1140" s="10">
        <f t="shared" ca="1" si="35"/>
        <v>46229</v>
      </c>
      <c r="S1140" s="7">
        <f t="shared" ca="1" si="34"/>
        <v>10.027397260273972</v>
      </c>
    </row>
    <row r="1141" spans="1:19" x14ac:dyDescent="0.25">
      <c r="A1141">
        <v>1144289</v>
      </c>
      <c r="B1141" t="s">
        <v>1476</v>
      </c>
      <c r="C1141" t="s">
        <v>17</v>
      </c>
      <c r="D1141" s="6" t="s">
        <v>39</v>
      </c>
      <c r="E1141" t="s">
        <v>63</v>
      </c>
      <c r="G1141" s="6" t="s">
        <v>970</v>
      </c>
      <c r="H1141" s="59" t="s">
        <v>1418</v>
      </c>
      <c r="I1141" s="58" t="s">
        <v>1498</v>
      </c>
      <c r="J1141" t="s">
        <v>1499</v>
      </c>
      <c r="K1141" t="s">
        <v>1500</v>
      </c>
      <c r="L1141" t="s">
        <v>966</v>
      </c>
      <c r="M1141" t="s">
        <v>1163</v>
      </c>
      <c r="N1141" s="57">
        <v>5800</v>
      </c>
      <c r="O1141" t="s">
        <v>100</v>
      </c>
      <c r="P1141" t="s">
        <v>38</v>
      </c>
      <c r="Q1141" s="3">
        <v>44578</v>
      </c>
      <c r="R1141" s="10">
        <f t="shared" ca="1" si="35"/>
        <v>46229</v>
      </c>
      <c r="S1141" s="7">
        <f t="shared" ca="1" si="34"/>
        <v>4.5232876712328771</v>
      </c>
    </row>
    <row r="1142" spans="1:19" x14ac:dyDescent="0.25">
      <c r="A1142">
        <v>1233332</v>
      </c>
      <c r="B1142" t="s">
        <v>1543</v>
      </c>
      <c r="C1142" t="s">
        <v>17</v>
      </c>
      <c r="D1142" s="6" t="s">
        <v>39</v>
      </c>
      <c r="E1142" t="s">
        <v>84</v>
      </c>
      <c r="G1142" s="6" t="s">
        <v>970</v>
      </c>
      <c r="H1142" s="59" t="s">
        <v>1418</v>
      </c>
      <c r="I1142" s="58" t="s">
        <v>1498</v>
      </c>
      <c r="J1142" t="s">
        <v>1499</v>
      </c>
      <c r="K1142" t="s">
        <v>1500</v>
      </c>
      <c r="L1142" t="s">
        <v>966</v>
      </c>
      <c r="M1142" t="s">
        <v>1163</v>
      </c>
      <c r="N1142" s="57">
        <v>5800</v>
      </c>
      <c r="O1142" t="s">
        <v>100</v>
      </c>
      <c r="P1142" t="s">
        <v>38</v>
      </c>
      <c r="Q1142" s="3">
        <v>46174</v>
      </c>
      <c r="R1142" s="10">
        <f t="shared" ca="1" si="35"/>
        <v>46229</v>
      </c>
      <c r="S1142" s="7">
        <f t="shared" ca="1" si="34"/>
        <v>0.15068493150684931</v>
      </c>
    </row>
    <row r="1143" spans="1:19" x14ac:dyDescent="0.25">
      <c r="A1143">
        <v>31135</v>
      </c>
      <c r="B1143" t="s">
        <v>1483</v>
      </c>
      <c r="C1143" t="s">
        <v>17</v>
      </c>
      <c r="D1143" s="6" t="s">
        <v>39</v>
      </c>
      <c r="E1143" t="s">
        <v>63</v>
      </c>
      <c r="G1143" s="6" t="s">
        <v>970</v>
      </c>
      <c r="H1143" s="59" t="s">
        <v>1418</v>
      </c>
      <c r="I1143" s="58" t="s">
        <v>1498</v>
      </c>
      <c r="J1143" t="s">
        <v>1499</v>
      </c>
      <c r="K1143" t="s">
        <v>1500</v>
      </c>
      <c r="L1143" t="s">
        <v>966</v>
      </c>
      <c r="M1143" t="s">
        <v>1163</v>
      </c>
      <c r="N1143" s="57">
        <v>5800</v>
      </c>
      <c r="O1143" t="s">
        <v>100</v>
      </c>
      <c r="P1143" t="s">
        <v>38</v>
      </c>
      <c r="Q1143" s="3">
        <v>46160</v>
      </c>
      <c r="R1143" s="10">
        <f t="shared" ca="1" si="35"/>
        <v>46229</v>
      </c>
      <c r="S1143" s="7">
        <f t="shared" ca="1" si="34"/>
        <v>0.18904109589041096</v>
      </c>
    </row>
    <row r="1144" spans="1:19" x14ac:dyDescent="0.25">
      <c r="A1144">
        <v>37269</v>
      </c>
      <c r="B1144" t="s">
        <v>415</v>
      </c>
      <c r="C1144" t="s">
        <v>17</v>
      </c>
      <c r="D1144" s="6" t="s">
        <v>22</v>
      </c>
      <c r="E1144" t="s">
        <v>54</v>
      </c>
      <c r="G1144" s="6" t="s">
        <v>967</v>
      </c>
      <c r="H1144" s="59" t="s">
        <v>1022</v>
      </c>
      <c r="I1144" s="58" t="s">
        <v>921</v>
      </c>
      <c r="J1144" t="s">
        <v>820</v>
      </c>
      <c r="K1144" t="s">
        <v>821</v>
      </c>
      <c r="L1144" t="s">
        <v>1038</v>
      </c>
      <c r="M1144" t="s">
        <v>1163</v>
      </c>
      <c r="N1144" s="57">
        <v>1500</v>
      </c>
      <c r="O1144" t="s">
        <v>100</v>
      </c>
      <c r="P1144" t="s">
        <v>93</v>
      </c>
      <c r="Q1144" s="3">
        <v>40231</v>
      </c>
      <c r="R1144" s="10">
        <f t="shared" ca="1" si="35"/>
        <v>46229</v>
      </c>
      <c r="S1144" s="7">
        <f t="shared" ca="1" si="34"/>
        <v>16.432876712328767</v>
      </c>
    </row>
    <row r="1145" spans="1:19" x14ac:dyDescent="0.25">
      <c r="A1145">
        <v>4011649</v>
      </c>
      <c r="B1145" t="s">
        <v>1613</v>
      </c>
      <c r="C1145" t="s">
        <v>1044</v>
      </c>
      <c r="D1145" s="6" t="s">
        <v>22</v>
      </c>
      <c r="E1145" t="s">
        <v>54</v>
      </c>
      <c r="G1145" s="6" t="s">
        <v>967</v>
      </c>
      <c r="H1145" s="59" t="s">
        <v>1022</v>
      </c>
      <c r="I1145" s="58" t="s">
        <v>921</v>
      </c>
      <c r="J1145" t="s">
        <v>820</v>
      </c>
      <c r="K1145" t="s">
        <v>821</v>
      </c>
      <c r="L1145" t="s">
        <v>1038</v>
      </c>
      <c r="M1145" t="s">
        <v>1163</v>
      </c>
      <c r="N1145" s="57">
        <v>1500</v>
      </c>
      <c r="O1145" t="s">
        <v>100</v>
      </c>
      <c r="P1145" t="s">
        <v>93</v>
      </c>
      <c r="Q1145" s="3">
        <v>46174</v>
      </c>
      <c r="R1145" s="10">
        <f t="shared" ca="1" si="35"/>
        <v>46229</v>
      </c>
      <c r="S1145" s="7">
        <f t="shared" ca="1" si="34"/>
        <v>0.15068493150684931</v>
      </c>
    </row>
    <row r="1146" spans="1:19" x14ac:dyDescent="0.25">
      <c r="A1146">
        <v>4071098</v>
      </c>
      <c r="B1146" t="s">
        <v>527</v>
      </c>
      <c r="C1146" t="s">
        <v>17</v>
      </c>
      <c r="D1146" s="6" t="s">
        <v>22</v>
      </c>
      <c r="E1146" t="s">
        <v>54</v>
      </c>
      <c r="G1146" s="6" t="s">
        <v>967</v>
      </c>
      <c r="H1146" s="59" t="s">
        <v>1022</v>
      </c>
      <c r="I1146" s="58" t="s">
        <v>921</v>
      </c>
      <c r="J1146" t="s">
        <v>820</v>
      </c>
      <c r="K1146" t="s">
        <v>821</v>
      </c>
      <c r="L1146" t="s">
        <v>1038</v>
      </c>
      <c r="M1146" t="s">
        <v>1163</v>
      </c>
      <c r="N1146" s="57">
        <v>1200</v>
      </c>
      <c r="O1146" t="s">
        <v>100</v>
      </c>
      <c r="P1146" t="s">
        <v>93</v>
      </c>
      <c r="Q1146" s="3">
        <v>45680</v>
      </c>
      <c r="R1146" s="10">
        <f t="shared" ca="1" si="35"/>
        <v>46229</v>
      </c>
      <c r="S1146" s="7">
        <f t="shared" ca="1" si="34"/>
        <v>1.5041095890410958</v>
      </c>
    </row>
    <row r="1147" spans="1:19" x14ac:dyDescent="0.25">
      <c r="A1147">
        <v>34271</v>
      </c>
      <c r="B1147" t="s">
        <v>1610</v>
      </c>
      <c r="C1147" t="s">
        <v>17</v>
      </c>
      <c r="D1147" s="6" t="s">
        <v>22</v>
      </c>
      <c r="E1147" t="s">
        <v>65</v>
      </c>
      <c r="G1147" s="6" t="s">
        <v>967</v>
      </c>
      <c r="H1147" s="59" t="s">
        <v>1022</v>
      </c>
      <c r="I1147" s="58" t="s">
        <v>921</v>
      </c>
      <c r="J1147" t="s">
        <v>820</v>
      </c>
      <c r="K1147" t="s">
        <v>821</v>
      </c>
      <c r="L1147" t="s">
        <v>1038</v>
      </c>
      <c r="M1147" t="s">
        <v>1163</v>
      </c>
      <c r="N1147" s="57">
        <v>1500</v>
      </c>
      <c r="O1147" t="s">
        <v>100</v>
      </c>
      <c r="P1147" t="s">
        <v>93</v>
      </c>
      <c r="Q1147" s="3">
        <v>37949</v>
      </c>
      <c r="R1147" s="10">
        <f t="shared" ca="1" si="35"/>
        <v>46229</v>
      </c>
      <c r="S1147" s="7">
        <f t="shared" ca="1" si="34"/>
        <v>22.684931506849313</v>
      </c>
    </row>
    <row r="1148" spans="1:19" x14ac:dyDescent="0.25">
      <c r="A1148">
        <v>4098047</v>
      </c>
      <c r="B1148" t="s">
        <v>586</v>
      </c>
      <c r="C1148" t="s">
        <v>17</v>
      </c>
      <c r="D1148" s="6" t="s">
        <v>22</v>
      </c>
      <c r="E1148" t="s">
        <v>65</v>
      </c>
      <c r="G1148" s="6" t="s">
        <v>967</v>
      </c>
      <c r="H1148" s="59" t="s">
        <v>1022</v>
      </c>
      <c r="I1148" s="58" t="s">
        <v>921</v>
      </c>
      <c r="J1148" t="s">
        <v>820</v>
      </c>
      <c r="K1148" t="s">
        <v>821</v>
      </c>
      <c r="L1148" t="s">
        <v>1038</v>
      </c>
      <c r="M1148" t="s">
        <v>1163</v>
      </c>
      <c r="N1148" s="57">
        <v>1500</v>
      </c>
      <c r="O1148" t="s">
        <v>100</v>
      </c>
      <c r="P1148" t="s">
        <v>93</v>
      </c>
      <c r="Q1148" s="3">
        <v>45299</v>
      </c>
      <c r="R1148" s="10">
        <f t="shared" ca="1" si="35"/>
        <v>46229</v>
      </c>
      <c r="S1148" s="7">
        <f t="shared" ca="1" si="34"/>
        <v>2.547945205479452</v>
      </c>
    </row>
    <row r="1149" spans="1:19" x14ac:dyDescent="0.25">
      <c r="A1149">
        <v>4062989</v>
      </c>
      <c r="B1149" t="s">
        <v>1628</v>
      </c>
      <c r="C1149" t="s">
        <v>17</v>
      </c>
      <c r="D1149" s="6" t="s">
        <v>22</v>
      </c>
      <c r="E1149" t="s">
        <v>65</v>
      </c>
      <c r="G1149" s="6" t="s">
        <v>967</v>
      </c>
      <c r="H1149" s="59" t="s">
        <v>1022</v>
      </c>
      <c r="I1149" s="58" t="s">
        <v>921</v>
      </c>
      <c r="J1149" t="s">
        <v>820</v>
      </c>
      <c r="K1149" t="s">
        <v>821</v>
      </c>
      <c r="L1149" t="s">
        <v>1038</v>
      </c>
      <c r="M1149" t="s">
        <v>1163</v>
      </c>
      <c r="N1149" s="57">
        <v>1500</v>
      </c>
      <c r="O1149" t="s">
        <v>100</v>
      </c>
      <c r="P1149" t="s">
        <v>93</v>
      </c>
      <c r="Q1149" s="3">
        <v>44774</v>
      </c>
      <c r="R1149" s="10">
        <f t="shared" ca="1" si="35"/>
        <v>46229</v>
      </c>
      <c r="S1149" s="7">
        <f t="shared" ca="1" si="34"/>
        <v>3.9863013698630136</v>
      </c>
    </row>
    <row r="1150" spans="1:19" x14ac:dyDescent="0.25">
      <c r="A1150">
        <v>4109084</v>
      </c>
      <c r="B1150" t="s">
        <v>665</v>
      </c>
      <c r="C1150" t="s">
        <v>17</v>
      </c>
      <c r="D1150" s="6" t="s">
        <v>22</v>
      </c>
      <c r="E1150" t="s">
        <v>54</v>
      </c>
      <c r="G1150" s="6" t="s">
        <v>967</v>
      </c>
      <c r="H1150" s="59" t="s">
        <v>1022</v>
      </c>
      <c r="I1150" s="58" t="s">
        <v>921</v>
      </c>
      <c r="J1150" t="s">
        <v>820</v>
      </c>
      <c r="K1150" t="s">
        <v>821</v>
      </c>
      <c r="L1150" t="s">
        <v>1038</v>
      </c>
      <c r="M1150" t="s">
        <v>1163</v>
      </c>
      <c r="N1150" s="57">
        <v>1200</v>
      </c>
      <c r="O1150" t="s">
        <v>100</v>
      </c>
      <c r="P1150" t="s">
        <v>93</v>
      </c>
      <c r="Q1150" s="3">
        <v>45645</v>
      </c>
      <c r="R1150" s="10">
        <f t="shared" ca="1" si="35"/>
        <v>46229</v>
      </c>
      <c r="S1150" s="7">
        <f t="shared" ca="1" si="34"/>
        <v>1.6</v>
      </c>
    </row>
    <row r="1151" spans="1:19" x14ac:dyDescent="0.25">
      <c r="A1151">
        <v>4121125</v>
      </c>
      <c r="B1151" t="s">
        <v>1084</v>
      </c>
      <c r="C1151" t="s">
        <v>17</v>
      </c>
      <c r="D1151" s="6" t="s">
        <v>22</v>
      </c>
      <c r="E1151" t="s">
        <v>54</v>
      </c>
      <c r="G1151" s="6" t="s">
        <v>967</v>
      </c>
      <c r="H1151" s="59" t="s">
        <v>1022</v>
      </c>
      <c r="I1151" s="58" t="s">
        <v>921</v>
      </c>
      <c r="J1151" t="s">
        <v>820</v>
      </c>
      <c r="K1151" t="s">
        <v>821</v>
      </c>
      <c r="L1151" t="s">
        <v>1038</v>
      </c>
      <c r="M1151" t="s">
        <v>1163</v>
      </c>
      <c r="N1151" s="57">
        <v>1500</v>
      </c>
      <c r="O1151" t="s">
        <v>100</v>
      </c>
      <c r="P1151" t="s">
        <v>93</v>
      </c>
      <c r="Q1151" s="3">
        <v>46072</v>
      </c>
      <c r="R1151" s="10">
        <f t="shared" ca="1" si="35"/>
        <v>46229</v>
      </c>
      <c r="S1151" s="7">
        <f t="shared" ca="1" si="34"/>
        <v>0.43013698630136987</v>
      </c>
    </row>
    <row r="1152" spans="1:19" x14ac:dyDescent="0.25">
      <c r="A1152">
        <v>4124243</v>
      </c>
      <c r="B1152" t="s">
        <v>1698</v>
      </c>
      <c r="C1152" t="s">
        <v>1044</v>
      </c>
      <c r="D1152" s="6" t="s">
        <v>22</v>
      </c>
      <c r="E1152" t="s">
        <v>54</v>
      </c>
      <c r="G1152" s="6" t="s">
        <v>967</v>
      </c>
      <c r="H1152" s="59" t="s">
        <v>1022</v>
      </c>
      <c r="I1152" s="58" t="s">
        <v>921</v>
      </c>
      <c r="J1152" t="s">
        <v>820</v>
      </c>
      <c r="K1152" t="s">
        <v>821</v>
      </c>
      <c r="L1152" t="s">
        <v>1038</v>
      </c>
      <c r="M1152" t="s">
        <v>1163</v>
      </c>
      <c r="N1152" s="57">
        <v>1500</v>
      </c>
      <c r="O1152" t="s">
        <v>100</v>
      </c>
      <c r="P1152" t="s">
        <v>93</v>
      </c>
      <c r="Q1152" s="3">
        <v>46170</v>
      </c>
      <c r="R1152" s="10">
        <f t="shared" ca="1" si="35"/>
        <v>46229</v>
      </c>
      <c r="S1152" s="7">
        <f t="shared" ref="S1152:S1215" ca="1" si="36">(R1152-Q1152)/365</f>
        <v>0.16164383561643836</v>
      </c>
    </row>
    <row r="1153" spans="1:19" x14ac:dyDescent="0.25">
      <c r="A1153">
        <v>4124362</v>
      </c>
      <c r="B1153" t="s">
        <v>1722</v>
      </c>
      <c r="C1153" t="s">
        <v>1044</v>
      </c>
      <c r="D1153" s="6" t="s">
        <v>22</v>
      </c>
      <c r="E1153" t="s">
        <v>54</v>
      </c>
      <c r="G1153" s="6" t="s">
        <v>967</v>
      </c>
      <c r="H1153" s="59" t="s">
        <v>1022</v>
      </c>
      <c r="I1153" s="58" t="s">
        <v>921</v>
      </c>
      <c r="J1153" t="s">
        <v>820</v>
      </c>
      <c r="K1153" t="s">
        <v>821</v>
      </c>
      <c r="L1153" t="s">
        <v>1038</v>
      </c>
      <c r="M1153" t="s">
        <v>1163</v>
      </c>
      <c r="N1153" s="57">
        <v>1500</v>
      </c>
      <c r="O1153" t="s">
        <v>100</v>
      </c>
      <c r="P1153" t="s">
        <v>93</v>
      </c>
      <c r="Q1153" s="3">
        <v>46174</v>
      </c>
      <c r="R1153" s="10">
        <f t="shared" ca="1" si="35"/>
        <v>46229</v>
      </c>
      <c r="S1153" s="7">
        <f t="shared" ca="1" si="36"/>
        <v>0.15068493150684931</v>
      </c>
    </row>
    <row r="1154" spans="1:19" x14ac:dyDescent="0.25">
      <c r="A1154">
        <v>925489</v>
      </c>
      <c r="B1154" t="s">
        <v>1470</v>
      </c>
      <c r="C1154" t="s">
        <v>17</v>
      </c>
      <c r="D1154" s="6" t="s">
        <v>22</v>
      </c>
      <c r="E1154" t="s">
        <v>65</v>
      </c>
      <c r="G1154" s="6" t="s">
        <v>967</v>
      </c>
      <c r="H1154" s="59" t="s">
        <v>1022</v>
      </c>
      <c r="I1154" s="58" t="s">
        <v>921</v>
      </c>
      <c r="J1154" t="s">
        <v>820</v>
      </c>
      <c r="K1154" t="s">
        <v>821</v>
      </c>
      <c r="L1154" t="s">
        <v>25</v>
      </c>
      <c r="M1154" t="s">
        <v>1163</v>
      </c>
      <c r="N1154" s="57">
        <v>1500</v>
      </c>
      <c r="O1154" t="s">
        <v>100</v>
      </c>
      <c r="P1154" t="s">
        <v>93</v>
      </c>
      <c r="Q1154" s="3">
        <v>42548</v>
      </c>
      <c r="R1154" s="10">
        <f t="shared" ca="1" si="35"/>
        <v>46229</v>
      </c>
      <c r="S1154" s="7">
        <f t="shared" ca="1" si="36"/>
        <v>10.084931506849315</v>
      </c>
    </row>
    <row r="1155" spans="1:19" x14ac:dyDescent="0.25">
      <c r="A1155">
        <v>967115</v>
      </c>
      <c r="B1155" t="s">
        <v>1496</v>
      </c>
      <c r="C1155" t="s">
        <v>17</v>
      </c>
      <c r="D1155" s="6" t="s">
        <v>22</v>
      </c>
      <c r="E1155" t="s">
        <v>65</v>
      </c>
      <c r="G1155" s="6" t="s">
        <v>967</v>
      </c>
      <c r="H1155" s="59" t="s">
        <v>1022</v>
      </c>
      <c r="I1155" s="58" t="s">
        <v>921</v>
      </c>
      <c r="J1155" t="s">
        <v>820</v>
      </c>
      <c r="K1155" t="s">
        <v>821</v>
      </c>
      <c r="L1155" t="s">
        <v>1038</v>
      </c>
      <c r="M1155" t="s">
        <v>1163</v>
      </c>
      <c r="N1155" s="57">
        <v>1500</v>
      </c>
      <c r="O1155" t="s">
        <v>100</v>
      </c>
      <c r="P1155" t="s">
        <v>93</v>
      </c>
      <c r="Q1155" s="3">
        <v>42709</v>
      </c>
      <c r="R1155" s="10">
        <f t="shared" ref="R1155:R1218" ca="1" si="37">TODAY()</f>
        <v>46229</v>
      </c>
      <c r="S1155" s="7">
        <f t="shared" ca="1" si="36"/>
        <v>9.6438356164383556</v>
      </c>
    </row>
    <row r="1156" spans="1:19" x14ac:dyDescent="0.25">
      <c r="A1156">
        <v>1091628</v>
      </c>
      <c r="B1156" t="s">
        <v>149</v>
      </c>
      <c r="C1156" t="s">
        <v>17</v>
      </c>
      <c r="D1156" s="6" t="s">
        <v>39</v>
      </c>
      <c r="E1156" t="s">
        <v>964</v>
      </c>
      <c r="G1156" s="6" t="s">
        <v>969</v>
      </c>
      <c r="H1156" s="59" t="s">
        <v>92</v>
      </c>
      <c r="I1156" s="58" t="s">
        <v>31</v>
      </c>
      <c r="J1156" t="s">
        <v>94</v>
      </c>
      <c r="K1156" t="s">
        <v>27</v>
      </c>
      <c r="L1156" t="s">
        <v>966</v>
      </c>
      <c r="M1156" t="s">
        <v>1163</v>
      </c>
      <c r="N1156" s="57">
        <v>6900</v>
      </c>
      <c r="O1156" t="s">
        <v>100</v>
      </c>
      <c r="P1156" t="s">
        <v>38</v>
      </c>
      <c r="Q1156" s="3">
        <v>43528</v>
      </c>
      <c r="R1156" s="10">
        <f t="shared" ca="1" si="37"/>
        <v>46229</v>
      </c>
      <c r="S1156" s="7">
        <f t="shared" ca="1" si="36"/>
        <v>7.4</v>
      </c>
    </row>
    <row r="1157" spans="1:19" x14ac:dyDescent="0.25">
      <c r="A1157">
        <v>31543</v>
      </c>
      <c r="B1157" t="s">
        <v>1484</v>
      </c>
      <c r="C1157" t="s">
        <v>17</v>
      </c>
      <c r="D1157" s="6" t="s">
        <v>39</v>
      </c>
      <c r="E1157" t="s">
        <v>962</v>
      </c>
      <c r="G1157" s="6" t="s">
        <v>1850</v>
      </c>
      <c r="H1157" s="59" t="s">
        <v>92</v>
      </c>
      <c r="I1157" s="58" t="s">
        <v>31</v>
      </c>
      <c r="J1157" t="s">
        <v>94</v>
      </c>
      <c r="K1157" t="s">
        <v>27</v>
      </c>
      <c r="L1157" t="s">
        <v>966</v>
      </c>
      <c r="M1157" t="s">
        <v>1163</v>
      </c>
      <c r="N1157" s="57">
        <v>6900</v>
      </c>
      <c r="O1157" t="s">
        <v>100</v>
      </c>
      <c r="P1157" t="s">
        <v>38</v>
      </c>
      <c r="Q1157" s="3">
        <v>46160</v>
      </c>
      <c r="R1157" s="10">
        <f t="shared" ca="1" si="37"/>
        <v>46229</v>
      </c>
      <c r="S1157" s="7">
        <f t="shared" ca="1" si="36"/>
        <v>0.18904109589041096</v>
      </c>
    </row>
    <row r="1158" spans="1:19" x14ac:dyDescent="0.25">
      <c r="A1158">
        <v>32135</v>
      </c>
      <c r="B1158" t="s">
        <v>385</v>
      </c>
      <c r="C1158" t="s">
        <v>17</v>
      </c>
      <c r="D1158" s="6" t="s">
        <v>39</v>
      </c>
      <c r="E1158" t="s">
        <v>954</v>
      </c>
      <c r="G1158" s="6" t="s">
        <v>1839</v>
      </c>
      <c r="H1158" s="59" t="s">
        <v>92</v>
      </c>
      <c r="I1158" s="58" t="s">
        <v>31</v>
      </c>
      <c r="J1158" t="s">
        <v>94</v>
      </c>
      <c r="K1158" t="s">
        <v>27</v>
      </c>
      <c r="L1158" t="s">
        <v>966</v>
      </c>
      <c r="M1158" t="s">
        <v>1163</v>
      </c>
      <c r="N1158" s="57">
        <v>5700</v>
      </c>
      <c r="O1158" t="s">
        <v>100</v>
      </c>
      <c r="P1158" t="s">
        <v>38</v>
      </c>
      <c r="Q1158" s="3">
        <v>38691</v>
      </c>
      <c r="R1158" s="10">
        <f t="shared" ca="1" si="37"/>
        <v>46229</v>
      </c>
      <c r="S1158" s="7">
        <f t="shared" ca="1" si="36"/>
        <v>20.652054794520549</v>
      </c>
    </row>
    <row r="1159" spans="1:19" x14ac:dyDescent="0.25">
      <c r="A1159">
        <v>1005267</v>
      </c>
      <c r="B1159" t="s">
        <v>1802</v>
      </c>
      <c r="C1159" t="s">
        <v>17</v>
      </c>
      <c r="D1159" s="6" t="s">
        <v>39</v>
      </c>
      <c r="E1159" t="s">
        <v>89</v>
      </c>
      <c r="G1159" s="6" t="s">
        <v>971</v>
      </c>
      <c r="H1159" s="59" t="s">
        <v>92</v>
      </c>
      <c r="I1159" s="58" t="s">
        <v>31</v>
      </c>
      <c r="J1159" t="s">
        <v>94</v>
      </c>
      <c r="K1159" t="s">
        <v>27</v>
      </c>
      <c r="L1159" t="s">
        <v>966</v>
      </c>
      <c r="M1159" t="s">
        <v>1163</v>
      </c>
      <c r="N1159" s="57">
        <v>6900</v>
      </c>
      <c r="O1159" t="s">
        <v>100</v>
      </c>
      <c r="P1159" t="s">
        <v>38</v>
      </c>
      <c r="Q1159" s="3">
        <v>46188</v>
      </c>
      <c r="R1159" s="10">
        <f t="shared" ca="1" si="37"/>
        <v>46229</v>
      </c>
      <c r="S1159" s="7">
        <f t="shared" ca="1" si="36"/>
        <v>0.11232876712328767</v>
      </c>
    </row>
    <row r="1160" spans="1:19" x14ac:dyDescent="0.25">
      <c r="A1160">
        <v>586265</v>
      </c>
      <c r="B1160" t="s">
        <v>721</v>
      </c>
      <c r="C1160" t="s">
        <v>17</v>
      </c>
      <c r="D1160" s="6" t="s">
        <v>39</v>
      </c>
      <c r="E1160" t="s">
        <v>962</v>
      </c>
      <c r="G1160" s="6" t="s">
        <v>1840</v>
      </c>
      <c r="H1160" s="59" t="s">
        <v>92</v>
      </c>
      <c r="I1160" s="58" t="s">
        <v>31</v>
      </c>
      <c r="J1160" t="s">
        <v>94</v>
      </c>
      <c r="K1160" t="s">
        <v>27</v>
      </c>
      <c r="L1160" t="s">
        <v>966</v>
      </c>
      <c r="M1160" t="s">
        <v>1163</v>
      </c>
      <c r="N1160" s="57">
        <v>5800</v>
      </c>
      <c r="O1160" t="s">
        <v>100</v>
      </c>
      <c r="P1160" t="s">
        <v>38</v>
      </c>
      <c r="Q1160" s="3">
        <v>45096</v>
      </c>
      <c r="R1160" s="10">
        <f t="shared" ca="1" si="37"/>
        <v>46229</v>
      </c>
      <c r="S1160" s="7">
        <f t="shared" ca="1" si="36"/>
        <v>3.1041095890410957</v>
      </c>
    </row>
    <row r="1161" spans="1:19" x14ac:dyDescent="0.25">
      <c r="A1161">
        <v>851159</v>
      </c>
      <c r="B1161" t="s">
        <v>741</v>
      </c>
      <c r="C1161" t="s">
        <v>17</v>
      </c>
      <c r="D1161" s="6" t="s">
        <v>39</v>
      </c>
      <c r="E1161" t="s">
        <v>89</v>
      </c>
      <c r="G1161" s="6" t="s">
        <v>971</v>
      </c>
      <c r="H1161" s="59" t="s">
        <v>92</v>
      </c>
      <c r="I1161" s="58" t="s">
        <v>31</v>
      </c>
      <c r="J1161" t="s">
        <v>94</v>
      </c>
      <c r="K1161" t="s">
        <v>27</v>
      </c>
      <c r="L1161" t="s">
        <v>966</v>
      </c>
      <c r="M1161" t="s">
        <v>1163</v>
      </c>
      <c r="N1161" s="57">
        <v>6900</v>
      </c>
      <c r="O1161" t="s">
        <v>100</v>
      </c>
      <c r="P1161" t="s">
        <v>38</v>
      </c>
      <c r="Q1161" s="3">
        <v>45159</v>
      </c>
      <c r="R1161" s="10">
        <f t="shared" ca="1" si="37"/>
        <v>46229</v>
      </c>
      <c r="S1161" s="7">
        <f t="shared" ca="1" si="36"/>
        <v>2.9315068493150687</v>
      </c>
    </row>
    <row r="1162" spans="1:19" x14ac:dyDescent="0.25">
      <c r="A1162">
        <v>967415</v>
      </c>
      <c r="B1162" t="s">
        <v>792</v>
      </c>
      <c r="C1162" t="s">
        <v>17</v>
      </c>
      <c r="D1162" s="6" t="s">
        <v>39</v>
      </c>
      <c r="E1162" t="s">
        <v>89</v>
      </c>
      <c r="G1162" s="6" t="s">
        <v>971</v>
      </c>
      <c r="H1162" s="59" t="s">
        <v>92</v>
      </c>
      <c r="I1162" s="58" t="s">
        <v>31</v>
      </c>
      <c r="J1162" t="s">
        <v>94</v>
      </c>
      <c r="K1162" t="s">
        <v>27</v>
      </c>
      <c r="L1162" t="s">
        <v>966</v>
      </c>
      <c r="M1162" t="s">
        <v>1163</v>
      </c>
      <c r="N1162" s="57">
        <v>6900</v>
      </c>
      <c r="O1162" t="s">
        <v>100</v>
      </c>
      <c r="P1162" t="s">
        <v>38</v>
      </c>
      <c r="Q1162" s="3">
        <v>44592</v>
      </c>
      <c r="R1162" s="10">
        <f t="shared" ca="1" si="37"/>
        <v>46229</v>
      </c>
      <c r="S1162" s="7">
        <f t="shared" ca="1" si="36"/>
        <v>4.484931506849315</v>
      </c>
    </row>
    <row r="1163" spans="1:19" x14ac:dyDescent="0.25">
      <c r="A1163">
        <v>3001097</v>
      </c>
      <c r="B1163" t="s">
        <v>356</v>
      </c>
      <c r="C1163" t="s">
        <v>17</v>
      </c>
      <c r="D1163" s="6" t="s">
        <v>22</v>
      </c>
      <c r="E1163" t="s">
        <v>50</v>
      </c>
      <c r="G1163" s="6" t="s">
        <v>970</v>
      </c>
      <c r="H1163" s="59" t="s">
        <v>1027</v>
      </c>
      <c r="I1163" s="58" t="s">
        <v>917</v>
      </c>
      <c r="J1163" t="s">
        <v>848</v>
      </c>
      <c r="K1163" t="s">
        <v>1466</v>
      </c>
      <c r="L1163" t="s">
        <v>91</v>
      </c>
      <c r="M1163" t="s">
        <v>1163</v>
      </c>
      <c r="N1163" s="57">
        <v>1400</v>
      </c>
      <c r="O1163" t="s">
        <v>100</v>
      </c>
      <c r="P1163" t="s">
        <v>93</v>
      </c>
      <c r="Q1163" s="3">
        <v>42961</v>
      </c>
      <c r="R1163" s="10">
        <f t="shared" ca="1" si="37"/>
        <v>46229</v>
      </c>
      <c r="S1163" s="7">
        <f t="shared" ca="1" si="36"/>
        <v>8.9534246575342458</v>
      </c>
    </row>
    <row r="1164" spans="1:19" x14ac:dyDescent="0.25">
      <c r="A1164">
        <v>4053243</v>
      </c>
      <c r="B1164" t="s">
        <v>482</v>
      </c>
      <c r="C1164" t="s">
        <v>17</v>
      </c>
      <c r="D1164" s="6" t="s">
        <v>22</v>
      </c>
      <c r="E1164" t="s">
        <v>50</v>
      </c>
      <c r="G1164" s="6" t="s">
        <v>970</v>
      </c>
      <c r="H1164" s="59" t="s">
        <v>1027</v>
      </c>
      <c r="I1164" s="58" t="s">
        <v>917</v>
      </c>
      <c r="J1164" t="s">
        <v>848</v>
      </c>
      <c r="K1164" t="s">
        <v>1466</v>
      </c>
      <c r="L1164" t="s">
        <v>91</v>
      </c>
      <c r="M1164" t="s">
        <v>1163</v>
      </c>
      <c r="N1164" s="57">
        <v>1400</v>
      </c>
      <c r="O1164" t="s">
        <v>100</v>
      </c>
      <c r="P1164" t="s">
        <v>93</v>
      </c>
      <c r="Q1164" s="3">
        <v>45166</v>
      </c>
      <c r="R1164" s="10">
        <f t="shared" ca="1" si="37"/>
        <v>46229</v>
      </c>
      <c r="S1164" s="7">
        <f t="shared" ca="1" si="36"/>
        <v>2.9123287671232876</v>
      </c>
    </row>
    <row r="1165" spans="1:19" x14ac:dyDescent="0.25">
      <c r="A1165">
        <v>4066346</v>
      </c>
      <c r="B1165" t="s">
        <v>520</v>
      </c>
      <c r="C1165" t="s">
        <v>17</v>
      </c>
      <c r="D1165" s="6" t="s">
        <v>22</v>
      </c>
      <c r="E1165" t="s">
        <v>50</v>
      </c>
      <c r="G1165" s="6" t="s">
        <v>970</v>
      </c>
      <c r="H1165" s="59" t="s">
        <v>1027</v>
      </c>
      <c r="I1165" s="58" t="s">
        <v>917</v>
      </c>
      <c r="J1165" t="s">
        <v>848</v>
      </c>
      <c r="K1165" t="s">
        <v>1466</v>
      </c>
      <c r="L1165" t="s">
        <v>91</v>
      </c>
      <c r="M1165" t="s">
        <v>1163</v>
      </c>
      <c r="N1165" s="57">
        <v>1200</v>
      </c>
      <c r="O1165" t="s">
        <v>100</v>
      </c>
      <c r="P1165" t="s">
        <v>93</v>
      </c>
      <c r="Q1165" s="3">
        <v>44812</v>
      </c>
      <c r="R1165" s="10">
        <f t="shared" ca="1" si="37"/>
        <v>46229</v>
      </c>
      <c r="S1165" s="7">
        <f t="shared" ca="1" si="36"/>
        <v>3.882191780821918</v>
      </c>
    </row>
    <row r="1166" spans="1:19" x14ac:dyDescent="0.25">
      <c r="A1166">
        <v>1171512</v>
      </c>
      <c r="B1166" t="s">
        <v>202</v>
      </c>
      <c r="C1166" t="s">
        <v>17</v>
      </c>
      <c r="D1166" s="6" t="s">
        <v>22</v>
      </c>
      <c r="E1166" t="s">
        <v>69</v>
      </c>
      <c r="G1166" s="6" t="s">
        <v>16</v>
      </c>
      <c r="H1166" s="59" t="s">
        <v>1026</v>
      </c>
      <c r="I1166" s="58" t="s">
        <v>868</v>
      </c>
      <c r="J1166" t="s">
        <v>1107</v>
      </c>
      <c r="K1166" t="s">
        <v>823</v>
      </c>
      <c r="L1166" t="s">
        <v>1038</v>
      </c>
      <c r="M1166" t="s">
        <v>1163</v>
      </c>
      <c r="N1166" s="57">
        <v>1300</v>
      </c>
      <c r="O1166" t="s">
        <v>100</v>
      </c>
      <c r="P1166" t="s">
        <v>38</v>
      </c>
      <c r="Q1166" s="3">
        <v>45726</v>
      </c>
      <c r="R1166" s="10">
        <f t="shared" ca="1" si="37"/>
        <v>46229</v>
      </c>
      <c r="S1166" s="7">
        <f t="shared" ca="1" si="36"/>
        <v>1.3780821917808219</v>
      </c>
    </row>
    <row r="1167" spans="1:19" x14ac:dyDescent="0.25">
      <c r="A1167">
        <v>1178263</v>
      </c>
      <c r="B1167" t="s">
        <v>229</v>
      </c>
      <c r="C1167" t="s">
        <v>17</v>
      </c>
      <c r="D1167" s="6" t="s">
        <v>22</v>
      </c>
      <c r="E1167" t="s">
        <v>69</v>
      </c>
      <c r="G1167" s="6" t="s">
        <v>16</v>
      </c>
      <c r="H1167" s="59" t="s">
        <v>1026</v>
      </c>
      <c r="I1167" s="58" t="s">
        <v>868</v>
      </c>
      <c r="J1167" t="s">
        <v>1107</v>
      </c>
      <c r="K1167" t="s">
        <v>823</v>
      </c>
      <c r="L1167" t="s">
        <v>25</v>
      </c>
      <c r="M1167" t="s">
        <v>1163</v>
      </c>
      <c r="N1167" s="57">
        <v>1300</v>
      </c>
      <c r="O1167" t="s">
        <v>100</v>
      </c>
      <c r="P1167" t="s">
        <v>20</v>
      </c>
      <c r="Q1167" s="3">
        <v>45061</v>
      </c>
      <c r="R1167" s="10">
        <f t="shared" ca="1" si="37"/>
        <v>46229</v>
      </c>
      <c r="S1167" s="7">
        <f t="shared" ca="1" si="36"/>
        <v>3.2</v>
      </c>
    </row>
    <row r="1168" spans="1:19" x14ac:dyDescent="0.25">
      <c r="A1168">
        <v>1180338</v>
      </c>
      <c r="B1168" t="s">
        <v>239</v>
      </c>
      <c r="C1168" t="s">
        <v>17</v>
      </c>
      <c r="D1168" s="6" t="s">
        <v>22</v>
      </c>
      <c r="E1168" t="s">
        <v>69</v>
      </c>
      <c r="G1168" s="6" t="s">
        <v>16</v>
      </c>
      <c r="H1168" s="59" t="s">
        <v>1026</v>
      </c>
      <c r="I1168" s="58" t="s">
        <v>868</v>
      </c>
      <c r="J1168" t="s">
        <v>1107</v>
      </c>
      <c r="K1168" t="s">
        <v>823</v>
      </c>
      <c r="L1168" t="s">
        <v>25</v>
      </c>
      <c r="M1168" t="s">
        <v>1163</v>
      </c>
      <c r="N1168" s="57">
        <v>1300</v>
      </c>
      <c r="O1168" t="s">
        <v>100</v>
      </c>
      <c r="P1168" t="s">
        <v>93</v>
      </c>
      <c r="Q1168" s="3">
        <v>45124</v>
      </c>
      <c r="R1168" s="10">
        <f t="shared" ca="1" si="37"/>
        <v>46229</v>
      </c>
      <c r="S1168" s="7">
        <f t="shared" ca="1" si="36"/>
        <v>3.0273972602739727</v>
      </c>
    </row>
    <row r="1169" spans="1:19" x14ac:dyDescent="0.25">
      <c r="A1169">
        <v>1231389</v>
      </c>
      <c r="B1169" t="s">
        <v>1441</v>
      </c>
      <c r="C1169" t="s">
        <v>17</v>
      </c>
      <c r="D1169" s="6" t="s">
        <v>22</v>
      </c>
      <c r="E1169" t="s">
        <v>69</v>
      </c>
      <c r="G1169" s="6" t="s">
        <v>16</v>
      </c>
      <c r="H1169" s="59" t="s">
        <v>1026</v>
      </c>
      <c r="I1169" s="58" t="s">
        <v>868</v>
      </c>
      <c r="J1169" t="s">
        <v>1107</v>
      </c>
      <c r="K1169" t="s">
        <v>823</v>
      </c>
      <c r="L1169" t="s">
        <v>1038</v>
      </c>
      <c r="M1169" t="s">
        <v>1163</v>
      </c>
      <c r="N1169" s="57">
        <v>1300</v>
      </c>
      <c r="O1169" t="s">
        <v>100</v>
      </c>
      <c r="P1169" t="s">
        <v>93</v>
      </c>
      <c r="Q1169" s="3">
        <v>46146</v>
      </c>
      <c r="R1169" s="10">
        <f t="shared" ca="1" si="37"/>
        <v>46229</v>
      </c>
      <c r="S1169" s="7">
        <f t="shared" ca="1" si="36"/>
        <v>0.22739726027397261</v>
      </c>
    </row>
    <row r="1170" spans="1:19" x14ac:dyDescent="0.25">
      <c r="A1170">
        <v>31692</v>
      </c>
      <c r="B1170" t="s">
        <v>379</v>
      </c>
      <c r="C1170" t="s">
        <v>17</v>
      </c>
      <c r="D1170" s="6" t="s">
        <v>22</v>
      </c>
      <c r="E1170" t="s">
        <v>69</v>
      </c>
      <c r="G1170" s="6" t="s">
        <v>16</v>
      </c>
      <c r="H1170" s="59" t="s">
        <v>1026</v>
      </c>
      <c r="I1170" s="58" t="s">
        <v>868</v>
      </c>
      <c r="J1170" t="s">
        <v>1107</v>
      </c>
      <c r="K1170" t="s">
        <v>823</v>
      </c>
      <c r="L1170" t="s">
        <v>91</v>
      </c>
      <c r="M1170" t="s">
        <v>1163</v>
      </c>
      <c r="N1170" s="57">
        <v>1300</v>
      </c>
      <c r="O1170" t="s">
        <v>100</v>
      </c>
      <c r="P1170" t="s">
        <v>93</v>
      </c>
      <c r="Q1170" s="3">
        <v>44676</v>
      </c>
      <c r="R1170" s="10">
        <f t="shared" ca="1" si="37"/>
        <v>46229</v>
      </c>
      <c r="S1170" s="7">
        <f t="shared" ca="1" si="36"/>
        <v>4.2547945205479456</v>
      </c>
    </row>
    <row r="1171" spans="1:19" x14ac:dyDescent="0.25">
      <c r="A1171">
        <v>31935</v>
      </c>
      <c r="B1171" t="s">
        <v>384</v>
      </c>
      <c r="C1171" t="s">
        <v>17</v>
      </c>
      <c r="D1171" s="6" t="s">
        <v>22</v>
      </c>
      <c r="E1171" t="s">
        <v>69</v>
      </c>
      <c r="G1171" s="6" t="s">
        <v>16</v>
      </c>
      <c r="H1171" s="59" t="s">
        <v>1026</v>
      </c>
      <c r="I1171" s="58" t="s">
        <v>868</v>
      </c>
      <c r="J1171" t="s">
        <v>1107</v>
      </c>
      <c r="K1171" t="s">
        <v>823</v>
      </c>
      <c r="L1171" t="s">
        <v>91</v>
      </c>
      <c r="M1171" t="s">
        <v>1163</v>
      </c>
      <c r="N1171" s="57">
        <v>1300</v>
      </c>
      <c r="O1171" t="s">
        <v>100</v>
      </c>
      <c r="P1171" t="s">
        <v>93</v>
      </c>
      <c r="Q1171" s="3">
        <v>44193</v>
      </c>
      <c r="R1171" s="10">
        <f t="shared" ca="1" si="37"/>
        <v>46229</v>
      </c>
      <c r="S1171" s="7">
        <f t="shared" ca="1" si="36"/>
        <v>5.5780821917808217</v>
      </c>
    </row>
    <row r="1172" spans="1:19" x14ac:dyDescent="0.25">
      <c r="A1172">
        <v>33407</v>
      </c>
      <c r="B1172" t="s">
        <v>396</v>
      </c>
      <c r="C1172" t="s">
        <v>17</v>
      </c>
      <c r="D1172" s="6" t="s">
        <v>22</v>
      </c>
      <c r="E1172" t="s">
        <v>69</v>
      </c>
      <c r="G1172" s="6" t="s">
        <v>16</v>
      </c>
      <c r="H1172" s="59" t="s">
        <v>1026</v>
      </c>
      <c r="I1172" s="58" t="s">
        <v>868</v>
      </c>
      <c r="J1172" t="s">
        <v>1107</v>
      </c>
      <c r="K1172" t="s">
        <v>823</v>
      </c>
      <c r="L1172" t="s">
        <v>91</v>
      </c>
      <c r="M1172" t="s">
        <v>1163</v>
      </c>
      <c r="N1172" s="57">
        <v>1300</v>
      </c>
      <c r="O1172" t="s">
        <v>100</v>
      </c>
      <c r="P1172" t="s">
        <v>93</v>
      </c>
      <c r="Q1172" s="3">
        <v>39419</v>
      </c>
      <c r="R1172" s="10">
        <f t="shared" ca="1" si="37"/>
        <v>46229</v>
      </c>
      <c r="S1172" s="7">
        <f t="shared" ca="1" si="36"/>
        <v>18.657534246575342</v>
      </c>
    </row>
    <row r="1173" spans="1:19" x14ac:dyDescent="0.25">
      <c r="A1173">
        <v>4020185</v>
      </c>
      <c r="B1173" t="s">
        <v>1184</v>
      </c>
      <c r="C1173" t="s">
        <v>17</v>
      </c>
      <c r="D1173" s="6" t="s">
        <v>22</v>
      </c>
      <c r="E1173" t="s">
        <v>69</v>
      </c>
      <c r="G1173" s="6" t="s">
        <v>16</v>
      </c>
      <c r="H1173" s="59" t="s">
        <v>1026</v>
      </c>
      <c r="I1173" s="58" t="s">
        <v>868</v>
      </c>
      <c r="J1173" t="s">
        <v>1107</v>
      </c>
      <c r="K1173" t="s">
        <v>823</v>
      </c>
      <c r="L1173" t="s">
        <v>1038</v>
      </c>
      <c r="M1173" t="s">
        <v>1163</v>
      </c>
      <c r="N1173" s="57">
        <v>1300</v>
      </c>
      <c r="O1173" t="s">
        <v>100</v>
      </c>
      <c r="P1173" t="s">
        <v>93</v>
      </c>
      <c r="Q1173" s="3">
        <v>44035</v>
      </c>
      <c r="R1173" s="10">
        <f t="shared" ca="1" si="37"/>
        <v>46229</v>
      </c>
      <c r="S1173" s="7">
        <f t="shared" ca="1" si="36"/>
        <v>6.0109589041095894</v>
      </c>
    </row>
    <row r="1174" spans="1:19" x14ac:dyDescent="0.25">
      <c r="A1174">
        <v>1152980</v>
      </c>
      <c r="B1174" t="s">
        <v>1589</v>
      </c>
      <c r="C1174" t="s">
        <v>17</v>
      </c>
      <c r="D1174" s="6" t="s">
        <v>22</v>
      </c>
      <c r="E1174" t="s">
        <v>69</v>
      </c>
      <c r="G1174" s="6" t="s">
        <v>16</v>
      </c>
      <c r="H1174" s="59" t="s">
        <v>1026</v>
      </c>
      <c r="I1174" s="58" t="s">
        <v>868</v>
      </c>
      <c r="J1174" t="s">
        <v>1107</v>
      </c>
      <c r="K1174" t="s">
        <v>823</v>
      </c>
      <c r="L1174" t="s">
        <v>1038</v>
      </c>
      <c r="M1174" t="s">
        <v>1163</v>
      </c>
      <c r="N1174" s="57">
        <v>1300</v>
      </c>
      <c r="O1174" t="s">
        <v>100</v>
      </c>
      <c r="P1174" t="s">
        <v>93</v>
      </c>
      <c r="Q1174" s="3">
        <v>44676</v>
      </c>
      <c r="R1174" s="10">
        <f t="shared" ca="1" si="37"/>
        <v>46229</v>
      </c>
      <c r="S1174" s="7">
        <f t="shared" ca="1" si="36"/>
        <v>4.2547945205479456</v>
      </c>
    </row>
    <row r="1175" spans="1:19" x14ac:dyDescent="0.25">
      <c r="A1175">
        <v>877430</v>
      </c>
      <c r="B1175" t="s">
        <v>1147</v>
      </c>
      <c r="C1175" t="s">
        <v>17</v>
      </c>
      <c r="D1175" s="6" t="s">
        <v>22</v>
      </c>
      <c r="E1175" t="s">
        <v>69</v>
      </c>
      <c r="G1175" s="6" t="s">
        <v>16</v>
      </c>
      <c r="H1175" s="59" t="s">
        <v>1026</v>
      </c>
      <c r="I1175" s="58" t="s">
        <v>868</v>
      </c>
      <c r="J1175" t="s">
        <v>1107</v>
      </c>
      <c r="K1175" t="s">
        <v>823</v>
      </c>
      <c r="L1175" t="s">
        <v>1038</v>
      </c>
      <c r="M1175" t="s">
        <v>1163</v>
      </c>
      <c r="N1175" s="57">
        <v>1300</v>
      </c>
      <c r="O1175" t="s">
        <v>100</v>
      </c>
      <c r="P1175" t="s">
        <v>93</v>
      </c>
      <c r="Q1175" s="3">
        <v>46090</v>
      </c>
      <c r="R1175" s="10">
        <f t="shared" ca="1" si="37"/>
        <v>46229</v>
      </c>
      <c r="S1175" s="7">
        <f t="shared" ca="1" si="36"/>
        <v>0.38082191780821917</v>
      </c>
    </row>
    <row r="1176" spans="1:19" x14ac:dyDescent="0.25">
      <c r="A1176">
        <v>903357</v>
      </c>
      <c r="B1176" t="s">
        <v>1576</v>
      </c>
      <c r="C1176" t="s">
        <v>17</v>
      </c>
      <c r="D1176" s="6" t="s">
        <v>22</v>
      </c>
      <c r="E1176" t="s">
        <v>69</v>
      </c>
      <c r="G1176" s="6" t="s">
        <v>16</v>
      </c>
      <c r="H1176" s="59" t="s">
        <v>1026</v>
      </c>
      <c r="I1176" s="58" t="s">
        <v>868</v>
      </c>
      <c r="J1176" t="s">
        <v>1107</v>
      </c>
      <c r="K1176" t="s">
        <v>823</v>
      </c>
      <c r="L1176" t="s">
        <v>1038</v>
      </c>
      <c r="M1176" t="s">
        <v>1163</v>
      </c>
      <c r="N1176" s="57">
        <v>1300</v>
      </c>
      <c r="O1176" t="s">
        <v>100</v>
      </c>
      <c r="P1176" t="s">
        <v>93</v>
      </c>
      <c r="Q1176" s="3">
        <v>41932</v>
      </c>
      <c r="R1176" s="10">
        <f t="shared" ca="1" si="37"/>
        <v>46229</v>
      </c>
      <c r="S1176" s="7">
        <f t="shared" ca="1" si="36"/>
        <v>11.772602739726027</v>
      </c>
    </row>
    <row r="1177" spans="1:19" x14ac:dyDescent="0.25">
      <c r="A1177">
        <v>970599</v>
      </c>
      <c r="B1177" t="s">
        <v>794</v>
      </c>
      <c r="C1177" t="s">
        <v>17</v>
      </c>
      <c r="D1177" s="6" t="s">
        <v>22</v>
      </c>
      <c r="E1177" t="s">
        <v>69</v>
      </c>
      <c r="G1177" s="6" t="s">
        <v>16</v>
      </c>
      <c r="H1177" s="59" t="s">
        <v>1026</v>
      </c>
      <c r="I1177" s="58" t="s">
        <v>868</v>
      </c>
      <c r="J1177" t="s">
        <v>1107</v>
      </c>
      <c r="K1177" t="s">
        <v>823</v>
      </c>
      <c r="L1177" t="s">
        <v>25</v>
      </c>
      <c r="M1177" t="s">
        <v>1163</v>
      </c>
      <c r="N1177" s="57">
        <v>1300</v>
      </c>
      <c r="O1177" t="s">
        <v>100</v>
      </c>
      <c r="P1177" t="s">
        <v>93</v>
      </c>
      <c r="Q1177" s="3">
        <v>42541</v>
      </c>
      <c r="R1177" s="10">
        <f t="shared" ca="1" si="37"/>
        <v>46229</v>
      </c>
      <c r="S1177" s="7">
        <f t="shared" ca="1" si="36"/>
        <v>10.104109589041096</v>
      </c>
    </row>
    <row r="1178" spans="1:19" x14ac:dyDescent="0.25">
      <c r="A1178">
        <v>1012071</v>
      </c>
      <c r="B1178" t="s">
        <v>124</v>
      </c>
      <c r="C1178" t="s">
        <v>17</v>
      </c>
      <c r="D1178" s="6" t="s">
        <v>22</v>
      </c>
      <c r="E1178" t="s">
        <v>21</v>
      </c>
      <c r="G1178" s="6" t="s">
        <v>968</v>
      </c>
      <c r="H1178" s="59" t="s">
        <v>1020</v>
      </c>
      <c r="I1178" s="58" t="s">
        <v>859</v>
      </c>
      <c r="J1178" t="s">
        <v>839</v>
      </c>
      <c r="K1178" t="s">
        <v>830</v>
      </c>
      <c r="L1178" t="s">
        <v>1038</v>
      </c>
      <c r="M1178" t="s">
        <v>1163</v>
      </c>
      <c r="N1178" s="57">
        <v>1200</v>
      </c>
      <c r="O1178" t="s">
        <v>100</v>
      </c>
      <c r="P1178" t="s">
        <v>93</v>
      </c>
      <c r="Q1178" s="3">
        <v>44301</v>
      </c>
      <c r="R1178" s="10">
        <f t="shared" ca="1" si="37"/>
        <v>46229</v>
      </c>
      <c r="S1178" s="7">
        <f t="shared" ca="1" si="36"/>
        <v>5.2821917808219174</v>
      </c>
    </row>
    <row r="1179" spans="1:19" x14ac:dyDescent="0.25">
      <c r="A1179">
        <v>4035515</v>
      </c>
      <c r="B1179" t="s">
        <v>451</v>
      </c>
      <c r="C1179" t="s">
        <v>17</v>
      </c>
      <c r="D1179" s="6" t="s">
        <v>22</v>
      </c>
      <c r="E1179" t="s">
        <v>21</v>
      </c>
      <c r="G1179" s="6" t="s">
        <v>968</v>
      </c>
      <c r="H1179" s="59" t="s">
        <v>1020</v>
      </c>
      <c r="I1179" s="58" t="s">
        <v>859</v>
      </c>
      <c r="J1179" t="s">
        <v>839</v>
      </c>
      <c r="K1179" t="s">
        <v>830</v>
      </c>
      <c r="L1179" t="s">
        <v>1038</v>
      </c>
      <c r="M1179" t="s">
        <v>1163</v>
      </c>
      <c r="N1179" s="57">
        <v>1200</v>
      </c>
      <c r="O1179" t="s">
        <v>100</v>
      </c>
      <c r="P1179" t="s">
        <v>93</v>
      </c>
      <c r="Q1179" s="3">
        <v>45498</v>
      </c>
      <c r="R1179" s="10">
        <f t="shared" ca="1" si="37"/>
        <v>46229</v>
      </c>
      <c r="S1179" s="7">
        <f t="shared" ca="1" si="36"/>
        <v>2.0027397260273974</v>
      </c>
    </row>
    <row r="1180" spans="1:19" x14ac:dyDescent="0.25">
      <c r="A1180">
        <v>4049882</v>
      </c>
      <c r="B1180" t="s">
        <v>1234</v>
      </c>
      <c r="C1180" t="s">
        <v>1044</v>
      </c>
      <c r="D1180" s="6" t="s">
        <v>22</v>
      </c>
      <c r="E1180" t="s">
        <v>21</v>
      </c>
      <c r="G1180" s="6" t="s">
        <v>968</v>
      </c>
      <c r="H1180" s="59" t="s">
        <v>1020</v>
      </c>
      <c r="I1180" s="58" t="s">
        <v>859</v>
      </c>
      <c r="J1180" t="s">
        <v>839</v>
      </c>
      <c r="K1180" t="s">
        <v>830</v>
      </c>
      <c r="L1180" t="s">
        <v>1038</v>
      </c>
      <c r="M1180" t="s">
        <v>1163</v>
      </c>
      <c r="N1180" s="57">
        <v>1200</v>
      </c>
      <c r="O1180" t="s">
        <v>100</v>
      </c>
      <c r="P1180" t="s">
        <v>93</v>
      </c>
      <c r="Q1180" s="3">
        <v>46118</v>
      </c>
      <c r="R1180" s="10">
        <f t="shared" ca="1" si="37"/>
        <v>46229</v>
      </c>
      <c r="S1180" s="7">
        <f t="shared" ca="1" si="36"/>
        <v>0.30410958904109592</v>
      </c>
    </row>
    <row r="1181" spans="1:19" x14ac:dyDescent="0.25">
      <c r="A1181">
        <v>4058102</v>
      </c>
      <c r="B1181" t="s">
        <v>495</v>
      </c>
      <c r="C1181" t="s">
        <v>17</v>
      </c>
      <c r="D1181" s="6" t="s">
        <v>22</v>
      </c>
      <c r="E1181" t="s">
        <v>21</v>
      </c>
      <c r="G1181" s="6" t="s">
        <v>968</v>
      </c>
      <c r="H1181" s="59" t="s">
        <v>1020</v>
      </c>
      <c r="I1181" s="58" t="s">
        <v>859</v>
      </c>
      <c r="J1181" t="s">
        <v>839</v>
      </c>
      <c r="K1181" t="s">
        <v>830</v>
      </c>
      <c r="L1181" t="s">
        <v>1038</v>
      </c>
      <c r="M1181" t="s">
        <v>1163</v>
      </c>
      <c r="N1181" s="57">
        <v>1200</v>
      </c>
      <c r="O1181" t="s">
        <v>100</v>
      </c>
      <c r="P1181" t="s">
        <v>93</v>
      </c>
      <c r="Q1181" s="3">
        <v>45558</v>
      </c>
      <c r="R1181" s="10">
        <f t="shared" ca="1" si="37"/>
        <v>46229</v>
      </c>
      <c r="S1181" s="7">
        <f t="shared" ca="1" si="36"/>
        <v>1.8383561643835618</v>
      </c>
    </row>
    <row r="1182" spans="1:19" x14ac:dyDescent="0.25">
      <c r="A1182">
        <v>4062132</v>
      </c>
      <c r="B1182" t="s">
        <v>501</v>
      </c>
      <c r="C1182" t="s">
        <v>17</v>
      </c>
      <c r="D1182" s="6" t="s">
        <v>22</v>
      </c>
      <c r="E1182" t="s">
        <v>87</v>
      </c>
      <c r="G1182" s="6" t="s">
        <v>968</v>
      </c>
      <c r="H1182" s="59" t="s">
        <v>1020</v>
      </c>
      <c r="I1182" s="58" t="s">
        <v>859</v>
      </c>
      <c r="J1182" t="s">
        <v>839</v>
      </c>
      <c r="K1182" t="s">
        <v>830</v>
      </c>
      <c r="L1182" t="s">
        <v>1038</v>
      </c>
      <c r="M1182" t="s">
        <v>1163</v>
      </c>
      <c r="N1182" s="57">
        <v>1200</v>
      </c>
      <c r="O1182" t="s">
        <v>100</v>
      </c>
      <c r="P1182" t="s">
        <v>93</v>
      </c>
      <c r="Q1182" s="3">
        <v>45439</v>
      </c>
      <c r="R1182" s="10">
        <f t="shared" ca="1" si="37"/>
        <v>46229</v>
      </c>
      <c r="S1182" s="7">
        <f t="shared" ca="1" si="36"/>
        <v>2.1643835616438358</v>
      </c>
    </row>
    <row r="1183" spans="1:19" x14ac:dyDescent="0.25">
      <c r="A1183">
        <v>4088961</v>
      </c>
      <c r="B1183" t="s">
        <v>569</v>
      </c>
      <c r="C1183" t="s">
        <v>17</v>
      </c>
      <c r="D1183" s="6" t="s">
        <v>22</v>
      </c>
      <c r="E1183" t="s">
        <v>55</v>
      </c>
      <c r="G1183" s="6" t="s">
        <v>968</v>
      </c>
      <c r="H1183" s="59" t="s">
        <v>1020</v>
      </c>
      <c r="I1183" s="58" t="s">
        <v>859</v>
      </c>
      <c r="J1183" t="s">
        <v>839</v>
      </c>
      <c r="K1183" t="s">
        <v>830</v>
      </c>
      <c r="L1183" t="s">
        <v>1038</v>
      </c>
      <c r="M1183" t="s">
        <v>1163</v>
      </c>
      <c r="N1183" s="57">
        <v>1200</v>
      </c>
      <c r="O1183" t="s">
        <v>100</v>
      </c>
      <c r="P1183" t="s">
        <v>93</v>
      </c>
      <c r="Q1183" s="3">
        <v>45666</v>
      </c>
      <c r="R1183" s="10">
        <f t="shared" ca="1" si="37"/>
        <v>46229</v>
      </c>
      <c r="S1183" s="7">
        <f t="shared" ca="1" si="36"/>
        <v>1.5424657534246575</v>
      </c>
    </row>
    <row r="1184" spans="1:19" x14ac:dyDescent="0.25">
      <c r="A1184">
        <v>4100715</v>
      </c>
      <c r="B1184" t="s">
        <v>611</v>
      </c>
      <c r="C1184" t="s">
        <v>17</v>
      </c>
      <c r="D1184" s="6" t="s">
        <v>22</v>
      </c>
      <c r="E1184" t="s">
        <v>21</v>
      </c>
      <c r="G1184" s="6" t="s">
        <v>968</v>
      </c>
      <c r="H1184" s="59" t="s">
        <v>1020</v>
      </c>
      <c r="I1184" s="58" t="s">
        <v>859</v>
      </c>
      <c r="J1184" t="s">
        <v>839</v>
      </c>
      <c r="K1184" t="s">
        <v>830</v>
      </c>
      <c r="L1184" t="s">
        <v>1038</v>
      </c>
      <c r="M1184" t="s">
        <v>1163</v>
      </c>
      <c r="N1184" s="57">
        <v>1200</v>
      </c>
      <c r="O1184" t="s">
        <v>100</v>
      </c>
      <c r="P1184" t="s">
        <v>93</v>
      </c>
      <c r="Q1184" s="3">
        <v>45439</v>
      </c>
      <c r="R1184" s="10">
        <f t="shared" ca="1" si="37"/>
        <v>46229</v>
      </c>
      <c r="S1184" s="7">
        <f t="shared" ca="1" si="36"/>
        <v>2.1643835616438358</v>
      </c>
    </row>
    <row r="1185" spans="1:19" x14ac:dyDescent="0.25">
      <c r="A1185">
        <v>4106492</v>
      </c>
      <c r="B1185" t="s">
        <v>1246</v>
      </c>
      <c r="C1185" t="s">
        <v>1044</v>
      </c>
      <c r="D1185" s="6" t="s">
        <v>22</v>
      </c>
      <c r="E1185" t="s">
        <v>21</v>
      </c>
      <c r="G1185" s="6" t="s">
        <v>968</v>
      </c>
      <c r="H1185" s="59" t="s">
        <v>1020</v>
      </c>
      <c r="I1185" s="58" t="s">
        <v>859</v>
      </c>
      <c r="J1185" t="s">
        <v>839</v>
      </c>
      <c r="K1185" t="s">
        <v>830</v>
      </c>
      <c r="L1185" t="s">
        <v>1038</v>
      </c>
      <c r="M1185" t="s">
        <v>1163</v>
      </c>
      <c r="N1185" s="57">
        <v>1200</v>
      </c>
      <c r="O1185" t="s">
        <v>100</v>
      </c>
      <c r="P1185" t="s">
        <v>93</v>
      </c>
      <c r="Q1185" s="3">
        <v>46121</v>
      </c>
      <c r="R1185" s="10">
        <f t="shared" ca="1" si="37"/>
        <v>46229</v>
      </c>
      <c r="S1185" s="7">
        <f t="shared" ca="1" si="36"/>
        <v>0.29589041095890412</v>
      </c>
    </row>
    <row r="1186" spans="1:19" x14ac:dyDescent="0.25">
      <c r="A1186">
        <v>4106726</v>
      </c>
      <c r="B1186" t="s">
        <v>662</v>
      </c>
      <c r="C1186" t="s">
        <v>17</v>
      </c>
      <c r="D1186" s="6" t="s">
        <v>22</v>
      </c>
      <c r="E1186" t="s">
        <v>21</v>
      </c>
      <c r="G1186" s="6" t="s">
        <v>968</v>
      </c>
      <c r="H1186" s="59" t="s">
        <v>1020</v>
      </c>
      <c r="I1186" s="58" t="s">
        <v>859</v>
      </c>
      <c r="J1186" t="s">
        <v>839</v>
      </c>
      <c r="K1186" t="s">
        <v>830</v>
      </c>
      <c r="L1186" t="s">
        <v>1038</v>
      </c>
      <c r="M1186" t="s">
        <v>1163</v>
      </c>
      <c r="N1186" s="57">
        <v>1200</v>
      </c>
      <c r="O1186" t="s">
        <v>100</v>
      </c>
      <c r="P1186" t="s">
        <v>93</v>
      </c>
      <c r="Q1186" s="3">
        <v>45603</v>
      </c>
      <c r="R1186" s="10">
        <f t="shared" ca="1" si="37"/>
        <v>46229</v>
      </c>
      <c r="S1186" s="7">
        <f t="shared" ca="1" si="36"/>
        <v>1.715068493150685</v>
      </c>
    </row>
    <row r="1187" spans="1:19" x14ac:dyDescent="0.25">
      <c r="A1187">
        <v>4113047</v>
      </c>
      <c r="B1187" t="s">
        <v>1207</v>
      </c>
      <c r="C1187" t="s">
        <v>1044</v>
      </c>
      <c r="D1187" s="6" t="s">
        <v>22</v>
      </c>
      <c r="E1187" t="s">
        <v>21</v>
      </c>
      <c r="G1187" s="6" t="s">
        <v>968</v>
      </c>
      <c r="H1187" s="59" t="s">
        <v>1020</v>
      </c>
      <c r="I1187" s="58" t="s">
        <v>859</v>
      </c>
      <c r="J1187" t="s">
        <v>839</v>
      </c>
      <c r="K1187" t="s">
        <v>830</v>
      </c>
      <c r="L1187" t="s">
        <v>1038</v>
      </c>
      <c r="M1187" t="s">
        <v>1163</v>
      </c>
      <c r="N1187" s="57">
        <v>1200</v>
      </c>
      <c r="O1187" t="s">
        <v>100</v>
      </c>
      <c r="P1187" t="s">
        <v>93</v>
      </c>
      <c r="Q1187" s="3">
        <v>46111</v>
      </c>
      <c r="R1187" s="10">
        <f t="shared" ca="1" si="37"/>
        <v>46229</v>
      </c>
      <c r="S1187" s="7">
        <f t="shared" ca="1" si="36"/>
        <v>0.32328767123287672</v>
      </c>
    </row>
    <row r="1188" spans="1:19" x14ac:dyDescent="0.25">
      <c r="A1188">
        <v>4121073</v>
      </c>
      <c r="B1188" t="s">
        <v>1072</v>
      </c>
      <c r="C1188" t="s">
        <v>17</v>
      </c>
      <c r="D1188" s="6" t="s">
        <v>22</v>
      </c>
      <c r="E1188" t="s">
        <v>21</v>
      </c>
      <c r="G1188" s="6" t="s">
        <v>968</v>
      </c>
      <c r="H1188" s="59" t="s">
        <v>1020</v>
      </c>
      <c r="I1188" s="58" t="s">
        <v>859</v>
      </c>
      <c r="J1188" t="s">
        <v>839</v>
      </c>
      <c r="K1188" t="s">
        <v>830</v>
      </c>
      <c r="L1188" t="s">
        <v>1038</v>
      </c>
      <c r="M1188" t="s">
        <v>1163</v>
      </c>
      <c r="N1188" s="57">
        <v>1200</v>
      </c>
      <c r="O1188" t="s">
        <v>100</v>
      </c>
      <c r="P1188" t="s">
        <v>93</v>
      </c>
      <c r="Q1188" s="3">
        <v>46072</v>
      </c>
      <c r="R1188" s="10">
        <f t="shared" ca="1" si="37"/>
        <v>46229</v>
      </c>
      <c r="S1188" s="7">
        <f t="shared" ca="1" si="36"/>
        <v>0.43013698630136987</v>
      </c>
    </row>
    <row r="1189" spans="1:19" x14ac:dyDescent="0.25">
      <c r="A1189">
        <v>4121129</v>
      </c>
      <c r="B1189" t="s">
        <v>1087</v>
      </c>
      <c r="C1189" t="s">
        <v>17</v>
      </c>
      <c r="D1189" s="6" t="s">
        <v>22</v>
      </c>
      <c r="E1189" t="s">
        <v>21</v>
      </c>
      <c r="G1189" s="6" t="s">
        <v>968</v>
      </c>
      <c r="H1189" s="59" t="s">
        <v>1020</v>
      </c>
      <c r="I1189" s="58" t="s">
        <v>859</v>
      </c>
      <c r="J1189" t="s">
        <v>839</v>
      </c>
      <c r="K1189" t="s">
        <v>830</v>
      </c>
      <c r="L1189" t="s">
        <v>1038</v>
      </c>
      <c r="M1189" t="s">
        <v>1163</v>
      </c>
      <c r="N1189" s="57">
        <v>1200</v>
      </c>
      <c r="O1189" t="s">
        <v>100</v>
      </c>
      <c r="P1189" t="s">
        <v>93</v>
      </c>
      <c r="Q1189" s="3">
        <v>46072</v>
      </c>
      <c r="R1189" s="10">
        <f t="shared" ca="1" si="37"/>
        <v>46229</v>
      </c>
      <c r="S1189" s="7">
        <f t="shared" ca="1" si="36"/>
        <v>0.43013698630136987</v>
      </c>
    </row>
    <row r="1190" spans="1:19" x14ac:dyDescent="0.25">
      <c r="A1190">
        <v>4121133</v>
      </c>
      <c r="B1190" t="s">
        <v>1088</v>
      </c>
      <c r="C1190" t="s">
        <v>17</v>
      </c>
      <c r="D1190" s="6" t="s">
        <v>22</v>
      </c>
      <c r="E1190" t="s">
        <v>21</v>
      </c>
      <c r="G1190" s="6" t="s">
        <v>968</v>
      </c>
      <c r="H1190" s="59" t="s">
        <v>1020</v>
      </c>
      <c r="I1190" s="58" t="s">
        <v>859</v>
      </c>
      <c r="J1190" t="s">
        <v>839</v>
      </c>
      <c r="K1190" t="s">
        <v>830</v>
      </c>
      <c r="L1190" t="s">
        <v>1038</v>
      </c>
      <c r="M1190" t="s">
        <v>1163</v>
      </c>
      <c r="N1190" s="57">
        <v>1200</v>
      </c>
      <c r="O1190" t="s">
        <v>100</v>
      </c>
      <c r="P1190" t="s">
        <v>93</v>
      </c>
      <c r="Q1190" s="3">
        <v>46072</v>
      </c>
      <c r="R1190" s="10">
        <f t="shared" ca="1" si="37"/>
        <v>46229</v>
      </c>
      <c r="S1190" s="7">
        <f t="shared" ca="1" si="36"/>
        <v>0.43013698630136987</v>
      </c>
    </row>
    <row r="1191" spans="1:19" x14ac:dyDescent="0.25">
      <c r="A1191">
        <v>4121149</v>
      </c>
      <c r="B1191" t="s">
        <v>1096</v>
      </c>
      <c r="C1191" t="s">
        <v>17</v>
      </c>
      <c r="D1191" s="6" t="s">
        <v>22</v>
      </c>
      <c r="E1191" t="s">
        <v>21</v>
      </c>
      <c r="G1191" s="6" t="s">
        <v>968</v>
      </c>
      <c r="H1191" s="59" t="s">
        <v>1020</v>
      </c>
      <c r="I1191" s="58" t="s">
        <v>859</v>
      </c>
      <c r="J1191" t="s">
        <v>839</v>
      </c>
      <c r="K1191" t="s">
        <v>830</v>
      </c>
      <c r="L1191" t="s">
        <v>1038</v>
      </c>
      <c r="M1191" t="s">
        <v>1163</v>
      </c>
      <c r="N1191" s="57">
        <v>1200</v>
      </c>
      <c r="O1191" t="s">
        <v>100</v>
      </c>
      <c r="P1191" t="s">
        <v>93</v>
      </c>
      <c r="Q1191" s="3">
        <v>46072</v>
      </c>
      <c r="R1191" s="10">
        <f t="shared" ca="1" si="37"/>
        <v>46229</v>
      </c>
      <c r="S1191" s="7">
        <f t="shared" ca="1" si="36"/>
        <v>0.43013698630136987</v>
      </c>
    </row>
    <row r="1192" spans="1:19" x14ac:dyDescent="0.25">
      <c r="A1192">
        <v>4122755</v>
      </c>
      <c r="B1192" t="s">
        <v>1296</v>
      </c>
      <c r="C1192" t="s">
        <v>1044</v>
      </c>
      <c r="D1192" s="6" t="s">
        <v>22</v>
      </c>
      <c r="E1192" t="s">
        <v>21</v>
      </c>
      <c r="G1192" s="6" t="s">
        <v>968</v>
      </c>
      <c r="H1192" s="59" t="s">
        <v>1020</v>
      </c>
      <c r="I1192" s="58" t="s">
        <v>859</v>
      </c>
      <c r="J1192" t="s">
        <v>839</v>
      </c>
      <c r="K1192" t="s">
        <v>830</v>
      </c>
      <c r="L1192" t="s">
        <v>1038</v>
      </c>
      <c r="M1192" t="s">
        <v>1163</v>
      </c>
      <c r="N1192" s="57">
        <v>1200</v>
      </c>
      <c r="O1192" t="s">
        <v>100</v>
      </c>
      <c r="P1192" t="s">
        <v>93</v>
      </c>
      <c r="Q1192" s="3">
        <v>46121</v>
      </c>
      <c r="R1192" s="10">
        <f t="shared" ca="1" si="37"/>
        <v>46229</v>
      </c>
      <c r="S1192" s="7">
        <f t="shared" ca="1" si="36"/>
        <v>0.29589041095890412</v>
      </c>
    </row>
    <row r="1193" spans="1:19" x14ac:dyDescent="0.25">
      <c r="A1193">
        <v>4122756</v>
      </c>
      <c r="B1193" t="s">
        <v>1297</v>
      </c>
      <c r="C1193" t="s">
        <v>1044</v>
      </c>
      <c r="D1193" s="6" t="s">
        <v>22</v>
      </c>
      <c r="E1193" t="s">
        <v>21</v>
      </c>
      <c r="G1193" s="6" t="s">
        <v>968</v>
      </c>
      <c r="H1193" s="59" t="s">
        <v>1020</v>
      </c>
      <c r="I1193" s="58" t="s">
        <v>859</v>
      </c>
      <c r="J1193" t="s">
        <v>839</v>
      </c>
      <c r="K1193" t="s">
        <v>830</v>
      </c>
      <c r="L1193" t="s">
        <v>1038</v>
      </c>
      <c r="M1193" t="s">
        <v>1163</v>
      </c>
      <c r="N1193" s="57">
        <v>1200</v>
      </c>
      <c r="O1193" t="s">
        <v>100</v>
      </c>
      <c r="P1193" t="s">
        <v>93</v>
      </c>
      <c r="Q1193" s="3">
        <v>46121</v>
      </c>
      <c r="R1193" s="10">
        <f t="shared" ca="1" si="37"/>
        <v>46229</v>
      </c>
      <c r="S1193" s="7">
        <f t="shared" ca="1" si="36"/>
        <v>0.29589041095890412</v>
      </c>
    </row>
    <row r="1194" spans="1:19" x14ac:dyDescent="0.25">
      <c r="A1194">
        <v>4122788</v>
      </c>
      <c r="B1194" t="s">
        <v>1316</v>
      </c>
      <c r="C1194" t="s">
        <v>1044</v>
      </c>
      <c r="D1194" s="6" t="s">
        <v>22</v>
      </c>
      <c r="E1194" t="s">
        <v>21</v>
      </c>
      <c r="G1194" s="6" t="s">
        <v>968</v>
      </c>
      <c r="H1194" s="59" t="s">
        <v>1020</v>
      </c>
      <c r="I1194" s="58" t="s">
        <v>859</v>
      </c>
      <c r="J1194" t="s">
        <v>839</v>
      </c>
      <c r="K1194" t="s">
        <v>830</v>
      </c>
      <c r="L1194" t="s">
        <v>1038</v>
      </c>
      <c r="M1194" t="s">
        <v>1163</v>
      </c>
      <c r="N1194" s="57">
        <v>1200</v>
      </c>
      <c r="O1194" t="s">
        <v>100</v>
      </c>
      <c r="P1194" t="s">
        <v>93</v>
      </c>
      <c r="Q1194" s="3">
        <v>46121</v>
      </c>
      <c r="R1194" s="10">
        <f t="shared" ca="1" si="37"/>
        <v>46229</v>
      </c>
      <c r="S1194" s="7">
        <f t="shared" ca="1" si="36"/>
        <v>0.29589041095890412</v>
      </c>
    </row>
    <row r="1195" spans="1:19" x14ac:dyDescent="0.25">
      <c r="A1195">
        <v>4124106</v>
      </c>
      <c r="B1195" t="s">
        <v>1554</v>
      </c>
      <c r="C1195" t="s">
        <v>1044</v>
      </c>
      <c r="D1195" s="6" t="s">
        <v>22</v>
      </c>
      <c r="E1195" t="s">
        <v>21</v>
      </c>
      <c r="G1195" s="6" t="s">
        <v>968</v>
      </c>
      <c r="H1195" s="59" t="s">
        <v>1020</v>
      </c>
      <c r="I1195" s="58" t="s">
        <v>859</v>
      </c>
      <c r="J1195" t="s">
        <v>839</v>
      </c>
      <c r="K1195" t="s">
        <v>830</v>
      </c>
      <c r="L1195" t="s">
        <v>1038</v>
      </c>
      <c r="M1195" t="s">
        <v>1163</v>
      </c>
      <c r="N1195" s="57">
        <v>1200</v>
      </c>
      <c r="O1195" t="s">
        <v>100</v>
      </c>
      <c r="P1195" t="s">
        <v>93</v>
      </c>
      <c r="Q1195" s="3">
        <v>46167</v>
      </c>
      <c r="R1195" s="10">
        <f t="shared" ca="1" si="37"/>
        <v>46229</v>
      </c>
      <c r="S1195" s="7">
        <f t="shared" ca="1" si="36"/>
        <v>0.16986301369863013</v>
      </c>
    </row>
    <row r="1196" spans="1:19" x14ac:dyDescent="0.25">
      <c r="A1196">
        <v>4124230</v>
      </c>
      <c r="B1196" t="s">
        <v>1687</v>
      </c>
      <c r="C1196" t="s">
        <v>1044</v>
      </c>
      <c r="D1196" s="6" t="s">
        <v>22</v>
      </c>
      <c r="E1196" t="s">
        <v>21</v>
      </c>
      <c r="G1196" s="6" t="s">
        <v>968</v>
      </c>
      <c r="H1196" s="59" t="s">
        <v>1020</v>
      </c>
      <c r="I1196" s="58" t="s">
        <v>859</v>
      </c>
      <c r="J1196" t="s">
        <v>839</v>
      </c>
      <c r="K1196" t="s">
        <v>830</v>
      </c>
      <c r="L1196" t="s">
        <v>1038</v>
      </c>
      <c r="M1196" t="s">
        <v>1163</v>
      </c>
      <c r="N1196" s="57">
        <v>1200</v>
      </c>
      <c r="O1196" t="s">
        <v>100</v>
      </c>
      <c r="P1196" t="s">
        <v>93</v>
      </c>
      <c r="Q1196" s="3">
        <v>46170</v>
      </c>
      <c r="R1196" s="10">
        <f t="shared" ca="1" si="37"/>
        <v>46229</v>
      </c>
      <c r="S1196" s="7">
        <f t="shared" ca="1" si="36"/>
        <v>0.16164383561643836</v>
      </c>
    </row>
    <row r="1197" spans="1:19" x14ac:dyDescent="0.25">
      <c r="A1197">
        <v>4124232</v>
      </c>
      <c r="B1197" t="s">
        <v>1689</v>
      </c>
      <c r="C1197" t="s">
        <v>1044</v>
      </c>
      <c r="D1197" s="6" t="s">
        <v>22</v>
      </c>
      <c r="E1197" t="s">
        <v>21</v>
      </c>
      <c r="G1197" s="6" t="s">
        <v>968</v>
      </c>
      <c r="H1197" s="59" t="s">
        <v>1020</v>
      </c>
      <c r="I1197" s="58" t="s">
        <v>859</v>
      </c>
      <c r="J1197" t="s">
        <v>839</v>
      </c>
      <c r="K1197" t="s">
        <v>830</v>
      </c>
      <c r="L1197" t="s">
        <v>1038</v>
      </c>
      <c r="M1197" t="s">
        <v>1163</v>
      </c>
      <c r="N1197" s="57">
        <v>1200</v>
      </c>
      <c r="O1197" t="s">
        <v>100</v>
      </c>
      <c r="P1197" t="s">
        <v>93</v>
      </c>
      <c r="Q1197" s="3">
        <v>46170</v>
      </c>
      <c r="R1197" s="10">
        <f t="shared" ca="1" si="37"/>
        <v>46229</v>
      </c>
      <c r="S1197" s="7">
        <f t="shared" ca="1" si="36"/>
        <v>0.16164383561643836</v>
      </c>
    </row>
    <row r="1198" spans="1:19" x14ac:dyDescent="0.25">
      <c r="A1198">
        <v>4124364</v>
      </c>
      <c r="B1198" t="s">
        <v>1724</v>
      </c>
      <c r="C1198" t="s">
        <v>1044</v>
      </c>
      <c r="D1198" s="6" t="s">
        <v>22</v>
      </c>
      <c r="E1198" t="s">
        <v>21</v>
      </c>
      <c r="G1198" s="6" t="s">
        <v>968</v>
      </c>
      <c r="H1198" s="59" t="s">
        <v>1020</v>
      </c>
      <c r="I1198" s="58" t="s">
        <v>859</v>
      </c>
      <c r="J1198" t="s">
        <v>839</v>
      </c>
      <c r="K1198" t="s">
        <v>830</v>
      </c>
      <c r="L1198" t="s">
        <v>1038</v>
      </c>
      <c r="M1198" t="s">
        <v>1163</v>
      </c>
      <c r="N1198" s="57">
        <v>1200</v>
      </c>
      <c r="O1198" t="s">
        <v>100</v>
      </c>
      <c r="P1198" t="s">
        <v>93</v>
      </c>
      <c r="Q1198" s="3">
        <v>46174</v>
      </c>
      <c r="R1198" s="10">
        <f t="shared" ca="1" si="37"/>
        <v>46229</v>
      </c>
      <c r="S1198" s="7">
        <f t="shared" ca="1" si="36"/>
        <v>0.15068493150684931</v>
      </c>
    </row>
    <row r="1199" spans="1:19" x14ac:dyDescent="0.25">
      <c r="A1199">
        <v>4124365</v>
      </c>
      <c r="B1199" t="s">
        <v>1725</v>
      </c>
      <c r="C1199" t="s">
        <v>1044</v>
      </c>
      <c r="D1199" s="6" t="s">
        <v>22</v>
      </c>
      <c r="E1199" t="s">
        <v>21</v>
      </c>
      <c r="G1199" s="6" t="s">
        <v>968</v>
      </c>
      <c r="H1199" s="59" t="s">
        <v>1020</v>
      </c>
      <c r="I1199" s="58" t="s">
        <v>859</v>
      </c>
      <c r="J1199" t="s">
        <v>839</v>
      </c>
      <c r="K1199" t="s">
        <v>830</v>
      </c>
      <c r="L1199" t="s">
        <v>1038</v>
      </c>
      <c r="M1199" t="s">
        <v>1163</v>
      </c>
      <c r="N1199" s="57">
        <v>1200</v>
      </c>
      <c r="O1199" t="s">
        <v>100</v>
      </c>
      <c r="P1199" t="s">
        <v>93</v>
      </c>
      <c r="Q1199" s="3">
        <v>46174</v>
      </c>
      <c r="R1199" s="10">
        <f t="shared" ca="1" si="37"/>
        <v>46229</v>
      </c>
      <c r="S1199" s="7">
        <f t="shared" ca="1" si="36"/>
        <v>0.15068493150684931</v>
      </c>
    </row>
    <row r="1200" spans="1:19" x14ac:dyDescent="0.25">
      <c r="A1200">
        <v>4124408</v>
      </c>
      <c r="B1200" t="s">
        <v>1760</v>
      </c>
      <c r="C1200" t="s">
        <v>1044</v>
      </c>
      <c r="D1200" s="6" t="s">
        <v>22</v>
      </c>
      <c r="E1200" t="s">
        <v>21</v>
      </c>
      <c r="G1200" s="6" t="s">
        <v>968</v>
      </c>
      <c r="H1200" s="59" t="s">
        <v>1020</v>
      </c>
      <c r="I1200" s="58" t="s">
        <v>859</v>
      </c>
      <c r="J1200" t="s">
        <v>839</v>
      </c>
      <c r="K1200" t="s">
        <v>830</v>
      </c>
      <c r="L1200" t="s">
        <v>1038</v>
      </c>
      <c r="M1200" t="s">
        <v>1163</v>
      </c>
      <c r="N1200" s="57">
        <v>1200</v>
      </c>
      <c r="O1200" t="s">
        <v>100</v>
      </c>
      <c r="P1200" t="s">
        <v>93</v>
      </c>
      <c r="Q1200" s="3">
        <v>46174</v>
      </c>
      <c r="R1200" s="10">
        <f t="shared" ca="1" si="37"/>
        <v>46229</v>
      </c>
      <c r="S1200" s="7">
        <f t="shared" ca="1" si="36"/>
        <v>0.15068493150684931</v>
      </c>
    </row>
    <row r="1201" spans="1:19" x14ac:dyDescent="0.25">
      <c r="A1201">
        <v>605183</v>
      </c>
      <c r="B1201" t="s">
        <v>1103</v>
      </c>
      <c r="C1201" t="s">
        <v>17</v>
      </c>
      <c r="D1201" s="6" t="s">
        <v>22</v>
      </c>
      <c r="E1201" t="s">
        <v>21</v>
      </c>
      <c r="G1201" s="6" t="s">
        <v>968</v>
      </c>
      <c r="H1201" s="59" t="s">
        <v>1020</v>
      </c>
      <c r="I1201" s="58" t="s">
        <v>859</v>
      </c>
      <c r="J1201" t="s">
        <v>839</v>
      </c>
      <c r="K1201" t="s">
        <v>830</v>
      </c>
      <c r="L1201" t="s">
        <v>1038</v>
      </c>
      <c r="M1201" t="s">
        <v>1163</v>
      </c>
      <c r="N1201" s="57">
        <v>1200</v>
      </c>
      <c r="O1201" t="s">
        <v>100</v>
      </c>
      <c r="P1201" t="s">
        <v>93</v>
      </c>
      <c r="Q1201" s="3">
        <v>46072</v>
      </c>
      <c r="R1201" s="10">
        <f t="shared" ca="1" si="37"/>
        <v>46229</v>
      </c>
      <c r="S1201" s="7">
        <f t="shared" ca="1" si="36"/>
        <v>0.43013698630136987</v>
      </c>
    </row>
    <row r="1202" spans="1:19" x14ac:dyDescent="0.25">
      <c r="A1202">
        <v>815355</v>
      </c>
      <c r="B1202" t="s">
        <v>729</v>
      </c>
      <c r="C1202" t="s">
        <v>17</v>
      </c>
      <c r="D1202" s="6" t="s">
        <v>22</v>
      </c>
      <c r="E1202" t="s">
        <v>21</v>
      </c>
      <c r="G1202" s="6" t="s">
        <v>968</v>
      </c>
      <c r="H1202" s="59" t="s">
        <v>1020</v>
      </c>
      <c r="I1202" s="58" t="s">
        <v>859</v>
      </c>
      <c r="J1202" t="s">
        <v>839</v>
      </c>
      <c r="K1202" t="s">
        <v>830</v>
      </c>
      <c r="L1202" t="s">
        <v>1038</v>
      </c>
      <c r="M1202" t="s">
        <v>1163</v>
      </c>
      <c r="N1202" s="57">
        <v>1200</v>
      </c>
      <c r="O1202" t="s">
        <v>100</v>
      </c>
      <c r="P1202" t="s">
        <v>93</v>
      </c>
      <c r="Q1202" s="3">
        <v>45596</v>
      </c>
      <c r="R1202" s="10">
        <f t="shared" ca="1" si="37"/>
        <v>46229</v>
      </c>
      <c r="S1202" s="7">
        <f t="shared" ca="1" si="36"/>
        <v>1.7342465753424658</v>
      </c>
    </row>
    <row r="1203" spans="1:19" x14ac:dyDescent="0.25">
      <c r="A1203">
        <v>897007</v>
      </c>
      <c r="B1203" t="s">
        <v>1220</v>
      </c>
      <c r="C1203" t="s">
        <v>1044</v>
      </c>
      <c r="D1203" s="6" t="s">
        <v>22</v>
      </c>
      <c r="E1203" t="s">
        <v>21</v>
      </c>
      <c r="G1203" s="6" t="s">
        <v>968</v>
      </c>
      <c r="H1203" s="59" t="s">
        <v>1020</v>
      </c>
      <c r="I1203" s="58" t="s">
        <v>859</v>
      </c>
      <c r="J1203" t="s">
        <v>839</v>
      </c>
      <c r="K1203" t="s">
        <v>830</v>
      </c>
      <c r="L1203" t="s">
        <v>1038</v>
      </c>
      <c r="M1203" t="s">
        <v>1163</v>
      </c>
      <c r="N1203" s="57">
        <v>1200</v>
      </c>
      <c r="O1203" t="s">
        <v>100</v>
      </c>
      <c r="P1203" t="s">
        <v>93</v>
      </c>
      <c r="Q1203" s="3">
        <v>46111</v>
      </c>
      <c r="R1203" s="10">
        <f t="shared" ca="1" si="37"/>
        <v>46229</v>
      </c>
      <c r="S1203" s="7">
        <f t="shared" ca="1" si="36"/>
        <v>0.32328767123287672</v>
      </c>
    </row>
    <row r="1204" spans="1:19" x14ac:dyDescent="0.25">
      <c r="A1204">
        <v>4124235</v>
      </c>
      <c r="B1204" t="s">
        <v>1692</v>
      </c>
      <c r="C1204" t="s">
        <v>1044</v>
      </c>
      <c r="D1204" s="6" t="s">
        <v>22</v>
      </c>
      <c r="E1204" t="s">
        <v>21</v>
      </c>
      <c r="G1204" s="6" t="s">
        <v>968</v>
      </c>
      <c r="H1204" s="59" t="s">
        <v>1019</v>
      </c>
      <c r="I1204" s="58" t="s">
        <v>1417</v>
      </c>
      <c r="J1204" t="s">
        <v>829</v>
      </c>
      <c r="K1204" t="s">
        <v>830</v>
      </c>
      <c r="L1204" t="s">
        <v>25</v>
      </c>
      <c r="M1204" t="s">
        <v>1163</v>
      </c>
      <c r="N1204" s="57">
        <v>1200</v>
      </c>
      <c r="O1204" t="s">
        <v>100</v>
      </c>
      <c r="P1204" t="s">
        <v>93</v>
      </c>
      <c r="Q1204" s="3">
        <v>46170</v>
      </c>
      <c r="R1204" s="10">
        <f t="shared" ca="1" si="37"/>
        <v>46229</v>
      </c>
      <c r="S1204" s="7">
        <f t="shared" ca="1" si="36"/>
        <v>0.16164383561643836</v>
      </c>
    </row>
    <row r="1205" spans="1:19" x14ac:dyDescent="0.25">
      <c r="A1205">
        <v>4124537</v>
      </c>
      <c r="B1205" t="s">
        <v>1777</v>
      </c>
      <c r="C1205" t="s">
        <v>1044</v>
      </c>
      <c r="D1205" s="6" t="s">
        <v>22</v>
      </c>
      <c r="E1205" t="s">
        <v>50</v>
      </c>
      <c r="F1205" s="58" t="s">
        <v>1539</v>
      </c>
      <c r="G1205" s="6" t="s">
        <v>970</v>
      </c>
      <c r="H1205" s="59" t="s">
        <v>1030</v>
      </c>
      <c r="I1205" s="58" t="s">
        <v>1417</v>
      </c>
      <c r="J1205" t="s">
        <v>829</v>
      </c>
      <c r="K1205" t="s">
        <v>830</v>
      </c>
      <c r="L1205" t="s">
        <v>91</v>
      </c>
      <c r="M1205" t="s">
        <v>1163</v>
      </c>
      <c r="N1205" s="57">
        <v>1400</v>
      </c>
      <c r="O1205" t="s">
        <v>100</v>
      </c>
      <c r="P1205" t="s">
        <v>93</v>
      </c>
      <c r="Q1205" s="3">
        <v>46177</v>
      </c>
      <c r="R1205" s="10">
        <f t="shared" ca="1" si="37"/>
        <v>46229</v>
      </c>
      <c r="S1205" s="7">
        <f t="shared" ca="1" si="36"/>
        <v>0.14246575342465753</v>
      </c>
    </row>
    <row r="1206" spans="1:19" x14ac:dyDescent="0.25">
      <c r="A1206">
        <v>1002010</v>
      </c>
      <c r="B1206" t="s">
        <v>1584</v>
      </c>
      <c r="C1206" t="s">
        <v>1044</v>
      </c>
      <c r="D1206" s="6" t="s">
        <v>22</v>
      </c>
      <c r="E1206" t="s">
        <v>21</v>
      </c>
      <c r="G1206" s="6" t="s">
        <v>968</v>
      </c>
      <c r="H1206" s="59" t="s">
        <v>1019</v>
      </c>
      <c r="I1206" s="58" t="s">
        <v>1417</v>
      </c>
      <c r="J1206" t="s">
        <v>829</v>
      </c>
      <c r="K1206" t="s">
        <v>830</v>
      </c>
      <c r="L1206" t="s">
        <v>25</v>
      </c>
      <c r="M1206" t="s">
        <v>1163</v>
      </c>
      <c r="N1206" s="57">
        <v>1200</v>
      </c>
      <c r="O1206" t="s">
        <v>100</v>
      </c>
      <c r="P1206" t="s">
        <v>93</v>
      </c>
      <c r="Q1206" s="3">
        <v>46170</v>
      </c>
      <c r="R1206" s="10">
        <f t="shared" ca="1" si="37"/>
        <v>46229</v>
      </c>
      <c r="S1206" s="7">
        <f t="shared" ca="1" si="36"/>
        <v>0.16164383561643836</v>
      </c>
    </row>
    <row r="1207" spans="1:19" x14ac:dyDescent="0.25">
      <c r="A1207">
        <v>1174339</v>
      </c>
      <c r="B1207" t="s">
        <v>211</v>
      </c>
      <c r="C1207" t="s">
        <v>17</v>
      </c>
      <c r="D1207" s="6" t="s">
        <v>22</v>
      </c>
      <c r="E1207" t="s">
        <v>77</v>
      </c>
      <c r="G1207" s="6" t="s">
        <v>968</v>
      </c>
      <c r="H1207" s="59" t="s">
        <v>1019</v>
      </c>
      <c r="I1207" s="58" t="s">
        <v>1417</v>
      </c>
      <c r="J1207" t="s">
        <v>829</v>
      </c>
      <c r="K1207" t="s">
        <v>830</v>
      </c>
      <c r="L1207" t="s">
        <v>25</v>
      </c>
      <c r="M1207" t="s">
        <v>1163</v>
      </c>
      <c r="N1207" s="57">
        <v>1300</v>
      </c>
      <c r="O1207" t="s">
        <v>100</v>
      </c>
      <c r="P1207" t="s">
        <v>93</v>
      </c>
      <c r="Q1207" s="3">
        <v>44970</v>
      </c>
      <c r="R1207" s="10">
        <f t="shared" ca="1" si="37"/>
        <v>46229</v>
      </c>
      <c r="S1207" s="7">
        <f t="shared" ca="1" si="36"/>
        <v>3.4493150684931506</v>
      </c>
    </row>
    <row r="1208" spans="1:19" x14ac:dyDescent="0.25">
      <c r="A1208">
        <v>20530</v>
      </c>
      <c r="B1208" t="s">
        <v>1598</v>
      </c>
      <c r="C1208" t="s">
        <v>1044</v>
      </c>
      <c r="D1208" s="6" t="s">
        <v>22</v>
      </c>
      <c r="E1208" t="s">
        <v>21</v>
      </c>
      <c r="G1208" s="6" t="s">
        <v>968</v>
      </c>
      <c r="H1208" s="59" t="s">
        <v>1019</v>
      </c>
      <c r="I1208" s="58" t="s">
        <v>1417</v>
      </c>
      <c r="J1208" t="s">
        <v>829</v>
      </c>
      <c r="K1208" t="s">
        <v>830</v>
      </c>
      <c r="L1208" t="s">
        <v>25</v>
      </c>
      <c r="M1208" t="s">
        <v>1163</v>
      </c>
      <c r="N1208" s="57">
        <v>1200</v>
      </c>
      <c r="O1208" t="s">
        <v>100</v>
      </c>
      <c r="P1208" t="s">
        <v>93</v>
      </c>
      <c r="Q1208" s="3">
        <v>46170</v>
      </c>
      <c r="R1208" s="10">
        <f t="shared" ca="1" si="37"/>
        <v>46229</v>
      </c>
      <c r="S1208" s="7">
        <f t="shared" ca="1" si="36"/>
        <v>0.16164383561643836</v>
      </c>
    </row>
    <row r="1209" spans="1:19" x14ac:dyDescent="0.25">
      <c r="A1209">
        <v>4012892</v>
      </c>
      <c r="B1209" t="s">
        <v>431</v>
      </c>
      <c r="C1209" t="s">
        <v>17</v>
      </c>
      <c r="D1209" s="6" t="s">
        <v>22</v>
      </c>
      <c r="E1209" t="s">
        <v>87</v>
      </c>
      <c r="G1209" s="6" t="s">
        <v>968</v>
      </c>
      <c r="H1209" s="59" t="s">
        <v>1019</v>
      </c>
      <c r="I1209" s="58" t="s">
        <v>1417</v>
      </c>
      <c r="J1209" t="s">
        <v>829</v>
      </c>
      <c r="K1209" t="s">
        <v>830</v>
      </c>
      <c r="L1209" t="s">
        <v>25</v>
      </c>
      <c r="M1209" t="s">
        <v>1163</v>
      </c>
      <c r="N1209" s="57">
        <v>1200</v>
      </c>
      <c r="O1209" t="s">
        <v>100</v>
      </c>
      <c r="P1209" t="s">
        <v>93</v>
      </c>
      <c r="Q1209" s="3">
        <v>43738</v>
      </c>
      <c r="R1209" s="10">
        <f t="shared" ca="1" si="37"/>
        <v>46229</v>
      </c>
      <c r="S1209" s="7">
        <f t="shared" ca="1" si="36"/>
        <v>6.8246575342465752</v>
      </c>
    </row>
    <row r="1210" spans="1:19" x14ac:dyDescent="0.25">
      <c r="A1210">
        <v>4015659</v>
      </c>
      <c r="B1210" t="s">
        <v>435</v>
      </c>
      <c r="C1210" t="s">
        <v>17</v>
      </c>
      <c r="D1210" s="6" t="s">
        <v>22</v>
      </c>
      <c r="E1210" t="s">
        <v>21</v>
      </c>
      <c r="G1210" s="6" t="s">
        <v>968</v>
      </c>
      <c r="H1210" s="59" t="s">
        <v>1019</v>
      </c>
      <c r="I1210" s="58" t="s">
        <v>1417</v>
      </c>
      <c r="J1210" t="s">
        <v>829</v>
      </c>
      <c r="K1210" t="s">
        <v>830</v>
      </c>
      <c r="L1210" t="s">
        <v>25</v>
      </c>
      <c r="M1210" t="s">
        <v>1163</v>
      </c>
      <c r="N1210" s="57">
        <v>1200</v>
      </c>
      <c r="O1210" t="s">
        <v>100</v>
      </c>
      <c r="P1210" t="s">
        <v>93</v>
      </c>
      <c r="Q1210" s="3">
        <v>45734</v>
      </c>
      <c r="R1210" s="10">
        <f t="shared" ca="1" si="37"/>
        <v>46229</v>
      </c>
      <c r="S1210" s="7">
        <f t="shared" ca="1" si="36"/>
        <v>1.3561643835616439</v>
      </c>
    </row>
    <row r="1211" spans="1:19" x14ac:dyDescent="0.25">
      <c r="A1211">
        <v>4032262</v>
      </c>
      <c r="B1211" t="s">
        <v>445</v>
      </c>
      <c r="C1211" t="s">
        <v>17</v>
      </c>
      <c r="D1211" s="6" t="s">
        <v>22</v>
      </c>
      <c r="E1211" t="s">
        <v>21</v>
      </c>
      <c r="G1211" s="6" t="s">
        <v>968</v>
      </c>
      <c r="H1211" s="59" t="s">
        <v>1019</v>
      </c>
      <c r="I1211" s="58" t="s">
        <v>1417</v>
      </c>
      <c r="J1211" t="s">
        <v>829</v>
      </c>
      <c r="K1211" t="s">
        <v>830</v>
      </c>
      <c r="L1211" t="s">
        <v>25</v>
      </c>
      <c r="M1211" t="s">
        <v>1163</v>
      </c>
      <c r="N1211" s="57">
        <v>1200</v>
      </c>
      <c r="O1211" t="s">
        <v>100</v>
      </c>
      <c r="P1211" t="s">
        <v>93</v>
      </c>
      <c r="Q1211" s="3">
        <v>44214</v>
      </c>
      <c r="R1211" s="10">
        <f t="shared" ca="1" si="37"/>
        <v>46229</v>
      </c>
      <c r="S1211" s="7">
        <f t="shared" ca="1" si="36"/>
        <v>5.5205479452054798</v>
      </c>
    </row>
    <row r="1212" spans="1:19" x14ac:dyDescent="0.25">
      <c r="A1212">
        <v>4045131</v>
      </c>
      <c r="B1212" t="s">
        <v>1232</v>
      </c>
      <c r="C1212" t="s">
        <v>1044</v>
      </c>
      <c r="D1212" s="6" t="s">
        <v>22</v>
      </c>
      <c r="E1212" t="s">
        <v>21</v>
      </c>
      <c r="G1212" s="6" t="s">
        <v>968</v>
      </c>
      <c r="H1212" s="59" t="s">
        <v>1019</v>
      </c>
      <c r="I1212" s="58" t="s">
        <v>1417</v>
      </c>
      <c r="J1212" t="s">
        <v>829</v>
      </c>
      <c r="K1212" t="s">
        <v>830</v>
      </c>
      <c r="L1212" t="s">
        <v>25</v>
      </c>
      <c r="M1212" t="s">
        <v>1163</v>
      </c>
      <c r="N1212" s="57">
        <v>1200</v>
      </c>
      <c r="O1212" t="s">
        <v>100</v>
      </c>
      <c r="P1212" t="s">
        <v>93</v>
      </c>
      <c r="Q1212" s="3">
        <v>46121</v>
      </c>
      <c r="R1212" s="10">
        <f t="shared" ca="1" si="37"/>
        <v>46229</v>
      </c>
      <c r="S1212" s="7">
        <f t="shared" ca="1" si="36"/>
        <v>0.29589041095890412</v>
      </c>
    </row>
    <row r="1213" spans="1:19" x14ac:dyDescent="0.25">
      <c r="A1213">
        <v>4053907</v>
      </c>
      <c r="B1213" t="s">
        <v>484</v>
      </c>
      <c r="C1213" t="s">
        <v>17</v>
      </c>
      <c r="D1213" s="6" t="s">
        <v>22</v>
      </c>
      <c r="E1213" t="s">
        <v>21</v>
      </c>
      <c r="G1213" s="6" t="s">
        <v>968</v>
      </c>
      <c r="H1213" s="59" t="s">
        <v>1019</v>
      </c>
      <c r="I1213" s="58" t="s">
        <v>1417</v>
      </c>
      <c r="J1213" t="s">
        <v>829</v>
      </c>
      <c r="K1213" t="s">
        <v>830</v>
      </c>
      <c r="L1213" t="s">
        <v>25</v>
      </c>
      <c r="M1213" t="s">
        <v>1163</v>
      </c>
      <c r="N1213" s="57">
        <v>1200</v>
      </c>
      <c r="O1213" t="s">
        <v>100</v>
      </c>
      <c r="P1213" t="s">
        <v>20</v>
      </c>
      <c r="Q1213" s="3">
        <v>44634</v>
      </c>
      <c r="R1213" s="10">
        <f t="shared" ca="1" si="37"/>
        <v>46229</v>
      </c>
      <c r="S1213" s="7">
        <f t="shared" ca="1" si="36"/>
        <v>4.3698630136986303</v>
      </c>
    </row>
    <row r="1214" spans="1:19" x14ac:dyDescent="0.25">
      <c r="A1214">
        <v>4058794</v>
      </c>
      <c r="B1214" t="s">
        <v>1237</v>
      </c>
      <c r="C1214" t="s">
        <v>1044</v>
      </c>
      <c r="D1214" s="6" t="s">
        <v>22</v>
      </c>
      <c r="E1214" t="s">
        <v>21</v>
      </c>
      <c r="G1214" s="6" t="s">
        <v>968</v>
      </c>
      <c r="H1214" s="59" t="s">
        <v>1019</v>
      </c>
      <c r="I1214" s="58" t="s">
        <v>1417</v>
      </c>
      <c r="J1214" t="s">
        <v>829</v>
      </c>
      <c r="K1214" t="s">
        <v>830</v>
      </c>
      <c r="L1214" t="s">
        <v>25</v>
      </c>
      <c r="M1214" t="s">
        <v>1163</v>
      </c>
      <c r="N1214" s="57">
        <v>1200</v>
      </c>
      <c r="O1214" t="s">
        <v>100</v>
      </c>
      <c r="P1214" t="s">
        <v>93</v>
      </c>
      <c r="Q1214" s="3">
        <v>46121</v>
      </c>
      <c r="R1214" s="10">
        <f t="shared" ca="1" si="37"/>
        <v>46229</v>
      </c>
      <c r="S1214" s="7">
        <f t="shared" ca="1" si="36"/>
        <v>0.29589041095890412</v>
      </c>
    </row>
    <row r="1215" spans="1:19" x14ac:dyDescent="0.25">
      <c r="A1215">
        <v>4071571</v>
      </c>
      <c r="B1215" t="s">
        <v>528</v>
      </c>
      <c r="C1215" t="s">
        <v>17</v>
      </c>
      <c r="D1215" s="6" t="s">
        <v>22</v>
      </c>
      <c r="E1215" t="s">
        <v>21</v>
      </c>
      <c r="G1215" s="6" t="s">
        <v>968</v>
      </c>
      <c r="H1215" s="59" t="s">
        <v>1019</v>
      </c>
      <c r="I1215" s="58" t="s">
        <v>1417</v>
      </c>
      <c r="J1215" t="s">
        <v>829</v>
      </c>
      <c r="K1215" t="s">
        <v>830</v>
      </c>
      <c r="L1215" t="s">
        <v>25</v>
      </c>
      <c r="M1215" t="s">
        <v>1163</v>
      </c>
      <c r="N1215" s="57">
        <v>1200</v>
      </c>
      <c r="O1215" t="s">
        <v>100</v>
      </c>
      <c r="P1215" t="s">
        <v>93</v>
      </c>
      <c r="Q1215" s="3">
        <v>44861</v>
      </c>
      <c r="R1215" s="10">
        <f t="shared" ca="1" si="37"/>
        <v>46229</v>
      </c>
      <c r="S1215" s="7">
        <f t="shared" ca="1" si="36"/>
        <v>3.7479452054794522</v>
      </c>
    </row>
    <row r="1216" spans="1:19" x14ac:dyDescent="0.25">
      <c r="A1216">
        <v>4074034</v>
      </c>
      <c r="B1216" t="s">
        <v>532</v>
      </c>
      <c r="C1216" t="s">
        <v>17</v>
      </c>
      <c r="D1216" s="6" t="s">
        <v>22</v>
      </c>
      <c r="E1216" t="s">
        <v>21</v>
      </c>
      <c r="G1216" s="6" t="s">
        <v>968</v>
      </c>
      <c r="H1216" s="59" t="s">
        <v>1019</v>
      </c>
      <c r="I1216" s="58" t="s">
        <v>1417</v>
      </c>
      <c r="J1216" t="s">
        <v>829</v>
      </c>
      <c r="K1216" t="s">
        <v>830</v>
      </c>
      <c r="L1216" t="s">
        <v>25</v>
      </c>
      <c r="M1216" t="s">
        <v>1163</v>
      </c>
      <c r="N1216" s="57">
        <v>1200</v>
      </c>
      <c r="O1216" t="s">
        <v>100</v>
      </c>
      <c r="P1216" t="s">
        <v>93</v>
      </c>
      <c r="Q1216" s="3">
        <v>44893</v>
      </c>
      <c r="R1216" s="10">
        <f t="shared" ca="1" si="37"/>
        <v>46229</v>
      </c>
      <c r="S1216" s="7">
        <f t="shared" ref="S1216:S1279" ca="1" si="38">(R1216-Q1216)/365</f>
        <v>3.6602739726027398</v>
      </c>
    </row>
    <row r="1217" spans="1:19" x14ac:dyDescent="0.25">
      <c r="A1217">
        <v>4074888</v>
      </c>
      <c r="B1217" t="s">
        <v>534</v>
      </c>
      <c r="C1217" t="s">
        <v>17</v>
      </c>
      <c r="D1217" s="6" t="s">
        <v>22</v>
      </c>
      <c r="E1217" t="s">
        <v>21</v>
      </c>
      <c r="G1217" s="6" t="s">
        <v>968</v>
      </c>
      <c r="H1217" s="59" t="s">
        <v>1019</v>
      </c>
      <c r="I1217" s="58" t="s">
        <v>1417</v>
      </c>
      <c r="J1217" t="s">
        <v>829</v>
      </c>
      <c r="K1217" t="s">
        <v>830</v>
      </c>
      <c r="L1217" t="s">
        <v>25</v>
      </c>
      <c r="M1217" t="s">
        <v>1163</v>
      </c>
      <c r="N1217" s="57">
        <v>1200</v>
      </c>
      <c r="O1217" t="s">
        <v>100</v>
      </c>
      <c r="P1217" t="s">
        <v>93</v>
      </c>
      <c r="Q1217" s="3">
        <v>45544</v>
      </c>
      <c r="R1217" s="10">
        <f t="shared" ca="1" si="37"/>
        <v>46229</v>
      </c>
      <c r="S1217" s="7">
        <f t="shared" ca="1" si="38"/>
        <v>1.8767123287671232</v>
      </c>
    </row>
    <row r="1218" spans="1:19" x14ac:dyDescent="0.25">
      <c r="A1218">
        <v>4087434</v>
      </c>
      <c r="B1218" t="s">
        <v>562</v>
      </c>
      <c r="C1218" t="s">
        <v>17</v>
      </c>
      <c r="D1218" s="6" t="s">
        <v>22</v>
      </c>
      <c r="E1218" t="s">
        <v>21</v>
      </c>
      <c r="G1218" s="6" t="s">
        <v>968</v>
      </c>
      <c r="H1218" s="59" t="s">
        <v>1019</v>
      </c>
      <c r="I1218" s="58" t="s">
        <v>1417</v>
      </c>
      <c r="J1218" t="s">
        <v>829</v>
      </c>
      <c r="K1218" t="s">
        <v>830</v>
      </c>
      <c r="L1218" t="s">
        <v>25</v>
      </c>
      <c r="M1218" t="s">
        <v>1163</v>
      </c>
      <c r="N1218" s="57">
        <v>1200</v>
      </c>
      <c r="O1218" t="s">
        <v>100</v>
      </c>
      <c r="P1218" t="s">
        <v>93</v>
      </c>
      <c r="Q1218" s="3">
        <v>45036</v>
      </c>
      <c r="R1218" s="10">
        <f t="shared" ca="1" si="37"/>
        <v>46229</v>
      </c>
      <c r="S1218" s="7">
        <f t="shared" ca="1" si="38"/>
        <v>3.2684931506849315</v>
      </c>
    </row>
    <row r="1219" spans="1:19" x14ac:dyDescent="0.25">
      <c r="A1219">
        <v>4094536</v>
      </c>
      <c r="B1219" t="s">
        <v>577</v>
      </c>
      <c r="C1219" t="s">
        <v>17</v>
      </c>
      <c r="D1219" s="6" t="s">
        <v>22</v>
      </c>
      <c r="E1219" t="s">
        <v>87</v>
      </c>
      <c r="G1219" s="6" t="s">
        <v>968</v>
      </c>
      <c r="H1219" s="59" t="s">
        <v>1019</v>
      </c>
      <c r="I1219" s="58" t="s">
        <v>1417</v>
      </c>
      <c r="J1219" t="s">
        <v>829</v>
      </c>
      <c r="K1219" t="s">
        <v>830</v>
      </c>
      <c r="L1219" t="s">
        <v>25</v>
      </c>
      <c r="M1219" t="s">
        <v>1163</v>
      </c>
      <c r="N1219" s="57">
        <v>1200</v>
      </c>
      <c r="O1219" t="s">
        <v>100</v>
      </c>
      <c r="P1219" t="s">
        <v>93</v>
      </c>
      <c r="Q1219" s="3">
        <v>45162</v>
      </c>
      <c r="R1219" s="10">
        <f t="shared" ref="R1219:R1282" ca="1" si="39">TODAY()</f>
        <v>46229</v>
      </c>
      <c r="S1219" s="7">
        <f t="shared" ca="1" si="38"/>
        <v>2.9232876712328766</v>
      </c>
    </row>
    <row r="1220" spans="1:19" x14ac:dyDescent="0.25">
      <c r="A1220">
        <v>4098421</v>
      </c>
      <c r="B1220" t="s">
        <v>589</v>
      </c>
      <c r="C1220" t="s">
        <v>17</v>
      </c>
      <c r="D1220" s="6" t="s">
        <v>22</v>
      </c>
      <c r="E1220" t="s">
        <v>21</v>
      </c>
      <c r="G1220" s="6" t="s">
        <v>968</v>
      </c>
      <c r="H1220" s="59" t="s">
        <v>1019</v>
      </c>
      <c r="I1220" s="58" t="s">
        <v>1417</v>
      </c>
      <c r="J1220" t="s">
        <v>829</v>
      </c>
      <c r="K1220" t="s">
        <v>830</v>
      </c>
      <c r="L1220" t="s">
        <v>25</v>
      </c>
      <c r="M1220" t="s">
        <v>1163</v>
      </c>
      <c r="N1220" s="57">
        <v>1200</v>
      </c>
      <c r="O1220" t="s">
        <v>100</v>
      </c>
      <c r="P1220" t="s">
        <v>93</v>
      </c>
      <c r="Q1220" s="3">
        <v>45302</v>
      </c>
      <c r="R1220" s="10">
        <f t="shared" ca="1" si="39"/>
        <v>46229</v>
      </c>
      <c r="S1220" s="7">
        <f t="shared" ca="1" si="38"/>
        <v>2.5397260273972604</v>
      </c>
    </row>
    <row r="1221" spans="1:19" x14ac:dyDescent="0.25">
      <c r="A1221">
        <v>4099951</v>
      </c>
      <c r="B1221" t="s">
        <v>596</v>
      </c>
      <c r="C1221" t="s">
        <v>17</v>
      </c>
      <c r="D1221" s="6" t="s">
        <v>22</v>
      </c>
      <c r="E1221" t="s">
        <v>21</v>
      </c>
      <c r="G1221" s="6" t="s">
        <v>968</v>
      </c>
      <c r="H1221" s="59" t="s">
        <v>1019</v>
      </c>
      <c r="I1221" s="58" t="s">
        <v>1417</v>
      </c>
      <c r="J1221" t="s">
        <v>829</v>
      </c>
      <c r="K1221" t="s">
        <v>830</v>
      </c>
      <c r="L1221" t="s">
        <v>25</v>
      </c>
      <c r="M1221" t="s">
        <v>1163</v>
      </c>
      <c r="N1221" s="57">
        <v>1200</v>
      </c>
      <c r="O1221" t="s">
        <v>100</v>
      </c>
      <c r="P1221" t="s">
        <v>93</v>
      </c>
      <c r="Q1221" s="3">
        <v>45411</v>
      </c>
      <c r="R1221" s="10">
        <f t="shared" ca="1" si="39"/>
        <v>46229</v>
      </c>
      <c r="S1221" s="7">
        <f t="shared" ca="1" si="38"/>
        <v>2.2410958904109588</v>
      </c>
    </row>
    <row r="1222" spans="1:19" x14ac:dyDescent="0.25">
      <c r="A1222">
        <v>4099978</v>
      </c>
      <c r="B1222" t="s">
        <v>601</v>
      </c>
      <c r="C1222" t="s">
        <v>17</v>
      </c>
      <c r="D1222" s="6" t="s">
        <v>22</v>
      </c>
      <c r="E1222" t="s">
        <v>21</v>
      </c>
      <c r="G1222" s="6" t="s">
        <v>968</v>
      </c>
      <c r="H1222" s="59" t="s">
        <v>1019</v>
      </c>
      <c r="I1222" s="58" t="s">
        <v>1417</v>
      </c>
      <c r="J1222" t="s">
        <v>829</v>
      </c>
      <c r="K1222" t="s">
        <v>830</v>
      </c>
      <c r="L1222" t="s">
        <v>25</v>
      </c>
      <c r="M1222" t="s">
        <v>1163</v>
      </c>
      <c r="N1222" s="57">
        <v>1200</v>
      </c>
      <c r="O1222" t="s">
        <v>100</v>
      </c>
      <c r="P1222" t="s">
        <v>93</v>
      </c>
      <c r="Q1222" s="3">
        <v>45411</v>
      </c>
      <c r="R1222" s="10">
        <f t="shared" ca="1" si="39"/>
        <v>46229</v>
      </c>
      <c r="S1222" s="7">
        <f t="shared" ca="1" si="38"/>
        <v>2.2410958904109588</v>
      </c>
    </row>
    <row r="1223" spans="1:19" x14ac:dyDescent="0.25">
      <c r="A1223">
        <v>4102035</v>
      </c>
      <c r="B1223" t="s">
        <v>620</v>
      </c>
      <c r="C1223" t="s">
        <v>17</v>
      </c>
      <c r="D1223" s="6" t="s">
        <v>22</v>
      </c>
      <c r="E1223" t="s">
        <v>21</v>
      </c>
      <c r="G1223" s="6" t="s">
        <v>968</v>
      </c>
      <c r="H1223" s="59" t="s">
        <v>1019</v>
      </c>
      <c r="I1223" s="58" t="s">
        <v>1417</v>
      </c>
      <c r="J1223" t="s">
        <v>829</v>
      </c>
      <c r="K1223" t="s">
        <v>830</v>
      </c>
      <c r="L1223" t="s">
        <v>25</v>
      </c>
      <c r="M1223" t="s">
        <v>1163</v>
      </c>
      <c r="N1223" s="57">
        <v>1200</v>
      </c>
      <c r="O1223" t="s">
        <v>100</v>
      </c>
      <c r="P1223" t="s">
        <v>93</v>
      </c>
      <c r="Q1223" s="3">
        <v>45467</v>
      </c>
      <c r="R1223" s="10">
        <f t="shared" ca="1" si="39"/>
        <v>46229</v>
      </c>
      <c r="S1223" s="7">
        <f t="shared" ca="1" si="38"/>
        <v>2.0876712328767124</v>
      </c>
    </row>
    <row r="1224" spans="1:19" x14ac:dyDescent="0.25">
      <c r="A1224">
        <v>4102670</v>
      </c>
      <c r="B1224" t="s">
        <v>628</v>
      </c>
      <c r="C1224" t="s">
        <v>17</v>
      </c>
      <c r="D1224" s="6" t="s">
        <v>22</v>
      </c>
      <c r="E1224" t="s">
        <v>21</v>
      </c>
      <c r="G1224" s="6" t="s">
        <v>968</v>
      </c>
      <c r="H1224" s="59" t="s">
        <v>1019</v>
      </c>
      <c r="I1224" s="58" t="s">
        <v>1417</v>
      </c>
      <c r="J1224" t="s">
        <v>829</v>
      </c>
      <c r="K1224" t="s">
        <v>830</v>
      </c>
      <c r="L1224" t="s">
        <v>25</v>
      </c>
      <c r="M1224" t="s">
        <v>1163</v>
      </c>
      <c r="N1224" s="57">
        <v>1200</v>
      </c>
      <c r="O1224" t="s">
        <v>100</v>
      </c>
      <c r="P1224" t="s">
        <v>93</v>
      </c>
      <c r="Q1224" s="3">
        <v>45481</v>
      </c>
      <c r="R1224" s="10">
        <f t="shared" ca="1" si="39"/>
        <v>46229</v>
      </c>
      <c r="S1224" s="7">
        <f t="shared" ca="1" si="38"/>
        <v>2.0493150684931507</v>
      </c>
    </row>
    <row r="1225" spans="1:19" x14ac:dyDescent="0.25">
      <c r="A1225">
        <v>4102739</v>
      </c>
      <c r="B1225" t="s">
        <v>629</v>
      </c>
      <c r="C1225" t="s">
        <v>17</v>
      </c>
      <c r="D1225" s="6" t="s">
        <v>22</v>
      </c>
      <c r="E1225" t="s">
        <v>21</v>
      </c>
      <c r="G1225" s="6" t="s">
        <v>968</v>
      </c>
      <c r="H1225" s="59" t="s">
        <v>1019</v>
      </c>
      <c r="I1225" s="58" t="s">
        <v>1417</v>
      </c>
      <c r="J1225" t="s">
        <v>829</v>
      </c>
      <c r="K1225" t="s">
        <v>830</v>
      </c>
      <c r="L1225" t="s">
        <v>25</v>
      </c>
      <c r="M1225" t="s">
        <v>1163</v>
      </c>
      <c r="N1225" s="57">
        <v>1200</v>
      </c>
      <c r="O1225" t="s">
        <v>100</v>
      </c>
      <c r="P1225" t="s">
        <v>93</v>
      </c>
      <c r="Q1225" s="3">
        <v>45484</v>
      </c>
      <c r="R1225" s="10">
        <f t="shared" ca="1" si="39"/>
        <v>46229</v>
      </c>
      <c r="S1225" s="7">
        <f t="shared" ca="1" si="38"/>
        <v>2.0410958904109591</v>
      </c>
    </row>
    <row r="1226" spans="1:19" x14ac:dyDescent="0.25">
      <c r="A1226">
        <v>4103036</v>
      </c>
      <c r="B1226" t="s">
        <v>632</v>
      </c>
      <c r="C1226" t="s">
        <v>17</v>
      </c>
      <c r="D1226" s="6" t="s">
        <v>22</v>
      </c>
      <c r="E1226" t="s">
        <v>21</v>
      </c>
      <c r="G1226" s="6" t="s">
        <v>968</v>
      </c>
      <c r="H1226" s="59" t="s">
        <v>1019</v>
      </c>
      <c r="I1226" s="58" t="s">
        <v>1417</v>
      </c>
      <c r="J1226" t="s">
        <v>829</v>
      </c>
      <c r="K1226" t="s">
        <v>830</v>
      </c>
      <c r="L1226" t="s">
        <v>25</v>
      </c>
      <c r="M1226" t="s">
        <v>1163</v>
      </c>
      <c r="N1226" s="57">
        <v>1200</v>
      </c>
      <c r="O1226" t="s">
        <v>100</v>
      </c>
      <c r="P1226" t="s">
        <v>93</v>
      </c>
      <c r="Q1226" s="3">
        <v>45495</v>
      </c>
      <c r="R1226" s="10">
        <f t="shared" ca="1" si="39"/>
        <v>46229</v>
      </c>
      <c r="S1226" s="7">
        <f t="shared" ca="1" si="38"/>
        <v>2.010958904109589</v>
      </c>
    </row>
    <row r="1227" spans="1:19" x14ac:dyDescent="0.25">
      <c r="A1227">
        <v>4106227</v>
      </c>
      <c r="B1227" t="s">
        <v>660</v>
      </c>
      <c r="C1227" t="s">
        <v>17</v>
      </c>
      <c r="D1227" s="6" t="s">
        <v>22</v>
      </c>
      <c r="E1227" t="s">
        <v>21</v>
      </c>
      <c r="G1227" s="6" t="s">
        <v>968</v>
      </c>
      <c r="H1227" s="59" t="s">
        <v>1019</v>
      </c>
      <c r="I1227" s="58" t="s">
        <v>1417</v>
      </c>
      <c r="J1227" t="s">
        <v>829</v>
      </c>
      <c r="K1227" t="s">
        <v>830</v>
      </c>
      <c r="L1227" t="s">
        <v>25</v>
      </c>
      <c r="M1227" t="s">
        <v>1163</v>
      </c>
      <c r="N1227" s="57">
        <v>1200</v>
      </c>
      <c r="O1227" t="s">
        <v>100</v>
      </c>
      <c r="P1227" t="s">
        <v>20</v>
      </c>
      <c r="Q1227" s="3">
        <v>45575</v>
      </c>
      <c r="R1227" s="10">
        <f t="shared" ca="1" si="39"/>
        <v>46229</v>
      </c>
      <c r="S1227" s="7">
        <f t="shared" ca="1" si="38"/>
        <v>1.7917808219178082</v>
      </c>
    </row>
    <row r="1228" spans="1:19" x14ac:dyDescent="0.25">
      <c r="A1228">
        <v>4109758</v>
      </c>
      <c r="B1228" t="s">
        <v>670</v>
      </c>
      <c r="C1228" t="s">
        <v>17</v>
      </c>
      <c r="D1228" s="6" t="s">
        <v>22</v>
      </c>
      <c r="E1228" t="s">
        <v>21</v>
      </c>
      <c r="G1228" s="6" t="s">
        <v>968</v>
      </c>
      <c r="H1228" s="59" t="s">
        <v>1019</v>
      </c>
      <c r="I1228" s="58" t="s">
        <v>1417</v>
      </c>
      <c r="J1228" t="s">
        <v>829</v>
      </c>
      <c r="K1228" t="s">
        <v>830</v>
      </c>
      <c r="L1228" t="s">
        <v>25</v>
      </c>
      <c r="M1228" t="s">
        <v>1163</v>
      </c>
      <c r="N1228" s="57">
        <v>1200</v>
      </c>
      <c r="O1228" t="s">
        <v>100</v>
      </c>
      <c r="P1228" t="s">
        <v>93</v>
      </c>
      <c r="Q1228" s="3">
        <v>45670</v>
      </c>
      <c r="R1228" s="10">
        <f t="shared" ca="1" si="39"/>
        <v>46229</v>
      </c>
      <c r="S1228" s="7">
        <f t="shared" ca="1" si="38"/>
        <v>1.5315068493150685</v>
      </c>
    </row>
    <row r="1229" spans="1:19" x14ac:dyDescent="0.25">
      <c r="A1229">
        <v>4112487</v>
      </c>
      <c r="B1229" t="s">
        <v>679</v>
      </c>
      <c r="C1229" t="s">
        <v>17</v>
      </c>
      <c r="D1229" s="6" t="s">
        <v>22</v>
      </c>
      <c r="E1229" t="s">
        <v>21</v>
      </c>
      <c r="G1229" s="6" t="s">
        <v>968</v>
      </c>
      <c r="H1229" s="59" t="s">
        <v>1019</v>
      </c>
      <c r="I1229" s="58" t="s">
        <v>1417</v>
      </c>
      <c r="J1229" t="s">
        <v>829</v>
      </c>
      <c r="K1229" t="s">
        <v>830</v>
      </c>
      <c r="L1229" t="s">
        <v>25</v>
      </c>
      <c r="M1229" t="s">
        <v>1163</v>
      </c>
      <c r="N1229" s="57">
        <v>1200</v>
      </c>
      <c r="O1229" t="s">
        <v>100</v>
      </c>
      <c r="P1229" t="s">
        <v>93</v>
      </c>
      <c r="Q1229" s="3">
        <v>45698</v>
      </c>
      <c r="R1229" s="10">
        <f t="shared" ca="1" si="39"/>
        <v>46229</v>
      </c>
      <c r="S1229" s="7">
        <f t="shared" ca="1" si="38"/>
        <v>1.4547945205479451</v>
      </c>
    </row>
    <row r="1230" spans="1:19" x14ac:dyDescent="0.25">
      <c r="A1230">
        <v>4113309</v>
      </c>
      <c r="B1230" t="s">
        <v>689</v>
      </c>
      <c r="C1230" t="s">
        <v>17</v>
      </c>
      <c r="D1230" s="6" t="s">
        <v>22</v>
      </c>
      <c r="E1230" t="s">
        <v>21</v>
      </c>
      <c r="G1230" s="6" t="s">
        <v>968</v>
      </c>
      <c r="H1230" s="59" t="s">
        <v>1019</v>
      </c>
      <c r="I1230" s="58" t="s">
        <v>1417</v>
      </c>
      <c r="J1230" t="s">
        <v>829</v>
      </c>
      <c r="K1230" t="s">
        <v>830</v>
      </c>
      <c r="L1230" t="s">
        <v>25</v>
      </c>
      <c r="M1230" t="s">
        <v>1163</v>
      </c>
      <c r="N1230" s="57">
        <v>1200</v>
      </c>
      <c r="O1230" t="s">
        <v>100</v>
      </c>
      <c r="P1230" t="s">
        <v>93</v>
      </c>
      <c r="Q1230" s="3">
        <v>45734</v>
      </c>
      <c r="R1230" s="10">
        <f t="shared" ca="1" si="39"/>
        <v>46229</v>
      </c>
      <c r="S1230" s="7">
        <f t="shared" ca="1" si="38"/>
        <v>1.3561643835616439</v>
      </c>
    </row>
    <row r="1231" spans="1:19" x14ac:dyDescent="0.25">
      <c r="A1231">
        <v>4121670</v>
      </c>
      <c r="B1231" t="s">
        <v>1134</v>
      </c>
      <c r="C1231" t="s">
        <v>17</v>
      </c>
      <c r="D1231" s="6" t="s">
        <v>22</v>
      </c>
      <c r="E1231" t="s">
        <v>21</v>
      </c>
      <c r="G1231" s="6" t="s">
        <v>968</v>
      </c>
      <c r="H1231" s="59" t="s">
        <v>1019</v>
      </c>
      <c r="I1231" s="58" t="s">
        <v>1417</v>
      </c>
      <c r="J1231" t="s">
        <v>829</v>
      </c>
      <c r="K1231" t="s">
        <v>830</v>
      </c>
      <c r="L1231" t="s">
        <v>25</v>
      </c>
      <c r="M1231" t="s">
        <v>1163</v>
      </c>
      <c r="N1231" s="57">
        <v>1200</v>
      </c>
      <c r="O1231" t="s">
        <v>100</v>
      </c>
      <c r="P1231" t="s">
        <v>93</v>
      </c>
      <c r="Q1231" s="3">
        <v>46086</v>
      </c>
      <c r="R1231" s="10">
        <f t="shared" ca="1" si="39"/>
        <v>46229</v>
      </c>
      <c r="S1231" s="7">
        <f t="shared" ca="1" si="38"/>
        <v>0.39178082191780822</v>
      </c>
    </row>
    <row r="1232" spans="1:19" x14ac:dyDescent="0.25">
      <c r="A1232">
        <v>4121671</v>
      </c>
      <c r="B1232" t="s">
        <v>1135</v>
      </c>
      <c r="C1232" t="s">
        <v>17</v>
      </c>
      <c r="D1232" s="6" t="s">
        <v>22</v>
      </c>
      <c r="E1232" t="s">
        <v>21</v>
      </c>
      <c r="G1232" s="6" t="s">
        <v>968</v>
      </c>
      <c r="H1232" s="59" t="s">
        <v>1019</v>
      </c>
      <c r="I1232" s="58" t="s">
        <v>1417</v>
      </c>
      <c r="J1232" t="s">
        <v>829</v>
      </c>
      <c r="K1232" t="s">
        <v>830</v>
      </c>
      <c r="L1232" t="s">
        <v>25</v>
      </c>
      <c r="M1232" t="s">
        <v>1163</v>
      </c>
      <c r="N1232" s="57">
        <v>1200</v>
      </c>
      <c r="O1232" t="s">
        <v>100</v>
      </c>
      <c r="P1232" t="s">
        <v>93</v>
      </c>
      <c r="Q1232" s="3">
        <v>46086</v>
      </c>
      <c r="R1232" s="10">
        <f t="shared" ca="1" si="39"/>
        <v>46229</v>
      </c>
      <c r="S1232" s="7">
        <f t="shared" ca="1" si="38"/>
        <v>0.39178082191780822</v>
      </c>
    </row>
    <row r="1233" spans="1:19" x14ac:dyDescent="0.25">
      <c r="A1233">
        <v>4121675</v>
      </c>
      <c r="B1233" t="s">
        <v>1138</v>
      </c>
      <c r="C1233" t="s">
        <v>17</v>
      </c>
      <c r="D1233" s="6" t="s">
        <v>22</v>
      </c>
      <c r="E1233" t="s">
        <v>21</v>
      </c>
      <c r="G1233" s="6" t="s">
        <v>968</v>
      </c>
      <c r="H1233" s="59" t="s">
        <v>1019</v>
      </c>
      <c r="I1233" s="58" t="s">
        <v>1417</v>
      </c>
      <c r="J1233" t="s">
        <v>829</v>
      </c>
      <c r="K1233" t="s">
        <v>830</v>
      </c>
      <c r="L1233" t="s">
        <v>25</v>
      </c>
      <c r="M1233" t="s">
        <v>1163</v>
      </c>
      <c r="N1233" s="57">
        <v>1200</v>
      </c>
      <c r="O1233" t="s">
        <v>100</v>
      </c>
      <c r="P1233" t="s">
        <v>93</v>
      </c>
      <c r="Q1233" s="3">
        <v>46086</v>
      </c>
      <c r="R1233" s="10">
        <f t="shared" ca="1" si="39"/>
        <v>46229</v>
      </c>
      <c r="S1233" s="7">
        <f t="shared" ca="1" si="38"/>
        <v>0.39178082191780822</v>
      </c>
    </row>
    <row r="1234" spans="1:19" x14ac:dyDescent="0.25">
      <c r="A1234">
        <v>4121719</v>
      </c>
      <c r="B1234" t="s">
        <v>1142</v>
      </c>
      <c r="C1234" t="s">
        <v>17</v>
      </c>
      <c r="D1234" s="6" t="s">
        <v>22</v>
      </c>
      <c r="E1234" t="s">
        <v>21</v>
      </c>
      <c r="G1234" s="6" t="s">
        <v>968</v>
      </c>
      <c r="H1234" s="59" t="s">
        <v>1019</v>
      </c>
      <c r="I1234" s="58" t="s">
        <v>1417</v>
      </c>
      <c r="J1234" t="s">
        <v>829</v>
      </c>
      <c r="K1234" t="s">
        <v>830</v>
      </c>
      <c r="L1234" t="s">
        <v>25</v>
      </c>
      <c r="M1234" t="s">
        <v>1163</v>
      </c>
      <c r="N1234" s="57">
        <v>1200</v>
      </c>
      <c r="O1234" t="s">
        <v>100</v>
      </c>
      <c r="P1234" t="s">
        <v>93</v>
      </c>
      <c r="Q1234" s="3">
        <v>46086</v>
      </c>
      <c r="R1234" s="10">
        <f t="shared" ca="1" si="39"/>
        <v>46229</v>
      </c>
      <c r="S1234" s="7">
        <f t="shared" ca="1" si="38"/>
        <v>0.39178082191780822</v>
      </c>
    </row>
    <row r="1235" spans="1:19" x14ac:dyDescent="0.25">
      <c r="A1235">
        <v>4121722</v>
      </c>
      <c r="B1235" t="s">
        <v>1144</v>
      </c>
      <c r="C1235" t="s">
        <v>17</v>
      </c>
      <c r="D1235" s="6" t="s">
        <v>22</v>
      </c>
      <c r="E1235" t="s">
        <v>21</v>
      </c>
      <c r="G1235" s="6" t="s">
        <v>968</v>
      </c>
      <c r="H1235" s="59" t="s">
        <v>1019</v>
      </c>
      <c r="I1235" s="58" t="s">
        <v>1417</v>
      </c>
      <c r="J1235" t="s">
        <v>829</v>
      </c>
      <c r="K1235" t="s">
        <v>830</v>
      </c>
      <c r="L1235" t="s">
        <v>25</v>
      </c>
      <c r="M1235" t="s">
        <v>1163</v>
      </c>
      <c r="N1235" s="57">
        <v>1200</v>
      </c>
      <c r="O1235" t="s">
        <v>100</v>
      </c>
      <c r="P1235" t="s">
        <v>93</v>
      </c>
      <c r="Q1235" s="3">
        <v>46086</v>
      </c>
      <c r="R1235" s="10">
        <f t="shared" ca="1" si="39"/>
        <v>46229</v>
      </c>
      <c r="S1235" s="7">
        <f t="shared" ca="1" si="38"/>
        <v>0.39178082191780822</v>
      </c>
    </row>
    <row r="1236" spans="1:19" x14ac:dyDescent="0.25">
      <c r="A1236">
        <v>4122393</v>
      </c>
      <c r="B1236" t="s">
        <v>1187</v>
      </c>
      <c r="C1236" t="s">
        <v>1044</v>
      </c>
      <c r="D1236" s="6" t="s">
        <v>22</v>
      </c>
      <c r="E1236" t="s">
        <v>21</v>
      </c>
      <c r="G1236" s="6" t="s">
        <v>968</v>
      </c>
      <c r="H1236" s="59" t="s">
        <v>1019</v>
      </c>
      <c r="I1236" s="58" t="s">
        <v>1417</v>
      </c>
      <c r="J1236" t="s">
        <v>829</v>
      </c>
      <c r="K1236" t="s">
        <v>830</v>
      </c>
      <c r="L1236" t="s">
        <v>25</v>
      </c>
      <c r="M1236" t="s">
        <v>1163</v>
      </c>
      <c r="N1236" s="57">
        <v>1200</v>
      </c>
      <c r="O1236" t="s">
        <v>100</v>
      </c>
      <c r="P1236" t="s">
        <v>93</v>
      </c>
      <c r="Q1236" s="3">
        <v>46107</v>
      </c>
      <c r="R1236" s="10">
        <f t="shared" ca="1" si="39"/>
        <v>46229</v>
      </c>
      <c r="S1236" s="7">
        <f t="shared" ca="1" si="38"/>
        <v>0.33424657534246577</v>
      </c>
    </row>
    <row r="1237" spans="1:19" x14ac:dyDescent="0.25">
      <c r="A1237">
        <v>4122512</v>
      </c>
      <c r="B1237" t="s">
        <v>1216</v>
      </c>
      <c r="C1237" t="s">
        <v>1044</v>
      </c>
      <c r="D1237" s="6" t="s">
        <v>22</v>
      </c>
      <c r="E1237" t="s">
        <v>21</v>
      </c>
      <c r="G1237" s="6" t="s">
        <v>968</v>
      </c>
      <c r="H1237" s="59" t="s">
        <v>1019</v>
      </c>
      <c r="I1237" s="58" t="s">
        <v>1417</v>
      </c>
      <c r="J1237" t="s">
        <v>829</v>
      </c>
      <c r="K1237" t="s">
        <v>830</v>
      </c>
      <c r="L1237" t="s">
        <v>25</v>
      </c>
      <c r="M1237" t="s">
        <v>1163</v>
      </c>
      <c r="N1237" s="57">
        <v>1200</v>
      </c>
      <c r="O1237" t="s">
        <v>100</v>
      </c>
      <c r="P1237" t="s">
        <v>93</v>
      </c>
      <c r="Q1237" s="3">
        <v>46111</v>
      </c>
      <c r="R1237" s="10">
        <f t="shared" ca="1" si="39"/>
        <v>46229</v>
      </c>
      <c r="S1237" s="7">
        <f t="shared" ca="1" si="38"/>
        <v>0.32328767123287672</v>
      </c>
    </row>
    <row r="1238" spans="1:19" x14ac:dyDescent="0.25">
      <c r="A1238">
        <v>4122761</v>
      </c>
      <c r="B1238" t="s">
        <v>1299</v>
      </c>
      <c r="C1238" t="s">
        <v>1044</v>
      </c>
      <c r="D1238" s="6" t="s">
        <v>22</v>
      </c>
      <c r="E1238" t="s">
        <v>21</v>
      </c>
      <c r="G1238" s="6" t="s">
        <v>968</v>
      </c>
      <c r="H1238" s="59" t="s">
        <v>1019</v>
      </c>
      <c r="I1238" s="58" t="s">
        <v>1417</v>
      </c>
      <c r="J1238" t="s">
        <v>829</v>
      </c>
      <c r="K1238" t="s">
        <v>830</v>
      </c>
      <c r="L1238" t="s">
        <v>25</v>
      </c>
      <c r="M1238" t="s">
        <v>1163</v>
      </c>
      <c r="N1238" s="57">
        <v>1200</v>
      </c>
      <c r="O1238" t="s">
        <v>100</v>
      </c>
      <c r="P1238" t="s">
        <v>93</v>
      </c>
      <c r="Q1238" s="3">
        <v>46121</v>
      </c>
      <c r="R1238" s="10">
        <f t="shared" ca="1" si="39"/>
        <v>46229</v>
      </c>
      <c r="S1238" s="7">
        <f t="shared" ca="1" si="38"/>
        <v>0.29589041095890412</v>
      </c>
    </row>
    <row r="1239" spans="1:19" x14ac:dyDescent="0.25">
      <c r="A1239">
        <v>4122762</v>
      </c>
      <c r="B1239" t="s">
        <v>1300</v>
      </c>
      <c r="C1239" t="s">
        <v>1044</v>
      </c>
      <c r="D1239" s="6" t="s">
        <v>22</v>
      </c>
      <c r="E1239" t="s">
        <v>21</v>
      </c>
      <c r="G1239" s="6" t="s">
        <v>968</v>
      </c>
      <c r="H1239" s="59" t="s">
        <v>1019</v>
      </c>
      <c r="I1239" s="58" t="s">
        <v>1417</v>
      </c>
      <c r="J1239" t="s">
        <v>829</v>
      </c>
      <c r="K1239" t="s">
        <v>830</v>
      </c>
      <c r="L1239" t="s">
        <v>25</v>
      </c>
      <c r="M1239" t="s">
        <v>1163</v>
      </c>
      <c r="N1239" s="57">
        <v>1200</v>
      </c>
      <c r="O1239" t="s">
        <v>100</v>
      </c>
      <c r="P1239" t="s">
        <v>93</v>
      </c>
      <c r="Q1239" s="3">
        <v>46121</v>
      </c>
      <c r="R1239" s="10">
        <f t="shared" ca="1" si="39"/>
        <v>46229</v>
      </c>
      <c r="S1239" s="7">
        <f t="shared" ca="1" si="38"/>
        <v>0.29589041095890412</v>
      </c>
    </row>
    <row r="1240" spans="1:19" x14ac:dyDescent="0.25">
      <c r="A1240">
        <v>4122765</v>
      </c>
      <c r="B1240" t="s">
        <v>1302</v>
      </c>
      <c r="C1240" t="s">
        <v>1044</v>
      </c>
      <c r="D1240" s="6" t="s">
        <v>22</v>
      </c>
      <c r="E1240" t="s">
        <v>21</v>
      </c>
      <c r="G1240" s="6" t="s">
        <v>968</v>
      </c>
      <c r="H1240" s="59" t="s">
        <v>1019</v>
      </c>
      <c r="I1240" s="58" t="s">
        <v>1417</v>
      </c>
      <c r="J1240" t="s">
        <v>829</v>
      </c>
      <c r="K1240" t="s">
        <v>830</v>
      </c>
      <c r="L1240" t="s">
        <v>25</v>
      </c>
      <c r="M1240" t="s">
        <v>1163</v>
      </c>
      <c r="N1240" s="57">
        <v>1200</v>
      </c>
      <c r="O1240" t="s">
        <v>100</v>
      </c>
      <c r="P1240" t="s">
        <v>93</v>
      </c>
      <c r="Q1240" s="3">
        <v>46121</v>
      </c>
      <c r="R1240" s="10">
        <f t="shared" ca="1" si="39"/>
        <v>46229</v>
      </c>
      <c r="S1240" s="7">
        <f t="shared" ca="1" si="38"/>
        <v>0.29589041095890412</v>
      </c>
    </row>
    <row r="1241" spans="1:19" x14ac:dyDescent="0.25">
      <c r="A1241">
        <v>4122797</v>
      </c>
      <c r="B1241" t="s">
        <v>1322</v>
      </c>
      <c r="C1241" t="s">
        <v>1044</v>
      </c>
      <c r="D1241" s="6" t="s">
        <v>22</v>
      </c>
      <c r="E1241" t="s">
        <v>21</v>
      </c>
      <c r="G1241" s="6" t="s">
        <v>968</v>
      </c>
      <c r="H1241" s="59" t="s">
        <v>1019</v>
      </c>
      <c r="I1241" s="58" t="s">
        <v>1417</v>
      </c>
      <c r="J1241" t="s">
        <v>829</v>
      </c>
      <c r="K1241" t="s">
        <v>830</v>
      </c>
      <c r="L1241" t="s">
        <v>25</v>
      </c>
      <c r="M1241" t="s">
        <v>1163</v>
      </c>
      <c r="N1241" s="57">
        <v>1200</v>
      </c>
      <c r="O1241" t="s">
        <v>100</v>
      </c>
      <c r="P1241" t="s">
        <v>93</v>
      </c>
      <c r="Q1241" s="3">
        <v>46121</v>
      </c>
      <c r="R1241" s="10">
        <f t="shared" ca="1" si="39"/>
        <v>46229</v>
      </c>
      <c r="S1241" s="7">
        <f t="shared" ca="1" si="38"/>
        <v>0.29589041095890412</v>
      </c>
    </row>
    <row r="1242" spans="1:19" x14ac:dyDescent="0.25">
      <c r="A1242">
        <v>4122798</v>
      </c>
      <c r="B1242" t="s">
        <v>1323</v>
      </c>
      <c r="C1242" t="s">
        <v>1044</v>
      </c>
      <c r="D1242" s="6" t="s">
        <v>22</v>
      </c>
      <c r="E1242" t="s">
        <v>21</v>
      </c>
      <c r="G1242" s="6" t="s">
        <v>968</v>
      </c>
      <c r="H1242" s="59" t="s">
        <v>1019</v>
      </c>
      <c r="I1242" s="58" t="s">
        <v>1417</v>
      </c>
      <c r="J1242" t="s">
        <v>829</v>
      </c>
      <c r="K1242" t="s">
        <v>830</v>
      </c>
      <c r="L1242" t="s">
        <v>25</v>
      </c>
      <c r="M1242" t="s">
        <v>1163</v>
      </c>
      <c r="N1242" s="57">
        <v>1200</v>
      </c>
      <c r="O1242" t="s">
        <v>100</v>
      </c>
      <c r="P1242" t="s">
        <v>93</v>
      </c>
      <c r="Q1242" s="3">
        <v>46121</v>
      </c>
      <c r="R1242" s="10">
        <f t="shared" ca="1" si="39"/>
        <v>46229</v>
      </c>
      <c r="S1242" s="7">
        <f t="shared" ca="1" si="38"/>
        <v>0.29589041095890412</v>
      </c>
    </row>
    <row r="1243" spans="1:19" x14ac:dyDescent="0.25">
      <c r="A1243">
        <v>4122800</v>
      </c>
      <c r="B1243" t="s">
        <v>1324</v>
      </c>
      <c r="C1243" t="s">
        <v>1044</v>
      </c>
      <c r="D1243" s="6" t="s">
        <v>22</v>
      </c>
      <c r="E1243" t="s">
        <v>21</v>
      </c>
      <c r="G1243" s="6" t="s">
        <v>968</v>
      </c>
      <c r="H1243" s="59" t="s">
        <v>1019</v>
      </c>
      <c r="I1243" s="58" t="s">
        <v>1417</v>
      </c>
      <c r="J1243" t="s">
        <v>829</v>
      </c>
      <c r="K1243" t="s">
        <v>830</v>
      </c>
      <c r="L1243" t="s">
        <v>25</v>
      </c>
      <c r="M1243" t="s">
        <v>1163</v>
      </c>
      <c r="N1243" s="57">
        <v>1200</v>
      </c>
      <c r="O1243" t="s">
        <v>100</v>
      </c>
      <c r="P1243" t="s">
        <v>93</v>
      </c>
      <c r="Q1243" s="3">
        <v>46121</v>
      </c>
      <c r="R1243" s="10">
        <f t="shared" ca="1" si="39"/>
        <v>46229</v>
      </c>
      <c r="S1243" s="7">
        <f t="shared" ca="1" si="38"/>
        <v>0.29589041095890412</v>
      </c>
    </row>
    <row r="1244" spans="1:19" x14ac:dyDescent="0.25">
      <c r="A1244">
        <v>4122870</v>
      </c>
      <c r="B1244" t="s">
        <v>1374</v>
      </c>
      <c r="C1244" t="s">
        <v>1044</v>
      </c>
      <c r="D1244" s="6" t="s">
        <v>22</v>
      </c>
      <c r="E1244" t="s">
        <v>21</v>
      </c>
      <c r="G1244" s="6" t="s">
        <v>968</v>
      </c>
      <c r="H1244" s="59" t="s">
        <v>1019</v>
      </c>
      <c r="I1244" s="58" t="s">
        <v>1417</v>
      </c>
      <c r="J1244" t="s">
        <v>829</v>
      </c>
      <c r="K1244" t="s">
        <v>830</v>
      </c>
      <c r="L1244" t="s">
        <v>25</v>
      </c>
      <c r="M1244" t="s">
        <v>1163</v>
      </c>
      <c r="N1244" s="57">
        <v>1200</v>
      </c>
      <c r="O1244" t="s">
        <v>100</v>
      </c>
      <c r="P1244" t="s">
        <v>93</v>
      </c>
      <c r="Q1244" s="3">
        <v>46125</v>
      </c>
      <c r="R1244" s="10">
        <f t="shared" ca="1" si="39"/>
        <v>46229</v>
      </c>
      <c r="S1244" s="7">
        <f t="shared" ca="1" si="38"/>
        <v>0.28493150684931506</v>
      </c>
    </row>
    <row r="1245" spans="1:19" x14ac:dyDescent="0.25">
      <c r="A1245">
        <v>4122884</v>
      </c>
      <c r="B1245" t="s">
        <v>1383</v>
      </c>
      <c r="C1245" t="s">
        <v>1044</v>
      </c>
      <c r="D1245" s="6" t="s">
        <v>22</v>
      </c>
      <c r="E1245" t="s">
        <v>21</v>
      </c>
      <c r="G1245" s="6" t="s">
        <v>968</v>
      </c>
      <c r="H1245" s="59" t="s">
        <v>1019</v>
      </c>
      <c r="I1245" s="58" t="s">
        <v>1417</v>
      </c>
      <c r="J1245" t="s">
        <v>829</v>
      </c>
      <c r="K1245" t="s">
        <v>830</v>
      </c>
      <c r="L1245" t="s">
        <v>25</v>
      </c>
      <c r="M1245" t="s">
        <v>1163</v>
      </c>
      <c r="N1245" s="57">
        <v>1200</v>
      </c>
      <c r="O1245" t="s">
        <v>100</v>
      </c>
      <c r="P1245" t="s">
        <v>93</v>
      </c>
      <c r="Q1245" s="3">
        <v>46125</v>
      </c>
      <c r="R1245" s="10">
        <f t="shared" ca="1" si="39"/>
        <v>46229</v>
      </c>
      <c r="S1245" s="7">
        <f t="shared" ca="1" si="38"/>
        <v>0.28493150684931506</v>
      </c>
    </row>
    <row r="1246" spans="1:19" x14ac:dyDescent="0.25">
      <c r="A1246">
        <v>4122909</v>
      </c>
      <c r="B1246" t="s">
        <v>1390</v>
      </c>
      <c r="C1246" t="s">
        <v>1044</v>
      </c>
      <c r="D1246" s="6" t="s">
        <v>22</v>
      </c>
      <c r="E1246" t="s">
        <v>21</v>
      </c>
      <c r="G1246" s="6" t="s">
        <v>968</v>
      </c>
      <c r="H1246" s="59" t="s">
        <v>1019</v>
      </c>
      <c r="I1246" s="58" t="s">
        <v>1417</v>
      </c>
      <c r="J1246" t="s">
        <v>829</v>
      </c>
      <c r="K1246" t="s">
        <v>830</v>
      </c>
      <c r="L1246" t="s">
        <v>25</v>
      </c>
      <c r="M1246" t="s">
        <v>1163</v>
      </c>
      <c r="N1246" s="57">
        <v>1200</v>
      </c>
      <c r="O1246" t="s">
        <v>100</v>
      </c>
      <c r="P1246" t="s">
        <v>93</v>
      </c>
      <c r="Q1246" s="3">
        <v>46125</v>
      </c>
      <c r="R1246" s="10">
        <f t="shared" ca="1" si="39"/>
        <v>46229</v>
      </c>
      <c r="S1246" s="7">
        <f t="shared" ca="1" si="38"/>
        <v>0.28493150684931506</v>
      </c>
    </row>
    <row r="1247" spans="1:19" x14ac:dyDescent="0.25">
      <c r="A1247">
        <v>4124201</v>
      </c>
      <c r="B1247" t="s">
        <v>1666</v>
      </c>
      <c r="C1247" t="s">
        <v>1044</v>
      </c>
      <c r="D1247" s="6" t="s">
        <v>22</v>
      </c>
      <c r="E1247" t="s">
        <v>21</v>
      </c>
      <c r="G1247" s="6" t="s">
        <v>968</v>
      </c>
      <c r="H1247" s="59" t="s">
        <v>1019</v>
      </c>
      <c r="I1247" s="58" t="s">
        <v>1417</v>
      </c>
      <c r="J1247" t="s">
        <v>829</v>
      </c>
      <c r="K1247" t="s">
        <v>830</v>
      </c>
      <c r="L1247" t="s">
        <v>25</v>
      </c>
      <c r="M1247" t="s">
        <v>1163</v>
      </c>
      <c r="N1247" s="57">
        <v>1200</v>
      </c>
      <c r="O1247" t="s">
        <v>100</v>
      </c>
      <c r="P1247" t="s">
        <v>93</v>
      </c>
      <c r="Q1247" s="3">
        <v>46170</v>
      </c>
      <c r="R1247" s="10">
        <f t="shared" ca="1" si="39"/>
        <v>46229</v>
      </c>
      <c r="S1247" s="7">
        <f t="shared" ca="1" si="38"/>
        <v>0.16164383561643836</v>
      </c>
    </row>
    <row r="1248" spans="1:19" x14ac:dyDescent="0.25">
      <c r="A1248">
        <v>4124237</v>
      </c>
      <c r="B1248" t="s">
        <v>1694</v>
      </c>
      <c r="C1248" t="s">
        <v>1044</v>
      </c>
      <c r="D1248" s="6" t="s">
        <v>22</v>
      </c>
      <c r="E1248" t="s">
        <v>21</v>
      </c>
      <c r="G1248" s="6" t="s">
        <v>968</v>
      </c>
      <c r="H1248" s="59" t="s">
        <v>1019</v>
      </c>
      <c r="I1248" s="58" t="s">
        <v>1417</v>
      </c>
      <c r="J1248" t="s">
        <v>829</v>
      </c>
      <c r="K1248" t="s">
        <v>830</v>
      </c>
      <c r="L1248" t="s">
        <v>25</v>
      </c>
      <c r="M1248" t="s">
        <v>1163</v>
      </c>
      <c r="N1248" s="57">
        <v>1200</v>
      </c>
      <c r="O1248" t="s">
        <v>100</v>
      </c>
      <c r="P1248" t="s">
        <v>93</v>
      </c>
      <c r="Q1248" s="3">
        <v>46170</v>
      </c>
      <c r="R1248" s="10">
        <f t="shared" ca="1" si="39"/>
        <v>46229</v>
      </c>
      <c r="S1248" s="7">
        <f t="shared" ca="1" si="38"/>
        <v>0.16164383561643836</v>
      </c>
    </row>
    <row r="1249" spans="1:19" x14ac:dyDescent="0.25">
      <c r="A1249">
        <v>4124238</v>
      </c>
      <c r="B1249" t="s">
        <v>1695</v>
      </c>
      <c r="C1249" t="s">
        <v>1044</v>
      </c>
      <c r="D1249" s="6" t="s">
        <v>22</v>
      </c>
      <c r="E1249" t="s">
        <v>21</v>
      </c>
      <c r="G1249" s="6" t="s">
        <v>968</v>
      </c>
      <c r="H1249" s="59" t="s">
        <v>1019</v>
      </c>
      <c r="I1249" s="58" t="s">
        <v>1417</v>
      </c>
      <c r="J1249" t="s">
        <v>829</v>
      </c>
      <c r="K1249" t="s">
        <v>830</v>
      </c>
      <c r="L1249" t="s">
        <v>25</v>
      </c>
      <c r="M1249" t="s">
        <v>1163</v>
      </c>
      <c r="N1249" s="57">
        <v>1200</v>
      </c>
      <c r="O1249" t="s">
        <v>100</v>
      </c>
      <c r="P1249" t="s">
        <v>93</v>
      </c>
      <c r="Q1249" s="3">
        <v>46170</v>
      </c>
      <c r="R1249" s="10">
        <f t="shared" ca="1" si="39"/>
        <v>46229</v>
      </c>
      <c r="S1249" s="7">
        <f t="shared" ca="1" si="38"/>
        <v>0.16164383561643836</v>
      </c>
    </row>
    <row r="1250" spans="1:19" x14ac:dyDescent="0.25">
      <c r="A1250">
        <v>577108</v>
      </c>
      <c r="B1250" t="s">
        <v>1408</v>
      </c>
      <c r="C1250" t="s">
        <v>1044</v>
      </c>
      <c r="D1250" s="6" t="s">
        <v>22</v>
      </c>
      <c r="E1250" t="s">
        <v>21</v>
      </c>
      <c r="G1250" s="6" t="s">
        <v>968</v>
      </c>
      <c r="H1250" s="59" t="s">
        <v>1019</v>
      </c>
      <c r="I1250" s="58" t="s">
        <v>1417</v>
      </c>
      <c r="J1250" t="s">
        <v>829</v>
      </c>
      <c r="K1250" t="s">
        <v>830</v>
      </c>
      <c r="L1250" t="s">
        <v>25</v>
      </c>
      <c r="M1250" t="s">
        <v>1163</v>
      </c>
      <c r="N1250" s="57">
        <v>1200</v>
      </c>
      <c r="O1250" t="s">
        <v>100</v>
      </c>
      <c r="P1250" t="s">
        <v>93</v>
      </c>
      <c r="Q1250" s="3">
        <v>46125</v>
      </c>
      <c r="R1250" s="10">
        <f t="shared" ca="1" si="39"/>
        <v>46229</v>
      </c>
      <c r="S1250" s="7">
        <f t="shared" ca="1" si="38"/>
        <v>0.28493150684931506</v>
      </c>
    </row>
    <row r="1251" spans="1:19" x14ac:dyDescent="0.25">
      <c r="A1251">
        <v>947010</v>
      </c>
      <c r="B1251" t="s">
        <v>1338</v>
      </c>
      <c r="C1251" t="s">
        <v>1044</v>
      </c>
      <c r="D1251" s="6" t="s">
        <v>22</v>
      </c>
      <c r="E1251" t="s">
        <v>21</v>
      </c>
      <c r="G1251" s="6" t="s">
        <v>968</v>
      </c>
      <c r="H1251" s="59" t="s">
        <v>1019</v>
      </c>
      <c r="I1251" s="58" t="s">
        <v>1417</v>
      </c>
      <c r="J1251" t="s">
        <v>829</v>
      </c>
      <c r="K1251" t="s">
        <v>830</v>
      </c>
      <c r="L1251" t="s">
        <v>25</v>
      </c>
      <c r="M1251" t="s">
        <v>1163</v>
      </c>
      <c r="N1251" s="57">
        <v>1200</v>
      </c>
      <c r="O1251" t="s">
        <v>100</v>
      </c>
      <c r="P1251" t="s">
        <v>93</v>
      </c>
      <c r="Q1251" s="3">
        <v>46121</v>
      </c>
      <c r="R1251" s="10">
        <f t="shared" ca="1" si="39"/>
        <v>46229</v>
      </c>
      <c r="S1251" s="7">
        <f t="shared" ca="1" si="38"/>
        <v>0.29589041095890412</v>
      </c>
    </row>
    <row r="1252" spans="1:19" x14ac:dyDescent="0.25">
      <c r="A1252">
        <v>966963</v>
      </c>
      <c r="B1252" t="s">
        <v>791</v>
      </c>
      <c r="C1252" t="s">
        <v>17</v>
      </c>
      <c r="D1252" s="6" t="s">
        <v>22</v>
      </c>
      <c r="E1252" t="s">
        <v>21</v>
      </c>
      <c r="G1252" s="6" t="s">
        <v>968</v>
      </c>
      <c r="H1252" s="59" t="s">
        <v>1019</v>
      </c>
      <c r="I1252" s="58" t="s">
        <v>1417</v>
      </c>
      <c r="J1252" t="s">
        <v>829</v>
      </c>
      <c r="K1252" t="s">
        <v>830</v>
      </c>
      <c r="L1252" t="s">
        <v>25</v>
      </c>
      <c r="M1252" t="s">
        <v>1163</v>
      </c>
      <c r="N1252" s="57">
        <v>1200</v>
      </c>
      <c r="O1252" t="s">
        <v>100</v>
      </c>
      <c r="P1252" t="s">
        <v>93</v>
      </c>
      <c r="Q1252" s="3">
        <v>42639</v>
      </c>
      <c r="R1252" s="10">
        <f t="shared" ca="1" si="39"/>
        <v>46229</v>
      </c>
      <c r="S1252" s="7">
        <f t="shared" ca="1" si="38"/>
        <v>9.8356164383561637</v>
      </c>
    </row>
    <row r="1253" spans="1:19" x14ac:dyDescent="0.25">
      <c r="A1253">
        <v>990486</v>
      </c>
      <c r="B1253" t="s">
        <v>1191</v>
      </c>
      <c r="C1253" t="s">
        <v>1044</v>
      </c>
      <c r="D1253" s="6" t="s">
        <v>22</v>
      </c>
      <c r="E1253" t="s">
        <v>21</v>
      </c>
      <c r="G1253" s="6" t="s">
        <v>968</v>
      </c>
      <c r="H1253" s="59" t="s">
        <v>1019</v>
      </c>
      <c r="I1253" s="58" t="s">
        <v>1417</v>
      </c>
      <c r="J1253" t="s">
        <v>829</v>
      </c>
      <c r="K1253" t="s">
        <v>830</v>
      </c>
      <c r="L1253" t="s">
        <v>25</v>
      </c>
      <c r="M1253" t="s">
        <v>1163</v>
      </c>
      <c r="N1253" s="57">
        <v>1200</v>
      </c>
      <c r="O1253" t="s">
        <v>100</v>
      </c>
      <c r="P1253" t="s">
        <v>93</v>
      </c>
      <c r="Q1253" s="3">
        <v>46107</v>
      </c>
      <c r="R1253" s="10">
        <f t="shared" ca="1" si="39"/>
        <v>46229</v>
      </c>
      <c r="S1253" s="7">
        <f t="shared" ca="1" si="38"/>
        <v>0.33424657534246577</v>
      </c>
    </row>
    <row r="1254" spans="1:19" x14ac:dyDescent="0.25">
      <c r="A1254">
        <v>4112903</v>
      </c>
      <c r="B1254" t="s">
        <v>1646</v>
      </c>
      <c r="C1254" t="s">
        <v>1044</v>
      </c>
      <c r="D1254" s="6" t="s">
        <v>22</v>
      </c>
      <c r="E1254" t="s">
        <v>21</v>
      </c>
      <c r="G1254" s="6" t="s">
        <v>968</v>
      </c>
      <c r="H1254" s="59" t="s">
        <v>1019</v>
      </c>
      <c r="I1254" s="58" t="s">
        <v>1417</v>
      </c>
      <c r="J1254" t="s">
        <v>829</v>
      </c>
      <c r="K1254" t="s">
        <v>830</v>
      </c>
      <c r="L1254" t="s">
        <v>25</v>
      </c>
      <c r="M1254" t="s">
        <v>1163</v>
      </c>
      <c r="N1254" s="57">
        <v>1200</v>
      </c>
      <c r="O1254" t="s">
        <v>100</v>
      </c>
      <c r="P1254" t="s">
        <v>93</v>
      </c>
      <c r="Q1254" s="3">
        <v>46174</v>
      </c>
      <c r="R1254" s="10">
        <f t="shared" ca="1" si="39"/>
        <v>46229</v>
      </c>
      <c r="S1254" s="7">
        <f t="shared" ca="1" si="38"/>
        <v>0.15068493150684931</v>
      </c>
    </row>
    <row r="1255" spans="1:19" x14ac:dyDescent="0.25">
      <c r="A1255">
        <v>4124386</v>
      </c>
      <c r="B1255" t="s">
        <v>1743</v>
      </c>
      <c r="C1255" t="s">
        <v>1044</v>
      </c>
      <c r="D1255" s="6" t="s">
        <v>22</v>
      </c>
      <c r="E1255" t="s">
        <v>21</v>
      </c>
      <c r="G1255" s="6" t="s">
        <v>968</v>
      </c>
      <c r="H1255" s="59" t="s">
        <v>1019</v>
      </c>
      <c r="I1255" s="58" t="s">
        <v>1417</v>
      </c>
      <c r="J1255" t="s">
        <v>829</v>
      </c>
      <c r="K1255" t="s">
        <v>830</v>
      </c>
      <c r="L1255" t="s">
        <v>25</v>
      </c>
      <c r="M1255" t="s">
        <v>1163</v>
      </c>
      <c r="N1255" s="57">
        <v>1200</v>
      </c>
      <c r="O1255" t="s">
        <v>100</v>
      </c>
      <c r="P1255" t="s">
        <v>93</v>
      </c>
      <c r="Q1255" s="3">
        <v>46174</v>
      </c>
      <c r="R1255" s="10">
        <f t="shared" ca="1" si="39"/>
        <v>46229</v>
      </c>
      <c r="S1255" s="7">
        <f t="shared" ca="1" si="38"/>
        <v>0.15068493150684931</v>
      </c>
    </row>
    <row r="1256" spans="1:19" x14ac:dyDescent="0.25">
      <c r="A1256">
        <v>4124381</v>
      </c>
      <c r="B1256" t="s">
        <v>1738</v>
      </c>
      <c r="C1256" t="s">
        <v>1044</v>
      </c>
      <c r="D1256" s="6" t="s">
        <v>22</v>
      </c>
      <c r="E1256" t="s">
        <v>21</v>
      </c>
      <c r="G1256" s="6" t="s">
        <v>968</v>
      </c>
      <c r="H1256" s="59" t="s">
        <v>1019</v>
      </c>
      <c r="I1256" s="58" t="s">
        <v>1417</v>
      </c>
      <c r="J1256" t="s">
        <v>829</v>
      </c>
      <c r="K1256" t="s">
        <v>830</v>
      </c>
      <c r="L1256" t="s">
        <v>25</v>
      </c>
      <c r="M1256" t="s">
        <v>1163</v>
      </c>
      <c r="N1256" s="57">
        <v>1200</v>
      </c>
      <c r="O1256" t="s">
        <v>100</v>
      </c>
      <c r="P1256" t="s">
        <v>93</v>
      </c>
      <c r="Q1256" s="3">
        <v>46174</v>
      </c>
      <c r="R1256" s="10">
        <f t="shared" ca="1" si="39"/>
        <v>46229</v>
      </c>
      <c r="S1256" s="7">
        <f t="shared" ca="1" si="38"/>
        <v>0.15068493150684931</v>
      </c>
    </row>
    <row r="1257" spans="1:19" x14ac:dyDescent="0.25">
      <c r="A1257">
        <v>4110870</v>
      </c>
      <c r="B1257" t="s">
        <v>1645</v>
      </c>
      <c r="C1257" t="s">
        <v>1044</v>
      </c>
      <c r="D1257" s="6" t="s">
        <v>22</v>
      </c>
      <c r="E1257" t="s">
        <v>21</v>
      </c>
      <c r="G1257" s="6" t="s">
        <v>968</v>
      </c>
      <c r="H1257" s="59" t="s">
        <v>1019</v>
      </c>
      <c r="I1257" s="58" t="s">
        <v>1417</v>
      </c>
      <c r="J1257" t="s">
        <v>829</v>
      </c>
      <c r="K1257" t="s">
        <v>830</v>
      </c>
      <c r="L1257" t="s">
        <v>25</v>
      </c>
      <c r="M1257" t="s">
        <v>1163</v>
      </c>
      <c r="N1257" s="57">
        <v>1200</v>
      </c>
      <c r="O1257" t="s">
        <v>100</v>
      </c>
      <c r="P1257" t="s">
        <v>93</v>
      </c>
      <c r="Q1257" s="3">
        <v>46174</v>
      </c>
      <c r="R1257" s="10">
        <f t="shared" ca="1" si="39"/>
        <v>46229</v>
      </c>
      <c r="S1257" s="7">
        <f t="shared" ca="1" si="38"/>
        <v>0.15068493150684931</v>
      </c>
    </row>
    <row r="1258" spans="1:19" x14ac:dyDescent="0.25">
      <c r="A1258">
        <v>4124206</v>
      </c>
      <c r="B1258" t="s">
        <v>1671</v>
      </c>
      <c r="C1258" t="s">
        <v>1044</v>
      </c>
      <c r="D1258" s="6" t="s">
        <v>22</v>
      </c>
      <c r="E1258" t="s">
        <v>21</v>
      </c>
      <c r="G1258" s="6" t="s">
        <v>968</v>
      </c>
      <c r="H1258" s="59" t="s">
        <v>1019</v>
      </c>
      <c r="I1258" s="58" t="s">
        <v>1417</v>
      </c>
      <c r="J1258" t="s">
        <v>829</v>
      </c>
      <c r="K1258" t="s">
        <v>830</v>
      </c>
      <c r="L1258" t="s">
        <v>25</v>
      </c>
      <c r="M1258" t="s">
        <v>1163</v>
      </c>
      <c r="N1258" s="57">
        <v>1200</v>
      </c>
      <c r="O1258" t="s">
        <v>100</v>
      </c>
      <c r="P1258" t="s">
        <v>93</v>
      </c>
      <c r="Q1258" s="3">
        <v>46170</v>
      </c>
      <c r="R1258" s="10">
        <f t="shared" ca="1" si="39"/>
        <v>46229</v>
      </c>
      <c r="S1258" s="7">
        <f t="shared" ca="1" si="38"/>
        <v>0.16164383561643836</v>
      </c>
    </row>
    <row r="1259" spans="1:19" x14ac:dyDescent="0.25">
      <c r="A1259">
        <v>4096083</v>
      </c>
      <c r="B1259" t="s">
        <v>1638</v>
      </c>
      <c r="C1259" t="s">
        <v>1044</v>
      </c>
      <c r="D1259" s="6" t="s">
        <v>22</v>
      </c>
      <c r="E1259" t="s">
        <v>21</v>
      </c>
      <c r="G1259" s="6" t="s">
        <v>968</v>
      </c>
      <c r="H1259" s="59" t="s">
        <v>1019</v>
      </c>
      <c r="I1259" s="58" t="s">
        <v>1417</v>
      </c>
      <c r="J1259" t="s">
        <v>829</v>
      </c>
      <c r="K1259" t="s">
        <v>830</v>
      </c>
      <c r="L1259" t="s">
        <v>25</v>
      </c>
      <c r="M1259" t="s">
        <v>1163</v>
      </c>
      <c r="N1259" s="57">
        <v>1200</v>
      </c>
      <c r="O1259" t="s">
        <v>100</v>
      </c>
      <c r="P1259" t="s">
        <v>93</v>
      </c>
      <c r="Q1259" s="3">
        <v>46174</v>
      </c>
      <c r="R1259" s="10">
        <f t="shared" ca="1" si="39"/>
        <v>46229</v>
      </c>
      <c r="S1259" s="7">
        <f t="shared" ca="1" si="38"/>
        <v>0.15068493150684931</v>
      </c>
    </row>
    <row r="1260" spans="1:19" x14ac:dyDescent="0.25">
      <c r="A1260">
        <v>4124370</v>
      </c>
      <c r="B1260" t="s">
        <v>1730</v>
      </c>
      <c r="C1260" t="s">
        <v>1044</v>
      </c>
      <c r="D1260" s="6" t="s">
        <v>22</v>
      </c>
      <c r="E1260" t="s">
        <v>21</v>
      </c>
      <c r="G1260" s="6" t="s">
        <v>968</v>
      </c>
      <c r="H1260" s="59" t="s">
        <v>1019</v>
      </c>
      <c r="I1260" s="58" t="s">
        <v>1417</v>
      </c>
      <c r="J1260" t="s">
        <v>829</v>
      </c>
      <c r="K1260" t="s">
        <v>830</v>
      </c>
      <c r="L1260" t="s">
        <v>25</v>
      </c>
      <c r="M1260" t="s">
        <v>1163</v>
      </c>
      <c r="N1260" s="57">
        <v>1200</v>
      </c>
      <c r="O1260" t="s">
        <v>100</v>
      </c>
      <c r="P1260" t="s">
        <v>93</v>
      </c>
      <c r="Q1260" s="3">
        <v>46174</v>
      </c>
      <c r="R1260" s="10">
        <f t="shared" ca="1" si="39"/>
        <v>46229</v>
      </c>
      <c r="S1260" s="7">
        <f t="shared" ca="1" si="38"/>
        <v>0.15068493150684931</v>
      </c>
    </row>
    <row r="1261" spans="1:19" x14ac:dyDescent="0.25">
      <c r="A1261">
        <v>4124413</v>
      </c>
      <c r="B1261" t="s">
        <v>1765</v>
      </c>
      <c r="C1261" t="s">
        <v>1044</v>
      </c>
      <c r="D1261" s="6" t="s">
        <v>22</v>
      </c>
      <c r="E1261" t="s">
        <v>21</v>
      </c>
      <c r="G1261" s="6" t="s">
        <v>968</v>
      </c>
      <c r="H1261" s="59" t="s">
        <v>1019</v>
      </c>
      <c r="I1261" s="58" t="s">
        <v>1417</v>
      </c>
      <c r="J1261" t="s">
        <v>829</v>
      </c>
      <c r="K1261" t="s">
        <v>830</v>
      </c>
      <c r="L1261" t="s">
        <v>25</v>
      </c>
      <c r="M1261" t="s">
        <v>1163</v>
      </c>
      <c r="N1261" s="57">
        <v>1200</v>
      </c>
      <c r="O1261" t="s">
        <v>100</v>
      </c>
      <c r="P1261" t="s">
        <v>93</v>
      </c>
      <c r="Q1261" s="3">
        <v>46174</v>
      </c>
      <c r="R1261" s="10">
        <f t="shared" ca="1" si="39"/>
        <v>46229</v>
      </c>
      <c r="S1261" s="7">
        <f t="shared" ca="1" si="38"/>
        <v>0.15068493150684931</v>
      </c>
    </row>
    <row r="1262" spans="1:19" x14ac:dyDescent="0.25">
      <c r="A1262">
        <v>4124393</v>
      </c>
      <c r="B1262" t="s">
        <v>1747</v>
      </c>
      <c r="C1262" t="s">
        <v>1044</v>
      </c>
      <c r="D1262" s="6" t="s">
        <v>22</v>
      </c>
      <c r="E1262" t="s">
        <v>21</v>
      </c>
      <c r="G1262" s="6" t="s">
        <v>968</v>
      </c>
      <c r="H1262" s="59" t="s">
        <v>1019</v>
      </c>
      <c r="I1262" s="58" t="s">
        <v>1417</v>
      </c>
      <c r="J1262" t="s">
        <v>829</v>
      </c>
      <c r="K1262" t="s">
        <v>830</v>
      </c>
      <c r="L1262" t="s">
        <v>25</v>
      </c>
      <c r="M1262" t="s">
        <v>1163</v>
      </c>
      <c r="N1262" s="57">
        <v>1200</v>
      </c>
      <c r="O1262" t="s">
        <v>100</v>
      </c>
      <c r="P1262" t="s">
        <v>93</v>
      </c>
      <c r="Q1262" s="3">
        <v>46174</v>
      </c>
      <c r="R1262" s="10">
        <f t="shared" ca="1" si="39"/>
        <v>46229</v>
      </c>
      <c r="S1262" s="7">
        <f t="shared" ca="1" si="38"/>
        <v>0.15068493150684931</v>
      </c>
    </row>
    <row r="1263" spans="1:19" x14ac:dyDescent="0.25">
      <c r="A1263">
        <v>4083935</v>
      </c>
      <c r="B1263" t="s">
        <v>1634</v>
      </c>
      <c r="C1263" t="s">
        <v>1044</v>
      </c>
      <c r="D1263" s="6" t="s">
        <v>22</v>
      </c>
      <c r="E1263" t="s">
        <v>21</v>
      </c>
      <c r="G1263" s="6" t="s">
        <v>968</v>
      </c>
      <c r="H1263" s="59" t="s">
        <v>1019</v>
      </c>
      <c r="I1263" s="58" t="s">
        <v>1417</v>
      </c>
      <c r="J1263" t="s">
        <v>829</v>
      </c>
      <c r="K1263" t="s">
        <v>830</v>
      </c>
      <c r="L1263" t="s">
        <v>25</v>
      </c>
      <c r="M1263" t="s">
        <v>1163</v>
      </c>
      <c r="N1263" s="57">
        <v>1200</v>
      </c>
      <c r="O1263" t="s">
        <v>100</v>
      </c>
      <c r="P1263" t="s">
        <v>93</v>
      </c>
      <c r="Q1263" s="3">
        <v>46174</v>
      </c>
      <c r="R1263" s="10">
        <f t="shared" ca="1" si="39"/>
        <v>46229</v>
      </c>
      <c r="S1263" s="7">
        <f t="shared" ca="1" si="38"/>
        <v>0.15068493150684931</v>
      </c>
    </row>
    <row r="1264" spans="1:19" x14ac:dyDescent="0.25">
      <c r="A1264">
        <v>993881</v>
      </c>
      <c r="B1264" t="s">
        <v>1794</v>
      </c>
      <c r="C1264" t="s">
        <v>1044</v>
      </c>
      <c r="D1264" s="6" t="s">
        <v>22</v>
      </c>
      <c r="E1264" t="s">
        <v>21</v>
      </c>
      <c r="G1264" s="6" t="s">
        <v>968</v>
      </c>
      <c r="H1264" s="59" t="s">
        <v>1019</v>
      </c>
      <c r="I1264" s="58" t="s">
        <v>1417</v>
      </c>
      <c r="J1264" t="s">
        <v>829</v>
      </c>
      <c r="K1264" t="s">
        <v>830</v>
      </c>
      <c r="L1264" t="s">
        <v>25</v>
      </c>
      <c r="M1264" t="s">
        <v>1163</v>
      </c>
      <c r="N1264" s="57">
        <v>1200</v>
      </c>
      <c r="O1264" t="s">
        <v>100</v>
      </c>
      <c r="P1264" t="s">
        <v>93</v>
      </c>
      <c r="Q1264" s="3">
        <v>46174</v>
      </c>
      <c r="R1264" s="10">
        <f t="shared" ca="1" si="39"/>
        <v>46229</v>
      </c>
      <c r="S1264" s="7">
        <f t="shared" ca="1" si="38"/>
        <v>0.15068493150684931</v>
      </c>
    </row>
    <row r="1265" spans="1:19" x14ac:dyDescent="0.25">
      <c r="A1265">
        <v>4124383</v>
      </c>
      <c r="B1265" t="s">
        <v>1740</v>
      </c>
      <c r="C1265" t="s">
        <v>1044</v>
      </c>
      <c r="D1265" s="6" t="s">
        <v>22</v>
      </c>
      <c r="E1265" t="s">
        <v>21</v>
      </c>
      <c r="G1265" s="6" t="s">
        <v>968</v>
      </c>
      <c r="H1265" s="59" t="s">
        <v>1019</v>
      </c>
      <c r="I1265" s="58" t="s">
        <v>1417</v>
      </c>
      <c r="J1265" t="s">
        <v>829</v>
      </c>
      <c r="K1265" t="s">
        <v>830</v>
      </c>
      <c r="L1265" t="s">
        <v>25</v>
      </c>
      <c r="M1265" t="s">
        <v>1163</v>
      </c>
      <c r="N1265" s="57">
        <v>1200</v>
      </c>
      <c r="O1265" t="s">
        <v>100</v>
      </c>
      <c r="P1265" t="s">
        <v>93</v>
      </c>
      <c r="Q1265" s="3">
        <v>46174</v>
      </c>
      <c r="R1265" s="10">
        <f t="shared" ca="1" si="39"/>
        <v>46229</v>
      </c>
      <c r="S1265" s="7">
        <f t="shared" ca="1" si="38"/>
        <v>0.15068493150684931</v>
      </c>
    </row>
    <row r="1266" spans="1:19" x14ac:dyDescent="0.25">
      <c r="A1266">
        <v>4124385</v>
      </c>
      <c r="B1266" t="s">
        <v>1742</v>
      </c>
      <c r="C1266" t="s">
        <v>1044</v>
      </c>
      <c r="D1266" s="6" t="s">
        <v>22</v>
      </c>
      <c r="E1266" t="s">
        <v>21</v>
      </c>
      <c r="G1266" s="6" t="s">
        <v>968</v>
      </c>
      <c r="H1266" s="59" t="s">
        <v>1019</v>
      </c>
      <c r="I1266" s="58" t="s">
        <v>1417</v>
      </c>
      <c r="J1266" t="s">
        <v>829</v>
      </c>
      <c r="K1266" t="s">
        <v>830</v>
      </c>
      <c r="L1266" t="s">
        <v>25</v>
      </c>
      <c r="M1266" t="s">
        <v>1163</v>
      </c>
      <c r="N1266" s="57">
        <v>1200</v>
      </c>
      <c r="O1266" t="s">
        <v>100</v>
      </c>
      <c r="P1266" t="s">
        <v>93</v>
      </c>
      <c r="Q1266" s="3">
        <v>46174</v>
      </c>
      <c r="R1266" s="10">
        <f t="shared" ca="1" si="39"/>
        <v>46229</v>
      </c>
      <c r="S1266" s="7">
        <f t="shared" ca="1" si="38"/>
        <v>0.15068493150684931</v>
      </c>
    </row>
    <row r="1267" spans="1:19" x14ac:dyDescent="0.25">
      <c r="A1267">
        <v>4101796</v>
      </c>
      <c r="B1267" t="s">
        <v>1640</v>
      </c>
      <c r="C1267" t="s">
        <v>1044</v>
      </c>
      <c r="D1267" s="6" t="s">
        <v>22</v>
      </c>
      <c r="E1267" t="s">
        <v>21</v>
      </c>
      <c r="G1267" s="6" t="s">
        <v>968</v>
      </c>
      <c r="H1267" s="59" t="s">
        <v>1019</v>
      </c>
      <c r="I1267" s="58" t="s">
        <v>1417</v>
      </c>
      <c r="J1267" t="s">
        <v>829</v>
      </c>
      <c r="K1267" t="s">
        <v>830</v>
      </c>
      <c r="L1267" t="s">
        <v>25</v>
      </c>
      <c r="M1267" t="s">
        <v>1163</v>
      </c>
      <c r="N1267" s="57">
        <v>1200</v>
      </c>
      <c r="O1267" t="s">
        <v>100</v>
      </c>
      <c r="P1267" t="s">
        <v>93</v>
      </c>
      <c r="Q1267" s="3">
        <v>46174</v>
      </c>
      <c r="R1267" s="10">
        <f t="shared" ca="1" si="39"/>
        <v>46229</v>
      </c>
      <c r="S1267" s="7">
        <f t="shared" ca="1" si="38"/>
        <v>0.15068493150684931</v>
      </c>
    </row>
    <row r="1268" spans="1:19" x14ac:dyDescent="0.25">
      <c r="A1268">
        <v>4124367</v>
      </c>
      <c r="B1268" t="s">
        <v>1727</v>
      </c>
      <c r="C1268" t="s">
        <v>1044</v>
      </c>
      <c r="D1268" s="6" t="s">
        <v>22</v>
      </c>
      <c r="E1268" t="s">
        <v>21</v>
      </c>
      <c r="G1268" s="6" t="s">
        <v>968</v>
      </c>
      <c r="H1268" s="59" t="s">
        <v>1019</v>
      </c>
      <c r="I1268" s="58" t="s">
        <v>1417</v>
      </c>
      <c r="J1268" t="s">
        <v>829</v>
      </c>
      <c r="K1268" t="s">
        <v>830</v>
      </c>
      <c r="L1268" t="s">
        <v>25</v>
      </c>
      <c r="M1268" t="s">
        <v>1163</v>
      </c>
      <c r="N1268" s="57">
        <v>1200</v>
      </c>
      <c r="O1268" t="s">
        <v>100</v>
      </c>
      <c r="P1268" t="s">
        <v>93</v>
      </c>
      <c r="Q1268" s="3">
        <v>46174</v>
      </c>
      <c r="R1268" s="10">
        <f t="shared" ca="1" si="39"/>
        <v>46229</v>
      </c>
      <c r="S1268" s="7">
        <f t="shared" ca="1" si="38"/>
        <v>0.15068493150684931</v>
      </c>
    </row>
    <row r="1269" spans="1:19" x14ac:dyDescent="0.25">
      <c r="A1269">
        <v>4124378</v>
      </c>
      <c r="B1269" t="s">
        <v>1735</v>
      </c>
      <c r="C1269" t="s">
        <v>1044</v>
      </c>
      <c r="D1269" s="6" t="s">
        <v>22</v>
      </c>
      <c r="E1269" t="s">
        <v>21</v>
      </c>
      <c r="G1269" s="6" t="s">
        <v>968</v>
      </c>
      <c r="H1269" s="59" t="s">
        <v>1019</v>
      </c>
      <c r="I1269" s="58" t="s">
        <v>1417</v>
      </c>
      <c r="J1269" t="s">
        <v>829</v>
      </c>
      <c r="K1269" t="s">
        <v>830</v>
      </c>
      <c r="L1269" t="s">
        <v>25</v>
      </c>
      <c r="M1269" t="s">
        <v>1163</v>
      </c>
      <c r="N1269" s="57">
        <v>1200</v>
      </c>
      <c r="O1269" t="s">
        <v>100</v>
      </c>
      <c r="P1269" t="s">
        <v>93</v>
      </c>
      <c r="Q1269" s="3">
        <v>46174</v>
      </c>
      <c r="R1269" s="10">
        <f t="shared" ca="1" si="39"/>
        <v>46229</v>
      </c>
      <c r="S1269" s="7">
        <f t="shared" ca="1" si="38"/>
        <v>0.15068493150684931</v>
      </c>
    </row>
    <row r="1270" spans="1:19" x14ac:dyDescent="0.25">
      <c r="A1270">
        <v>4118036</v>
      </c>
      <c r="B1270" t="s">
        <v>1651</v>
      </c>
      <c r="C1270" t="s">
        <v>1044</v>
      </c>
      <c r="D1270" s="6" t="s">
        <v>22</v>
      </c>
      <c r="E1270" t="s">
        <v>21</v>
      </c>
      <c r="G1270" s="6" t="s">
        <v>968</v>
      </c>
      <c r="H1270" s="59" t="s">
        <v>1019</v>
      </c>
      <c r="I1270" s="58" t="s">
        <v>1417</v>
      </c>
      <c r="J1270" t="s">
        <v>829</v>
      </c>
      <c r="K1270" t="s">
        <v>830</v>
      </c>
      <c r="L1270" t="s">
        <v>25</v>
      </c>
      <c r="M1270" t="s">
        <v>1163</v>
      </c>
      <c r="N1270" s="57">
        <v>1200</v>
      </c>
      <c r="O1270" t="s">
        <v>100</v>
      </c>
      <c r="P1270" t="s">
        <v>93</v>
      </c>
      <c r="Q1270" s="3">
        <v>46174</v>
      </c>
      <c r="R1270" s="10">
        <f t="shared" ca="1" si="39"/>
        <v>46229</v>
      </c>
      <c r="S1270" s="7">
        <f t="shared" ca="1" si="38"/>
        <v>0.15068493150684931</v>
      </c>
    </row>
    <row r="1271" spans="1:19" x14ac:dyDescent="0.25">
      <c r="A1271">
        <v>609831</v>
      </c>
      <c r="B1271" t="s">
        <v>1782</v>
      </c>
      <c r="C1271" t="s">
        <v>1044</v>
      </c>
      <c r="D1271" s="6" t="s">
        <v>22</v>
      </c>
      <c r="E1271" t="s">
        <v>21</v>
      </c>
      <c r="G1271" s="6" t="s">
        <v>968</v>
      </c>
      <c r="H1271" s="59" t="s">
        <v>1019</v>
      </c>
      <c r="I1271" s="58" t="s">
        <v>1417</v>
      </c>
      <c r="J1271" t="s">
        <v>829</v>
      </c>
      <c r="K1271" t="s">
        <v>830</v>
      </c>
      <c r="L1271" t="s">
        <v>25</v>
      </c>
      <c r="M1271" t="s">
        <v>1163</v>
      </c>
      <c r="N1271" s="57">
        <v>1200</v>
      </c>
      <c r="O1271" t="s">
        <v>100</v>
      </c>
      <c r="P1271" t="s">
        <v>93</v>
      </c>
      <c r="Q1271" s="3">
        <v>46174</v>
      </c>
      <c r="R1271" s="10">
        <f t="shared" ca="1" si="39"/>
        <v>46229</v>
      </c>
      <c r="S1271" s="7">
        <f t="shared" ca="1" si="38"/>
        <v>0.15068493150684931</v>
      </c>
    </row>
    <row r="1272" spans="1:19" x14ac:dyDescent="0.25">
      <c r="A1272">
        <v>4124391</v>
      </c>
      <c r="B1272" t="s">
        <v>1745</v>
      </c>
      <c r="C1272" t="s">
        <v>1044</v>
      </c>
      <c r="D1272" s="6" t="s">
        <v>22</v>
      </c>
      <c r="E1272" t="s">
        <v>21</v>
      </c>
      <c r="G1272" s="6" t="s">
        <v>968</v>
      </c>
      <c r="H1272" s="59" t="s">
        <v>1019</v>
      </c>
      <c r="I1272" s="58" t="s">
        <v>1417</v>
      </c>
      <c r="J1272" t="s">
        <v>829</v>
      </c>
      <c r="K1272" t="s">
        <v>830</v>
      </c>
      <c r="L1272" t="s">
        <v>25</v>
      </c>
      <c r="M1272" t="s">
        <v>1163</v>
      </c>
      <c r="N1272" s="57">
        <v>1200</v>
      </c>
      <c r="O1272" t="s">
        <v>100</v>
      </c>
      <c r="P1272" t="s">
        <v>93</v>
      </c>
      <c r="Q1272" s="3">
        <v>46174</v>
      </c>
      <c r="R1272" s="10">
        <f t="shared" ca="1" si="39"/>
        <v>46229</v>
      </c>
      <c r="S1272" s="7">
        <f t="shared" ca="1" si="38"/>
        <v>0.15068493150684931</v>
      </c>
    </row>
    <row r="1273" spans="1:19" x14ac:dyDescent="0.25">
      <c r="A1273">
        <v>4124368</v>
      </c>
      <c r="B1273" t="s">
        <v>1728</v>
      </c>
      <c r="C1273" t="s">
        <v>1044</v>
      </c>
      <c r="D1273" s="6" t="s">
        <v>22</v>
      </c>
      <c r="E1273" t="s">
        <v>21</v>
      </c>
      <c r="G1273" s="6" t="s">
        <v>968</v>
      </c>
      <c r="H1273" s="59" t="s">
        <v>1019</v>
      </c>
      <c r="I1273" s="58" t="s">
        <v>1417</v>
      </c>
      <c r="J1273" t="s">
        <v>829</v>
      </c>
      <c r="K1273" t="s">
        <v>830</v>
      </c>
      <c r="L1273" t="s">
        <v>25</v>
      </c>
      <c r="M1273" t="s">
        <v>1163</v>
      </c>
      <c r="N1273" s="57">
        <v>1200</v>
      </c>
      <c r="O1273" t="s">
        <v>100</v>
      </c>
      <c r="P1273" t="s">
        <v>93</v>
      </c>
      <c r="Q1273" s="3">
        <v>46174</v>
      </c>
      <c r="R1273" s="10">
        <f t="shared" ca="1" si="39"/>
        <v>46229</v>
      </c>
      <c r="S1273" s="7">
        <f t="shared" ca="1" si="38"/>
        <v>0.15068493150684931</v>
      </c>
    </row>
    <row r="1274" spans="1:19" x14ac:dyDescent="0.25">
      <c r="A1274">
        <v>1222933</v>
      </c>
      <c r="B1274" t="s">
        <v>294</v>
      </c>
      <c r="C1274" t="s">
        <v>17</v>
      </c>
      <c r="D1274" s="6" t="s">
        <v>39</v>
      </c>
      <c r="E1274" t="s">
        <v>47</v>
      </c>
      <c r="G1274" s="6" t="s">
        <v>971</v>
      </c>
      <c r="H1274" s="59" t="s">
        <v>973</v>
      </c>
      <c r="I1274" s="58" t="s">
        <v>882</v>
      </c>
      <c r="J1274" t="s">
        <v>883</v>
      </c>
      <c r="K1274" t="s">
        <v>889</v>
      </c>
      <c r="L1274" t="s">
        <v>966</v>
      </c>
      <c r="M1274" t="s">
        <v>1163</v>
      </c>
      <c r="N1274" s="57">
        <v>6900</v>
      </c>
      <c r="O1274" t="s">
        <v>100</v>
      </c>
      <c r="P1274" t="s">
        <v>38</v>
      </c>
      <c r="Q1274" s="3">
        <v>45999</v>
      </c>
      <c r="R1274" s="10">
        <f t="shared" ca="1" si="39"/>
        <v>46229</v>
      </c>
      <c r="S1274" s="7">
        <f t="shared" ca="1" si="38"/>
        <v>0.63013698630136983</v>
      </c>
    </row>
    <row r="1275" spans="1:19" x14ac:dyDescent="0.25">
      <c r="A1275">
        <v>1231766</v>
      </c>
      <c r="B1275" t="s">
        <v>1456</v>
      </c>
      <c r="C1275" t="s">
        <v>17</v>
      </c>
      <c r="D1275" s="6" t="s">
        <v>39</v>
      </c>
      <c r="E1275" t="s">
        <v>47</v>
      </c>
      <c r="G1275" s="6" t="s">
        <v>971</v>
      </c>
      <c r="H1275" s="59" t="s">
        <v>92</v>
      </c>
      <c r="I1275" s="58" t="s">
        <v>882</v>
      </c>
      <c r="J1275" t="s">
        <v>883</v>
      </c>
      <c r="K1275" t="s">
        <v>889</v>
      </c>
      <c r="L1275" t="s">
        <v>966</v>
      </c>
      <c r="M1275" t="s">
        <v>1163</v>
      </c>
      <c r="N1275" s="57">
        <v>6900</v>
      </c>
      <c r="O1275" t="s">
        <v>100</v>
      </c>
      <c r="P1275" t="s">
        <v>38</v>
      </c>
      <c r="Q1275" s="3">
        <v>46153</v>
      </c>
      <c r="R1275" s="10">
        <f t="shared" ca="1" si="39"/>
        <v>46229</v>
      </c>
      <c r="S1275" s="7">
        <f t="shared" ca="1" si="38"/>
        <v>0.20821917808219179</v>
      </c>
    </row>
    <row r="1276" spans="1:19" x14ac:dyDescent="0.25">
      <c r="A1276">
        <v>25353</v>
      </c>
      <c r="B1276" t="s">
        <v>318</v>
      </c>
      <c r="C1276" t="s">
        <v>17</v>
      </c>
      <c r="D1276" s="6" t="s">
        <v>39</v>
      </c>
      <c r="E1276" t="s">
        <v>89</v>
      </c>
      <c r="G1276" s="6" t="s">
        <v>971</v>
      </c>
      <c r="H1276" s="59" t="s">
        <v>973</v>
      </c>
      <c r="I1276" s="58" t="s">
        <v>882</v>
      </c>
      <c r="J1276" t="s">
        <v>883</v>
      </c>
      <c r="K1276" t="s">
        <v>889</v>
      </c>
      <c r="L1276" t="s">
        <v>966</v>
      </c>
      <c r="M1276" t="s">
        <v>1163</v>
      </c>
      <c r="N1276" s="57">
        <v>6900</v>
      </c>
      <c r="O1276" t="s">
        <v>100</v>
      </c>
      <c r="P1276" t="s">
        <v>38</v>
      </c>
      <c r="Q1276" s="3">
        <v>34318</v>
      </c>
      <c r="R1276" s="10">
        <f t="shared" ca="1" si="39"/>
        <v>46229</v>
      </c>
      <c r="S1276" s="7">
        <f t="shared" ca="1" si="38"/>
        <v>32.632876712328766</v>
      </c>
    </row>
    <row r="1277" spans="1:19" x14ac:dyDescent="0.25">
      <c r="A1277">
        <v>31560</v>
      </c>
      <c r="B1277" t="s">
        <v>375</v>
      </c>
      <c r="C1277" t="s">
        <v>17</v>
      </c>
      <c r="D1277" s="6" t="s">
        <v>39</v>
      </c>
      <c r="E1277" t="s">
        <v>89</v>
      </c>
      <c r="G1277" s="6" t="s">
        <v>971</v>
      </c>
      <c r="H1277" s="59" t="s">
        <v>973</v>
      </c>
      <c r="I1277" s="58" t="s">
        <v>882</v>
      </c>
      <c r="J1277" t="s">
        <v>883</v>
      </c>
      <c r="K1277" t="s">
        <v>889</v>
      </c>
      <c r="L1277" t="s">
        <v>966</v>
      </c>
      <c r="M1277" t="s">
        <v>1163</v>
      </c>
      <c r="N1277" s="57">
        <v>6900</v>
      </c>
      <c r="O1277" t="s">
        <v>100</v>
      </c>
      <c r="P1277" t="s">
        <v>38</v>
      </c>
      <c r="Q1277" s="3">
        <v>38244</v>
      </c>
      <c r="R1277" s="10">
        <f t="shared" ca="1" si="39"/>
        <v>46229</v>
      </c>
      <c r="S1277" s="7">
        <f t="shared" ca="1" si="38"/>
        <v>21.876712328767123</v>
      </c>
    </row>
    <row r="1278" spans="1:19" x14ac:dyDescent="0.25">
      <c r="A1278">
        <v>31891</v>
      </c>
      <c r="B1278" t="s">
        <v>383</v>
      </c>
      <c r="C1278" t="s">
        <v>17</v>
      </c>
      <c r="D1278" s="6" t="s">
        <v>39</v>
      </c>
      <c r="E1278" t="s">
        <v>816</v>
      </c>
      <c r="G1278" s="6" t="s">
        <v>971</v>
      </c>
      <c r="H1278" s="59" t="s">
        <v>973</v>
      </c>
      <c r="I1278" s="58" t="s">
        <v>882</v>
      </c>
      <c r="J1278" t="s">
        <v>883</v>
      </c>
      <c r="K1278" t="s">
        <v>889</v>
      </c>
      <c r="L1278" t="s">
        <v>966</v>
      </c>
      <c r="M1278" t="s">
        <v>1163</v>
      </c>
      <c r="N1278" s="57">
        <v>6900</v>
      </c>
      <c r="O1278" t="s">
        <v>100</v>
      </c>
      <c r="P1278" t="s">
        <v>38</v>
      </c>
      <c r="Q1278" s="3">
        <v>38635</v>
      </c>
      <c r="R1278" s="10">
        <f t="shared" ca="1" si="39"/>
        <v>46229</v>
      </c>
      <c r="S1278" s="7">
        <f t="shared" ca="1" si="38"/>
        <v>20.805479452054794</v>
      </c>
    </row>
    <row r="1279" spans="1:19" x14ac:dyDescent="0.25">
      <c r="A1279">
        <v>585063</v>
      </c>
      <c r="B1279" t="s">
        <v>718</v>
      </c>
      <c r="C1279" t="s">
        <v>17</v>
      </c>
      <c r="D1279" s="6" t="s">
        <v>39</v>
      </c>
      <c r="E1279" t="s">
        <v>89</v>
      </c>
      <c r="G1279" s="6" t="s">
        <v>971</v>
      </c>
      <c r="H1279" s="59" t="s">
        <v>973</v>
      </c>
      <c r="I1279" s="58" t="s">
        <v>882</v>
      </c>
      <c r="J1279" t="s">
        <v>883</v>
      </c>
      <c r="K1279" t="s">
        <v>889</v>
      </c>
      <c r="L1279" t="s">
        <v>966</v>
      </c>
      <c r="M1279" t="s">
        <v>1163</v>
      </c>
      <c r="N1279" s="57">
        <v>6900</v>
      </c>
      <c r="O1279" t="s">
        <v>100</v>
      </c>
      <c r="P1279" t="s">
        <v>38</v>
      </c>
      <c r="Q1279" s="3">
        <v>45320</v>
      </c>
      <c r="R1279" s="10">
        <f t="shared" ca="1" si="39"/>
        <v>46229</v>
      </c>
      <c r="S1279" s="7">
        <f t="shared" ca="1" si="38"/>
        <v>2.4904109589041097</v>
      </c>
    </row>
    <row r="1280" spans="1:19" x14ac:dyDescent="0.25">
      <c r="A1280">
        <v>899762</v>
      </c>
      <c r="B1280" t="s">
        <v>758</v>
      </c>
      <c r="C1280" t="s">
        <v>17</v>
      </c>
      <c r="D1280" s="6" t="s">
        <v>39</v>
      </c>
      <c r="E1280" t="s">
        <v>47</v>
      </c>
      <c r="G1280" s="6" t="s">
        <v>971</v>
      </c>
      <c r="H1280" s="59" t="s">
        <v>973</v>
      </c>
      <c r="I1280" s="58" t="s">
        <v>882</v>
      </c>
      <c r="J1280" t="s">
        <v>883</v>
      </c>
      <c r="K1280" t="s">
        <v>889</v>
      </c>
      <c r="L1280" t="s">
        <v>966</v>
      </c>
      <c r="M1280" t="s">
        <v>1163</v>
      </c>
      <c r="N1280" s="57">
        <v>6900</v>
      </c>
      <c r="O1280" t="s">
        <v>100</v>
      </c>
      <c r="P1280" t="s">
        <v>38</v>
      </c>
      <c r="Q1280" s="3">
        <v>45979</v>
      </c>
      <c r="R1280" s="10">
        <f t="shared" ca="1" si="39"/>
        <v>46229</v>
      </c>
      <c r="S1280" s="7">
        <f t="shared" ref="S1280:S1343" ca="1" si="40">(R1280-Q1280)/365</f>
        <v>0.68493150684931503</v>
      </c>
    </row>
    <row r="1281" spans="1:19" x14ac:dyDescent="0.25">
      <c r="A1281">
        <v>851676</v>
      </c>
      <c r="B1281" t="s">
        <v>743</v>
      </c>
      <c r="C1281" t="s">
        <v>17</v>
      </c>
      <c r="D1281" s="6" t="s">
        <v>39</v>
      </c>
      <c r="E1281" t="s">
        <v>63</v>
      </c>
      <c r="G1281" s="6" t="s">
        <v>970</v>
      </c>
      <c r="H1281" s="59" t="s">
        <v>92</v>
      </c>
      <c r="I1281" s="58" t="s">
        <v>1466</v>
      </c>
      <c r="J1281" t="s">
        <v>837</v>
      </c>
      <c r="K1281" t="s">
        <v>94</v>
      </c>
      <c r="L1281" t="s">
        <v>966</v>
      </c>
      <c r="M1281" t="s">
        <v>1163</v>
      </c>
      <c r="N1281" s="57">
        <v>5800</v>
      </c>
      <c r="O1281" t="s">
        <v>100</v>
      </c>
      <c r="P1281" t="s">
        <v>38</v>
      </c>
      <c r="Q1281" s="3">
        <v>41484</v>
      </c>
      <c r="R1281" s="10">
        <f t="shared" ca="1" si="39"/>
        <v>46229</v>
      </c>
      <c r="S1281" s="7">
        <f t="shared" ca="1" si="40"/>
        <v>13</v>
      </c>
    </row>
    <row r="1282" spans="1:19" x14ac:dyDescent="0.25">
      <c r="A1282">
        <v>1155112</v>
      </c>
      <c r="B1282" t="s">
        <v>179</v>
      </c>
      <c r="C1282" t="s">
        <v>17</v>
      </c>
      <c r="D1282" s="6" t="s">
        <v>22</v>
      </c>
      <c r="E1282" t="s">
        <v>72</v>
      </c>
      <c r="G1282" s="6" t="s">
        <v>969</v>
      </c>
      <c r="H1282" s="59" t="s">
        <v>1024</v>
      </c>
      <c r="I1282" s="58" t="s">
        <v>887</v>
      </c>
      <c r="J1282" t="s">
        <v>832</v>
      </c>
      <c r="K1282" t="s">
        <v>31</v>
      </c>
      <c r="L1282" t="s">
        <v>1038</v>
      </c>
      <c r="M1282" t="s">
        <v>1163</v>
      </c>
      <c r="N1282" s="57">
        <v>1300</v>
      </c>
      <c r="O1282" t="s">
        <v>100</v>
      </c>
      <c r="P1282" t="s">
        <v>93</v>
      </c>
      <c r="Q1282" s="3">
        <v>44711</v>
      </c>
      <c r="R1282" s="10">
        <f t="shared" ca="1" si="39"/>
        <v>46229</v>
      </c>
      <c r="S1282" s="7">
        <f t="shared" ca="1" si="40"/>
        <v>4.1589041095890407</v>
      </c>
    </row>
    <row r="1283" spans="1:19" x14ac:dyDescent="0.25">
      <c r="A1283">
        <v>1195930</v>
      </c>
      <c r="B1283" t="s">
        <v>266</v>
      </c>
      <c r="C1283" t="s">
        <v>17</v>
      </c>
      <c r="D1283" s="6" t="s">
        <v>22</v>
      </c>
      <c r="E1283" t="s">
        <v>72</v>
      </c>
      <c r="G1283" s="6" t="s">
        <v>969</v>
      </c>
      <c r="H1283" s="59" t="s">
        <v>1024</v>
      </c>
      <c r="I1283" s="58" t="s">
        <v>887</v>
      </c>
      <c r="J1283" t="s">
        <v>832</v>
      </c>
      <c r="K1283" t="s">
        <v>31</v>
      </c>
      <c r="L1283" t="s">
        <v>1038</v>
      </c>
      <c r="M1283" t="s">
        <v>1163</v>
      </c>
      <c r="N1283" s="57">
        <v>1300</v>
      </c>
      <c r="O1283" t="s">
        <v>100</v>
      </c>
      <c r="P1283" t="s">
        <v>93</v>
      </c>
      <c r="Q1283" s="3">
        <v>45558</v>
      </c>
      <c r="R1283" s="10">
        <f t="shared" ref="R1283:R1346" ca="1" si="41">TODAY()</f>
        <v>46229</v>
      </c>
      <c r="S1283" s="7">
        <f t="shared" ca="1" si="40"/>
        <v>1.8383561643835618</v>
      </c>
    </row>
    <row r="1284" spans="1:19" x14ac:dyDescent="0.25">
      <c r="A1284">
        <v>1196937</v>
      </c>
      <c r="B1284" t="s">
        <v>269</v>
      </c>
      <c r="C1284" t="s">
        <v>17</v>
      </c>
      <c r="D1284" s="6" t="s">
        <v>22</v>
      </c>
      <c r="E1284" t="s">
        <v>72</v>
      </c>
      <c r="G1284" s="6" t="s">
        <v>969</v>
      </c>
      <c r="H1284" s="59" t="s">
        <v>1024</v>
      </c>
      <c r="I1284" s="58" t="s">
        <v>887</v>
      </c>
      <c r="J1284" t="s">
        <v>832</v>
      </c>
      <c r="K1284" t="s">
        <v>31</v>
      </c>
      <c r="L1284" t="s">
        <v>1038</v>
      </c>
      <c r="M1284" t="s">
        <v>1163</v>
      </c>
      <c r="N1284" s="57">
        <v>1300</v>
      </c>
      <c r="O1284" t="s">
        <v>100</v>
      </c>
      <c r="P1284" t="s">
        <v>93</v>
      </c>
      <c r="Q1284" s="3">
        <v>45579</v>
      </c>
      <c r="R1284" s="10">
        <f t="shared" ca="1" si="41"/>
        <v>46229</v>
      </c>
      <c r="S1284" s="7">
        <f t="shared" ca="1" si="40"/>
        <v>1.7808219178082192</v>
      </c>
    </row>
    <row r="1285" spans="1:19" x14ac:dyDescent="0.25">
      <c r="A1285">
        <v>1233312</v>
      </c>
      <c r="B1285" t="s">
        <v>1542</v>
      </c>
      <c r="C1285" t="s">
        <v>17</v>
      </c>
      <c r="D1285" s="6" t="s">
        <v>22</v>
      </c>
      <c r="E1285" t="s">
        <v>72</v>
      </c>
      <c r="G1285" s="6" t="s">
        <v>969</v>
      </c>
      <c r="H1285" s="59" t="s">
        <v>1024</v>
      </c>
      <c r="I1285" s="58" t="s">
        <v>887</v>
      </c>
      <c r="J1285" t="s">
        <v>832</v>
      </c>
      <c r="K1285" t="s">
        <v>31</v>
      </c>
      <c r="L1285" t="s">
        <v>1038</v>
      </c>
      <c r="M1285" t="s">
        <v>1163</v>
      </c>
      <c r="N1285" s="57">
        <v>1300</v>
      </c>
      <c r="O1285" t="s">
        <v>100</v>
      </c>
      <c r="P1285" t="s">
        <v>93</v>
      </c>
      <c r="Q1285" s="3">
        <v>46174</v>
      </c>
      <c r="R1285" s="10">
        <f t="shared" ca="1" si="41"/>
        <v>46229</v>
      </c>
      <c r="S1285" s="7">
        <f t="shared" ca="1" si="40"/>
        <v>0.15068493150684931</v>
      </c>
    </row>
    <row r="1286" spans="1:19" x14ac:dyDescent="0.25">
      <c r="A1286">
        <v>21226</v>
      </c>
      <c r="B1286" t="s">
        <v>301</v>
      </c>
      <c r="C1286" t="s">
        <v>17</v>
      </c>
      <c r="D1286" s="6" t="s">
        <v>22</v>
      </c>
      <c r="E1286" t="s">
        <v>72</v>
      </c>
      <c r="G1286" s="6" t="s">
        <v>969</v>
      </c>
      <c r="H1286" s="59" t="s">
        <v>1024</v>
      </c>
      <c r="I1286" s="58" t="s">
        <v>887</v>
      </c>
      <c r="J1286" t="s">
        <v>832</v>
      </c>
      <c r="K1286" t="s">
        <v>31</v>
      </c>
      <c r="L1286" t="s">
        <v>1038</v>
      </c>
      <c r="M1286" t="s">
        <v>1163</v>
      </c>
      <c r="N1286" s="57">
        <v>1300</v>
      </c>
      <c r="O1286" t="s">
        <v>100</v>
      </c>
      <c r="P1286" t="s">
        <v>93</v>
      </c>
      <c r="Q1286" s="3">
        <v>38617</v>
      </c>
      <c r="R1286" s="10">
        <f t="shared" ca="1" si="41"/>
        <v>46229</v>
      </c>
      <c r="S1286" s="7">
        <f t="shared" ca="1" si="40"/>
        <v>20.854794520547944</v>
      </c>
    </row>
    <row r="1287" spans="1:19" x14ac:dyDescent="0.25">
      <c r="A1287">
        <v>31456</v>
      </c>
      <c r="B1287" t="s">
        <v>374</v>
      </c>
      <c r="C1287" t="s">
        <v>17</v>
      </c>
      <c r="D1287" s="6" t="s">
        <v>22</v>
      </c>
      <c r="E1287" t="s">
        <v>72</v>
      </c>
      <c r="G1287" s="6" t="s">
        <v>969</v>
      </c>
      <c r="H1287" s="59" t="s">
        <v>1024</v>
      </c>
      <c r="I1287" s="58" t="s">
        <v>887</v>
      </c>
      <c r="J1287" t="s">
        <v>832</v>
      </c>
      <c r="K1287" t="s">
        <v>31</v>
      </c>
      <c r="L1287" t="s">
        <v>1038</v>
      </c>
      <c r="M1287" t="s">
        <v>1163</v>
      </c>
      <c r="N1287" s="57">
        <v>1300</v>
      </c>
      <c r="O1287" t="s">
        <v>100</v>
      </c>
      <c r="P1287" t="s">
        <v>93</v>
      </c>
      <c r="Q1287" s="3">
        <v>42569</v>
      </c>
      <c r="R1287" s="10">
        <f t="shared" ca="1" si="41"/>
        <v>46229</v>
      </c>
      <c r="S1287" s="7">
        <f t="shared" ca="1" si="40"/>
        <v>10.027397260273972</v>
      </c>
    </row>
    <row r="1288" spans="1:19" x14ac:dyDescent="0.25">
      <c r="A1288">
        <v>34884</v>
      </c>
      <c r="B1288" t="s">
        <v>404</v>
      </c>
      <c r="C1288" t="s">
        <v>17</v>
      </c>
      <c r="D1288" s="6" t="s">
        <v>22</v>
      </c>
      <c r="E1288" t="s">
        <v>72</v>
      </c>
      <c r="G1288" s="6" t="s">
        <v>969</v>
      </c>
      <c r="H1288" s="59" t="s">
        <v>1024</v>
      </c>
      <c r="I1288" s="58" t="s">
        <v>887</v>
      </c>
      <c r="J1288" t="s">
        <v>832</v>
      </c>
      <c r="K1288" t="s">
        <v>31</v>
      </c>
      <c r="L1288" t="s">
        <v>1038</v>
      </c>
      <c r="M1288" t="s">
        <v>1163</v>
      </c>
      <c r="N1288" s="57">
        <v>1300</v>
      </c>
      <c r="O1288" t="s">
        <v>100</v>
      </c>
      <c r="P1288" t="s">
        <v>93</v>
      </c>
      <c r="Q1288" s="3">
        <v>39594</v>
      </c>
      <c r="R1288" s="10">
        <f t="shared" ca="1" si="41"/>
        <v>46229</v>
      </c>
      <c r="S1288" s="7">
        <f t="shared" ca="1" si="40"/>
        <v>18.17808219178082</v>
      </c>
    </row>
    <row r="1289" spans="1:19" x14ac:dyDescent="0.25">
      <c r="A1289">
        <v>966962</v>
      </c>
      <c r="B1289" t="s">
        <v>790</v>
      </c>
      <c r="C1289" t="s">
        <v>17</v>
      </c>
      <c r="D1289" s="6" t="s">
        <v>22</v>
      </c>
      <c r="E1289" t="s">
        <v>72</v>
      </c>
      <c r="G1289" s="6" t="s">
        <v>969</v>
      </c>
      <c r="H1289" s="59" t="s">
        <v>1024</v>
      </c>
      <c r="I1289" s="58" t="s">
        <v>887</v>
      </c>
      <c r="J1289" t="s">
        <v>832</v>
      </c>
      <c r="K1289" t="s">
        <v>31</v>
      </c>
      <c r="L1289" t="s">
        <v>1038</v>
      </c>
      <c r="M1289" t="s">
        <v>1163</v>
      </c>
      <c r="N1289" s="57">
        <v>1300</v>
      </c>
      <c r="O1289" t="s">
        <v>100</v>
      </c>
      <c r="P1289" t="s">
        <v>93</v>
      </c>
      <c r="Q1289" s="3">
        <v>45110</v>
      </c>
      <c r="R1289" s="10">
        <f t="shared" ca="1" si="41"/>
        <v>46229</v>
      </c>
      <c r="S1289" s="7">
        <f t="shared" ca="1" si="40"/>
        <v>3.0657534246575344</v>
      </c>
    </row>
    <row r="1290" spans="1:19" x14ac:dyDescent="0.25">
      <c r="A1290">
        <v>1006179</v>
      </c>
      <c r="B1290" t="s">
        <v>109</v>
      </c>
      <c r="C1290" t="s">
        <v>17</v>
      </c>
      <c r="D1290" s="6" t="s">
        <v>39</v>
      </c>
      <c r="E1290" t="s">
        <v>83</v>
      </c>
      <c r="G1290" s="6" t="s">
        <v>968</v>
      </c>
      <c r="H1290" s="59" t="s">
        <v>92</v>
      </c>
      <c r="I1290" s="58" t="s">
        <v>830</v>
      </c>
      <c r="J1290" t="s">
        <v>94</v>
      </c>
      <c r="K1290" t="s">
        <v>27</v>
      </c>
      <c r="L1290" t="s">
        <v>966</v>
      </c>
      <c r="M1290" t="s">
        <v>1163</v>
      </c>
      <c r="N1290" s="57">
        <v>5700</v>
      </c>
      <c r="O1290" t="s">
        <v>100</v>
      </c>
      <c r="P1290" t="s">
        <v>38</v>
      </c>
      <c r="Q1290" s="3">
        <v>45173</v>
      </c>
      <c r="R1290" s="10">
        <f t="shared" ca="1" si="41"/>
        <v>46229</v>
      </c>
      <c r="S1290" s="7">
        <f t="shared" ca="1" si="40"/>
        <v>2.893150684931507</v>
      </c>
    </row>
    <row r="1291" spans="1:19" x14ac:dyDescent="0.25">
      <c r="A1291">
        <v>1139161</v>
      </c>
      <c r="B1291" t="s">
        <v>165</v>
      </c>
      <c r="C1291" t="s">
        <v>17</v>
      </c>
      <c r="D1291" s="6" t="s">
        <v>39</v>
      </c>
      <c r="E1291" t="s">
        <v>83</v>
      </c>
      <c r="G1291" s="6" t="s">
        <v>968</v>
      </c>
      <c r="H1291" s="59" t="s">
        <v>92</v>
      </c>
      <c r="I1291" s="58" t="s">
        <v>830</v>
      </c>
      <c r="J1291" t="s">
        <v>94</v>
      </c>
      <c r="K1291" t="s">
        <v>27</v>
      </c>
      <c r="L1291" t="s">
        <v>966</v>
      </c>
      <c r="M1291" t="s">
        <v>1163</v>
      </c>
      <c r="N1291" s="57">
        <v>5700</v>
      </c>
      <c r="O1291" t="s">
        <v>100</v>
      </c>
      <c r="P1291" t="s">
        <v>93</v>
      </c>
      <c r="Q1291" s="3">
        <v>44487</v>
      </c>
      <c r="R1291" s="10">
        <f t="shared" ca="1" si="41"/>
        <v>46229</v>
      </c>
      <c r="S1291" s="7">
        <f t="shared" ca="1" si="40"/>
        <v>4.7726027397260271</v>
      </c>
    </row>
    <row r="1292" spans="1:19" x14ac:dyDescent="0.25">
      <c r="A1292">
        <v>1171171</v>
      </c>
      <c r="B1292" t="s">
        <v>201</v>
      </c>
      <c r="C1292" t="s">
        <v>17</v>
      </c>
      <c r="D1292" s="6" t="s">
        <v>39</v>
      </c>
      <c r="E1292" t="s">
        <v>83</v>
      </c>
      <c r="G1292" s="6" t="s">
        <v>968</v>
      </c>
      <c r="H1292" s="59" t="s">
        <v>92</v>
      </c>
      <c r="I1292" s="58" t="s">
        <v>830</v>
      </c>
      <c r="J1292" t="s">
        <v>94</v>
      </c>
      <c r="K1292" t="s">
        <v>27</v>
      </c>
      <c r="L1292" t="s">
        <v>966</v>
      </c>
      <c r="M1292" t="s">
        <v>1163</v>
      </c>
      <c r="N1292" s="57">
        <v>5700</v>
      </c>
      <c r="O1292" t="s">
        <v>100</v>
      </c>
      <c r="P1292" t="s">
        <v>38</v>
      </c>
      <c r="Q1292" s="3">
        <v>44907</v>
      </c>
      <c r="R1292" s="10">
        <f t="shared" ca="1" si="41"/>
        <v>46229</v>
      </c>
      <c r="S1292" s="7">
        <f t="shared" ca="1" si="40"/>
        <v>3.6219178082191781</v>
      </c>
    </row>
    <row r="1293" spans="1:19" x14ac:dyDescent="0.25">
      <c r="A1293">
        <v>1171489</v>
      </c>
      <c r="B1293" t="s">
        <v>1455</v>
      </c>
      <c r="C1293" t="s">
        <v>17</v>
      </c>
      <c r="D1293" s="6" t="s">
        <v>39</v>
      </c>
      <c r="E1293" t="s">
        <v>83</v>
      </c>
      <c r="G1293" s="6" t="s">
        <v>968</v>
      </c>
      <c r="H1293" s="59" t="s">
        <v>92</v>
      </c>
      <c r="I1293" s="58" t="s">
        <v>830</v>
      </c>
      <c r="J1293" t="s">
        <v>94</v>
      </c>
      <c r="K1293" t="s">
        <v>27</v>
      </c>
      <c r="L1293" t="s">
        <v>966</v>
      </c>
      <c r="M1293" t="s">
        <v>1163</v>
      </c>
      <c r="N1293" s="57">
        <v>5700</v>
      </c>
      <c r="O1293" t="s">
        <v>100</v>
      </c>
      <c r="P1293" t="s">
        <v>38</v>
      </c>
      <c r="Q1293" s="3">
        <v>46153</v>
      </c>
      <c r="R1293" s="10">
        <f t="shared" ca="1" si="41"/>
        <v>46229</v>
      </c>
      <c r="S1293" s="7">
        <f t="shared" ca="1" si="40"/>
        <v>0.20821917808219179</v>
      </c>
    </row>
    <row r="1294" spans="1:19" x14ac:dyDescent="0.25">
      <c r="A1294">
        <v>905006</v>
      </c>
      <c r="B1294" t="s">
        <v>760</v>
      </c>
      <c r="C1294" t="s">
        <v>17</v>
      </c>
      <c r="D1294" s="6" t="s">
        <v>39</v>
      </c>
      <c r="E1294" t="s">
        <v>946</v>
      </c>
      <c r="G1294" s="6" t="s">
        <v>1839</v>
      </c>
      <c r="H1294" s="59" t="s">
        <v>92</v>
      </c>
      <c r="I1294" s="58" t="s">
        <v>942</v>
      </c>
      <c r="J1294" t="s">
        <v>863</v>
      </c>
      <c r="K1294" t="s">
        <v>864</v>
      </c>
      <c r="L1294" t="s">
        <v>966</v>
      </c>
      <c r="M1294" t="s">
        <v>1163</v>
      </c>
      <c r="N1294" s="57">
        <v>7400</v>
      </c>
      <c r="O1294" t="s">
        <v>100</v>
      </c>
      <c r="P1294" t="s">
        <v>38</v>
      </c>
      <c r="Q1294" s="3">
        <v>41946</v>
      </c>
      <c r="R1294" s="10">
        <f t="shared" ca="1" si="41"/>
        <v>46229</v>
      </c>
      <c r="S1294" s="7">
        <f t="shared" ca="1" si="40"/>
        <v>11.734246575342466</v>
      </c>
    </row>
    <row r="1295" spans="1:19" x14ac:dyDescent="0.25">
      <c r="A1295">
        <v>1006419</v>
      </c>
      <c r="B1295" t="s">
        <v>110</v>
      </c>
      <c r="C1295" t="s">
        <v>17</v>
      </c>
      <c r="D1295" s="6" t="s">
        <v>22</v>
      </c>
      <c r="E1295" t="s">
        <v>72</v>
      </c>
      <c r="G1295" s="6" t="s">
        <v>969</v>
      </c>
      <c r="H1295" s="59" t="s">
        <v>1016</v>
      </c>
      <c r="I1295" s="58" t="s">
        <v>831</v>
      </c>
      <c r="J1295" t="s">
        <v>832</v>
      </c>
      <c r="K1295" t="s">
        <v>31</v>
      </c>
      <c r="L1295" t="s">
        <v>966</v>
      </c>
      <c r="M1295" t="s">
        <v>1163</v>
      </c>
      <c r="N1295" s="57">
        <v>1300</v>
      </c>
      <c r="O1295" t="s">
        <v>100</v>
      </c>
      <c r="P1295" t="s">
        <v>93</v>
      </c>
      <c r="Q1295" s="3">
        <v>42824</v>
      </c>
      <c r="R1295" s="10">
        <f t="shared" ca="1" si="41"/>
        <v>46229</v>
      </c>
      <c r="S1295" s="7">
        <f t="shared" ca="1" si="40"/>
        <v>9.3287671232876708</v>
      </c>
    </row>
    <row r="1296" spans="1:19" x14ac:dyDescent="0.25">
      <c r="A1296">
        <v>3001953</v>
      </c>
      <c r="B1296" t="s">
        <v>360</v>
      </c>
      <c r="C1296" t="s">
        <v>17</v>
      </c>
      <c r="D1296" s="6" t="s">
        <v>22</v>
      </c>
      <c r="E1296" t="s">
        <v>72</v>
      </c>
      <c r="G1296" s="6" t="s">
        <v>969</v>
      </c>
      <c r="H1296" s="59" t="s">
        <v>1016</v>
      </c>
      <c r="I1296" s="58" t="s">
        <v>831</v>
      </c>
      <c r="J1296" t="s">
        <v>832</v>
      </c>
      <c r="K1296" t="s">
        <v>31</v>
      </c>
      <c r="L1296" t="s">
        <v>1038</v>
      </c>
      <c r="M1296" t="s">
        <v>1163</v>
      </c>
      <c r="N1296" s="57">
        <v>1300</v>
      </c>
      <c r="O1296" t="s">
        <v>100</v>
      </c>
      <c r="P1296" t="s">
        <v>93</v>
      </c>
      <c r="Q1296" s="3">
        <v>43713</v>
      </c>
      <c r="R1296" s="10">
        <f t="shared" ca="1" si="41"/>
        <v>46229</v>
      </c>
      <c r="S1296" s="7">
        <f t="shared" ca="1" si="40"/>
        <v>6.8931506849315065</v>
      </c>
    </row>
    <row r="1297" spans="1:19" x14ac:dyDescent="0.25">
      <c r="A1297">
        <v>37778</v>
      </c>
      <c r="B1297" t="s">
        <v>417</v>
      </c>
      <c r="C1297" t="s">
        <v>17</v>
      </c>
      <c r="D1297" s="6" t="s">
        <v>22</v>
      </c>
      <c r="E1297" t="s">
        <v>72</v>
      </c>
      <c r="G1297" s="6" t="s">
        <v>969</v>
      </c>
      <c r="H1297" s="59" t="s">
        <v>1016</v>
      </c>
      <c r="I1297" s="58" t="s">
        <v>831</v>
      </c>
      <c r="J1297" t="s">
        <v>832</v>
      </c>
      <c r="K1297" t="s">
        <v>31</v>
      </c>
      <c r="L1297" t="s">
        <v>1038</v>
      </c>
      <c r="M1297" t="s">
        <v>1163</v>
      </c>
      <c r="N1297" s="57">
        <v>1300</v>
      </c>
      <c r="O1297" t="s">
        <v>100</v>
      </c>
      <c r="P1297" t="s">
        <v>93</v>
      </c>
      <c r="Q1297" s="3">
        <v>44928</v>
      </c>
      <c r="R1297" s="10">
        <f t="shared" ca="1" si="41"/>
        <v>46229</v>
      </c>
      <c r="S1297" s="7">
        <f t="shared" ca="1" si="40"/>
        <v>3.5643835616438357</v>
      </c>
    </row>
    <row r="1298" spans="1:19" x14ac:dyDescent="0.25">
      <c r="A1298">
        <v>4078890</v>
      </c>
      <c r="B1298" t="s">
        <v>547</v>
      </c>
      <c r="C1298" t="s">
        <v>17</v>
      </c>
      <c r="D1298" s="6" t="s">
        <v>22</v>
      </c>
      <c r="E1298" t="s">
        <v>72</v>
      </c>
      <c r="G1298" s="6" t="s">
        <v>969</v>
      </c>
      <c r="H1298" s="59" t="s">
        <v>1016</v>
      </c>
      <c r="I1298" s="58" t="s">
        <v>831</v>
      </c>
      <c r="J1298" t="s">
        <v>832</v>
      </c>
      <c r="K1298" t="s">
        <v>31</v>
      </c>
      <c r="L1298" t="s">
        <v>1038</v>
      </c>
      <c r="M1298" t="s">
        <v>1163</v>
      </c>
      <c r="N1298" s="57">
        <v>1300</v>
      </c>
      <c r="O1298" t="s">
        <v>100</v>
      </c>
      <c r="P1298" t="s">
        <v>93</v>
      </c>
      <c r="Q1298" s="3">
        <v>44949</v>
      </c>
      <c r="R1298" s="10">
        <f t="shared" ca="1" si="41"/>
        <v>46229</v>
      </c>
      <c r="S1298" s="7">
        <f t="shared" ca="1" si="40"/>
        <v>3.506849315068493</v>
      </c>
    </row>
    <row r="1299" spans="1:19" x14ac:dyDescent="0.25">
      <c r="A1299">
        <v>1096155</v>
      </c>
      <c r="B1299" t="s">
        <v>152</v>
      </c>
      <c r="C1299" t="s">
        <v>17</v>
      </c>
      <c r="D1299" s="6" t="s">
        <v>22</v>
      </c>
      <c r="E1299" t="s">
        <v>66</v>
      </c>
      <c r="G1299" s="6" t="s">
        <v>970</v>
      </c>
      <c r="H1299" s="59" t="s">
        <v>1030</v>
      </c>
      <c r="I1299" s="58" t="s">
        <v>874</v>
      </c>
      <c r="J1299" t="s">
        <v>849</v>
      </c>
      <c r="K1299" t="s">
        <v>837</v>
      </c>
      <c r="L1299" t="s">
        <v>1038</v>
      </c>
      <c r="M1299" t="s">
        <v>1163</v>
      </c>
      <c r="N1299" s="57">
        <v>1400</v>
      </c>
      <c r="O1299" t="s">
        <v>100</v>
      </c>
      <c r="P1299" t="s">
        <v>93</v>
      </c>
      <c r="Q1299" s="3">
        <v>43619</v>
      </c>
      <c r="R1299" s="10">
        <f t="shared" ca="1" si="41"/>
        <v>46229</v>
      </c>
      <c r="S1299" s="7">
        <f t="shared" ca="1" si="40"/>
        <v>7.1506849315068495</v>
      </c>
    </row>
    <row r="1300" spans="1:19" x14ac:dyDescent="0.25">
      <c r="A1300">
        <v>21346</v>
      </c>
      <c r="B1300" t="s">
        <v>304</v>
      </c>
      <c r="C1300" t="s">
        <v>17</v>
      </c>
      <c r="D1300" s="6" t="s">
        <v>22</v>
      </c>
      <c r="E1300" t="s">
        <v>66</v>
      </c>
      <c r="G1300" s="6" t="s">
        <v>970</v>
      </c>
      <c r="H1300" s="59" t="s">
        <v>1030</v>
      </c>
      <c r="I1300" s="58" t="s">
        <v>874</v>
      </c>
      <c r="J1300" t="s">
        <v>849</v>
      </c>
      <c r="K1300" t="s">
        <v>837</v>
      </c>
      <c r="L1300" t="s">
        <v>25</v>
      </c>
      <c r="M1300" t="s">
        <v>1163</v>
      </c>
      <c r="N1300" s="57">
        <v>1400</v>
      </c>
      <c r="O1300" t="s">
        <v>100</v>
      </c>
      <c r="P1300" t="s">
        <v>38</v>
      </c>
      <c r="Q1300" s="3">
        <v>45092</v>
      </c>
      <c r="R1300" s="10">
        <f t="shared" ca="1" si="41"/>
        <v>46229</v>
      </c>
      <c r="S1300" s="7">
        <f t="shared" ca="1" si="40"/>
        <v>3.1150684931506851</v>
      </c>
    </row>
    <row r="1301" spans="1:19" x14ac:dyDescent="0.25">
      <c r="A1301">
        <v>4062980</v>
      </c>
      <c r="B1301" t="s">
        <v>502</v>
      </c>
      <c r="C1301" t="s">
        <v>17</v>
      </c>
      <c r="D1301" s="6" t="s">
        <v>22</v>
      </c>
      <c r="E1301" t="s">
        <v>66</v>
      </c>
      <c r="G1301" s="6" t="s">
        <v>970</v>
      </c>
      <c r="H1301" s="59" t="s">
        <v>1030</v>
      </c>
      <c r="I1301" s="58" t="s">
        <v>874</v>
      </c>
      <c r="J1301" t="s">
        <v>849</v>
      </c>
      <c r="K1301" t="s">
        <v>837</v>
      </c>
      <c r="L1301" t="s">
        <v>91</v>
      </c>
      <c r="M1301" t="s">
        <v>1163</v>
      </c>
      <c r="N1301" s="57">
        <v>1400</v>
      </c>
      <c r="O1301" t="s">
        <v>100</v>
      </c>
      <c r="P1301" t="s">
        <v>38</v>
      </c>
      <c r="Q1301" s="3">
        <v>44774</v>
      </c>
      <c r="R1301" s="10">
        <f t="shared" ca="1" si="41"/>
        <v>46229</v>
      </c>
      <c r="S1301" s="7">
        <f t="shared" ca="1" si="40"/>
        <v>3.9863013698630136</v>
      </c>
    </row>
    <row r="1302" spans="1:19" x14ac:dyDescent="0.25">
      <c r="A1302">
        <v>4094661</v>
      </c>
      <c r="B1302" t="s">
        <v>582</v>
      </c>
      <c r="C1302" t="s">
        <v>17</v>
      </c>
      <c r="D1302" s="6" t="s">
        <v>22</v>
      </c>
      <c r="E1302" t="s">
        <v>66</v>
      </c>
      <c r="G1302" s="6" t="s">
        <v>970</v>
      </c>
      <c r="H1302" s="59" t="s">
        <v>1030</v>
      </c>
      <c r="I1302" s="58" t="s">
        <v>874</v>
      </c>
      <c r="J1302" t="s">
        <v>849</v>
      </c>
      <c r="K1302" t="s">
        <v>837</v>
      </c>
      <c r="L1302" t="s">
        <v>25</v>
      </c>
      <c r="M1302" t="s">
        <v>1163</v>
      </c>
      <c r="N1302" s="57">
        <v>1400</v>
      </c>
      <c r="O1302" t="s">
        <v>100</v>
      </c>
      <c r="P1302" t="s">
        <v>93</v>
      </c>
      <c r="Q1302" s="3">
        <v>45166</v>
      </c>
      <c r="R1302" s="10">
        <f t="shared" ca="1" si="41"/>
        <v>46229</v>
      </c>
      <c r="S1302" s="7">
        <f t="shared" ca="1" si="40"/>
        <v>2.9123287671232876</v>
      </c>
    </row>
    <row r="1303" spans="1:19" x14ac:dyDescent="0.25">
      <c r="A1303">
        <v>4099963</v>
      </c>
      <c r="B1303" t="s">
        <v>599</v>
      </c>
      <c r="C1303" t="s">
        <v>17</v>
      </c>
      <c r="D1303" s="6" t="s">
        <v>22</v>
      </c>
      <c r="E1303" t="s">
        <v>66</v>
      </c>
      <c r="G1303" s="6" t="s">
        <v>970</v>
      </c>
      <c r="H1303" s="59" t="s">
        <v>1030</v>
      </c>
      <c r="I1303" s="58" t="s">
        <v>874</v>
      </c>
      <c r="J1303" t="s">
        <v>849</v>
      </c>
      <c r="K1303" t="s">
        <v>837</v>
      </c>
      <c r="L1303" t="s">
        <v>91</v>
      </c>
      <c r="M1303" t="s">
        <v>1163</v>
      </c>
      <c r="N1303" s="57">
        <v>1400</v>
      </c>
      <c r="O1303" t="s">
        <v>100</v>
      </c>
      <c r="P1303" t="s">
        <v>93</v>
      </c>
      <c r="Q1303" s="3">
        <v>45411</v>
      </c>
      <c r="R1303" s="10">
        <f t="shared" ca="1" si="41"/>
        <v>46229</v>
      </c>
      <c r="S1303" s="7">
        <f t="shared" ca="1" si="40"/>
        <v>2.2410958904109588</v>
      </c>
    </row>
    <row r="1304" spans="1:19" x14ac:dyDescent="0.25">
      <c r="A1304">
        <v>1233716</v>
      </c>
      <c r="B1304" t="s">
        <v>1595</v>
      </c>
      <c r="C1304" t="s">
        <v>17</v>
      </c>
      <c r="D1304" s="6" t="s">
        <v>22</v>
      </c>
      <c r="E1304" t="s">
        <v>66</v>
      </c>
      <c r="G1304" s="6" t="s">
        <v>970</v>
      </c>
      <c r="H1304" s="59" t="s">
        <v>1030</v>
      </c>
      <c r="I1304" s="58" t="s">
        <v>874</v>
      </c>
      <c r="J1304" t="s">
        <v>849</v>
      </c>
      <c r="K1304" t="s">
        <v>837</v>
      </c>
      <c r="L1304" t="s">
        <v>1038</v>
      </c>
      <c r="M1304" t="s">
        <v>1163</v>
      </c>
      <c r="N1304" s="57">
        <v>1400</v>
      </c>
      <c r="O1304" t="s">
        <v>100</v>
      </c>
      <c r="P1304" t="s">
        <v>93</v>
      </c>
      <c r="Q1304" s="3">
        <v>46181</v>
      </c>
      <c r="R1304" s="10">
        <f t="shared" ca="1" si="41"/>
        <v>46229</v>
      </c>
      <c r="S1304" s="7">
        <f t="shared" ca="1" si="40"/>
        <v>0.13150684931506848</v>
      </c>
    </row>
    <row r="1305" spans="1:19" x14ac:dyDescent="0.25">
      <c r="A1305">
        <v>821531</v>
      </c>
      <c r="B1305" t="s">
        <v>732</v>
      </c>
      <c r="C1305" t="s">
        <v>17</v>
      </c>
      <c r="D1305" s="6" t="s">
        <v>22</v>
      </c>
      <c r="E1305" t="s">
        <v>66</v>
      </c>
      <c r="G1305" s="6" t="s">
        <v>970</v>
      </c>
      <c r="H1305" s="59" t="s">
        <v>1030</v>
      </c>
      <c r="I1305" s="58" t="s">
        <v>874</v>
      </c>
      <c r="J1305" t="s">
        <v>849</v>
      </c>
      <c r="K1305" t="s">
        <v>837</v>
      </c>
      <c r="L1305" t="s">
        <v>25</v>
      </c>
      <c r="M1305" t="s">
        <v>1163</v>
      </c>
      <c r="N1305" s="57">
        <v>1400</v>
      </c>
      <c r="O1305" t="s">
        <v>100</v>
      </c>
      <c r="P1305" t="s">
        <v>93</v>
      </c>
      <c r="Q1305" s="3">
        <v>41869</v>
      </c>
      <c r="R1305" s="10">
        <f t="shared" ca="1" si="41"/>
        <v>46229</v>
      </c>
      <c r="S1305" s="7">
        <f t="shared" ca="1" si="40"/>
        <v>11.945205479452055</v>
      </c>
    </row>
    <row r="1306" spans="1:19" x14ac:dyDescent="0.25">
      <c r="A1306">
        <v>1018211</v>
      </c>
      <c r="B1306" t="s">
        <v>133</v>
      </c>
      <c r="C1306" t="s">
        <v>17</v>
      </c>
      <c r="D1306" s="6" t="s">
        <v>39</v>
      </c>
      <c r="E1306" t="s">
        <v>75</v>
      </c>
      <c r="G1306" s="6" t="s">
        <v>1843</v>
      </c>
      <c r="H1306" s="59" t="s">
        <v>92</v>
      </c>
      <c r="I1306" s="58" t="s">
        <v>822</v>
      </c>
      <c r="J1306" t="s">
        <v>28</v>
      </c>
      <c r="K1306" t="s">
        <v>27</v>
      </c>
      <c r="L1306" t="s">
        <v>966</v>
      </c>
      <c r="M1306" t="s">
        <v>1163</v>
      </c>
      <c r="N1306" s="57">
        <v>6420</v>
      </c>
      <c r="O1306" t="s">
        <v>100</v>
      </c>
      <c r="P1306" t="s">
        <v>38</v>
      </c>
      <c r="Q1306" s="3">
        <v>42891</v>
      </c>
      <c r="R1306" s="10">
        <f t="shared" ca="1" si="41"/>
        <v>46229</v>
      </c>
      <c r="S1306" s="7">
        <f t="shared" ca="1" si="40"/>
        <v>9.1452054794520556</v>
      </c>
    </row>
    <row r="1307" spans="1:19" x14ac:dyDescent="0.25">
      <c r="A1307">
        <v>1229871</v>
      </c>
      <c r="B1307" t="s">
        <v>1225</v>
      </c>
      <c r="C1307" t="s">
        <v>17</v>
      </c>
      <c r="D1307" s="6" t="s">
        <v>22</v>
      </c>
      <c r="E1307" t="s">
        <v>65</v>
      </c>
      <c r="G1307" s="6" t="s">
        <v>967</v>
      </c>
      <c r="H1307" s="59" t="s">
        <v>1022</v>
      </c>
      <c r="I1307" s="58" t="s">
        <v>822</v>
      </c>
      <c r="J1307" t="s">
        <v>28</v>
      </c>
      <c r="K1307" t="s">
        <v>27</v>
      </c>
      <c r="L1307" t="s">
        <v>966</v>
      </c>
      <c r="M1307" t="s">
        <v>1163</v>
      </c>
      <c r="N1307" s="57">
        <v>1500</v>
      </c>
      <c r="O1307" t="s">
        <v>100</v>
      </c>
      <c r="P1307" t="s">
        <v>93</v>
      </c>
      <c r="Q1307" s="3">
        <v>46125</v>
      </c>
      <c r="R1307" s="10">
        <f t="shared" ca="1" si="41"/>
        <v>46229</v>
      </c>
      <c r="S1307" s="7">
        <f t="shared" ca="1" si="40"/>
        <v>0.28493150684931506</v>
      </c>
    </row>
    <row r="1308" spans="1:19" x14ac:dyDescent="0.25">
      <c r="A1308">
        <v>1000412</v>
      </c>
      <c r="B1308" t="s">
        <v>1149</v>
      </c>
      <c r="C1308" t="s">
        <v>17</v>
      </c>
      <c r="D1308" s="6" t="s">
        <v>22</v>
      </c>
      <c r="E1308" t="s">
        <v>21</v>
      </c>
      <c r="G1308" s="6" t="s">
        <v>968</v>
      </c>
      <c r="H1308" s="59" t="s">
        <v>1020</v>
      </c>
      <c r="I1308" s="58" t="s">
        <v>909</v>
      </c>
      <c r="J1308" t="s">
        <v>839</v>
      </c>
      <c r="K1308" t="s">
        <v>830</v>
      </c>
      <c r="L1308" t="s">
        <v>25</v>
      </c>
      <c r="M1308" t="s">
        <v>1163</v>
      </c>
      <c r="N1308" s="57">
        <v>1200</v>
      </c>
      <c r="O1308" t="s">
        <v>100</v>
      </c>
      <c r="P1308" t="s">
        <v>93</v>
      </c>
      <c r="Q1308" s="3">
        <v>46090</v>
      </c>
      <c r="R1308" s="10">
        <f t="shared" ca="1" si="41"/>
        <v>46229</v>
      </c>
      <c r="S1308" s="7">
        <f t="shared" ca="1" si="40"/>
        <v>0.38082191780821917</v>
      </c>
    </row>
    <row r="1309" spans="1:19" x14ac:dyDescent="0.25">
      <c r="A1309">
        <v>1009640</v>
      </c>
      <c r="B1309" t="s">
        <v>1150</v>
      </c>
      <c r="C1309" t="s">
        <v>17</v>
      </c>
      <c r="D1309" s="6" t="s">
        <v>22</v>
      </c>
      <c r="E1309" t="s">
        <v>21</v>
      </c>
      <c r="G1309" s="6" t="s">
        <v>968</v>
      </c>
      <c r="H1309" s="59" t="s">
        <v>1020</v>
      </c>
      <c r="I1309" s="58" t="s">
        <v>909</v>
      </c>
      <c r="J1309" t="s">
        <v>839</v>
      </c>
      <c r="K1309" t="s">
        <v>830</v>
      </c>
      <c r="L1309" t="s">
        <v>25</v>
      </c>
      <c r="M1309" t="s">
        <v>1163</v>
      </c>
      <c r="N1309" s="57">
        <v>1200</v>
      </c>
      <c r="O1309" t="s">
        <v>100</v>
      </c>
      <c r="P1309" t="s">
        <v>93</v>
      </c>
      <c r="Q1309" s="3">
        <v>43804</v>
      </c>
      <c r="R1309" s="10">
        <f t="shared" ca="1" si="41"/>
        <v>46229</v>
      </c>
      <c r="S1309" s="7">
        <f t="shared" ca="1" si="40"/>
        <v>6.6438356164383565</v>
      </c>
    </row>
    <row r="1310" spans="1:19" x14ac:dyDescent="0.25">
      <c r="A1310">
        <v>26410</v>
      </c>
      <c r="B1310" t="s">
        <v>325</v>
      </c>
      <c r="C1310" t="s">
        <v>17</v>
      </c>
      <c r="D1310" s="6" t="s">
        <v>22</v>
      </c>
      <c r="E1310" t="s">
        <v>21</v>
      </c>
      <c r="G1310" s="6" t="s">
        <v>968</v>
      </c>
      <c r="H1310" s="59" t="s">
        <v>1020</v>
      </c>
      <c r="I1310" s="58" t="s">
        <v>909</v>
      </c>
      <c r="J1310" t="s">
        <v>839</v>
      </c>
      <c r="K1310" t="s">
        <v>830</v>
      </c>
      <c r="L1310" t="s">
        <v>25</v>
      </c>
      <c r="M1310" t="s">
        <v>1163</v>
      </c>
      <c r="N1310" s="57">
        <v>1200</v>
      </c>
      <c r="O1310" t="s">
        <v>100</v>
      </c>
      <c r="P1310" t="s">
        <v>20</v>
      </c>
      <c r="Q1310" s="3">
        <v>45603</v>
      </c>
      <c r="R1310" s="10">
        <f t="shared" ca="1" si="41"/>
        <v>46229</v>
      </c>
      <c r="S1310" s="7">
        <f t="shared" ca="1" si="40"/>
        <v>1.715068493150685</v>
      </c>
    </row>
    <row r="1311" spans="1:19" x14ac:dyDescent="0.25">
      <c r="A1311">
        <v>26584</v>
      </c>
      <c r="B1311" t="s">
        <v>1128</v>
      </c>
      <c r="C1311" t="s">
        <v>17</v>
      </c>
      <c r="D1311" s="6" t="s">
        <v>22</v>
      </c>
      <c r="E1311" t="s">
        <v>21</v>
      </c>
      <c r="G1311" s="6" t="s">
        <v>968</v>
      </c>
      <c r="H1311" s="59" t="s">
        <v>1020</v>
      </c>
      <c r="I1311" s="58" t="s">
        <v>909</v>
      </c>
      <c r="J1311" t="s">
        <v>839</v>
      </c>
      <c r="K1311" t="s">
        <v>830</v>
      </c>
      <c r="L1311" t="s">
        <v>25</v>
      </c>
      <c r="M1311" t="s">
        <v>1163</v>
      </c>
      <c r="N1311" s="57">
        <v>1200</v>
      </c>
      <c r="O1311" t="s">
        <v>100</v>
      </c>
      <c r="P1311" t="s">
        <v>93</v>
      </c>
      <c r="Q1311" s="3">
        <v>46086</v>
      </c>
      <c r="R1311" s="10">
        <f t="shared" ca="1" si="41"/>
        <v>46229</v>
      </c>
      <c r="S1311" s="7">
        <f t="shared" ca="1" si="40"/>
        <v>0.39178082191780822</v>
      </c>
    </row>
    <row r="1312" spans="1:19" x14ac:dyDescent="0.25">
      <c r="A1312">
        <v>26848</v>
      </c>
      <c r="B1312" t="s">
        <v>332</v>
      </c>
      <c r="C1312" t="s">
        <v>17</v>
      </c>
      <c r="D1312" s="6" t="s">
        <v>22</v>
      </c>
      <c r="E1312" t="s">
        <v>55</v>
      </c>
      <c r="G1312" s="6" t="s">
        <v>968</v>
      </c>
      <c r="H1312" s="59" t="s">
        <v>1020</v>
      </c>
      <c r="I1312" s="58" t="s">
        <v>909</v>
      </c>
      <c r="J1312" t="s">
        <v>839</v>
      </c>
      <c r="K1312" t="s">
        <v>830</v>
      </c>
      <c r="L1312" t="s">
        <v>25</v>
      </c>
      <c r="M1312" t="s">
        <v>1163</v>
      </c>
      <c r="N1312" s="57">
        <v>1200</v>
      </c>
      <c r="O1312" t="s">
        <v>100</v>
      </c>
      <c r="P1312" t="s">
        <v>93</v>
      </c>
      <c r="Q1312" s="3">
        <v>39055</v>
      </c>
      <c r="R1312" s="10">
        <f t="shared" ca="1" si="41"/>
        <v>46229</v>
      </c>
      <c r="S1312" s="7">
        <f t="shared" ca="1" si="40"/>
        <v>19.654794520547945</v>
      </c>
    </row>
    <row r="1313" spans="1:19" x14ac:dyDescent="0.25">
      <c r="A1313">
        <v>3001411</v>
      </c>
      <c r="B1313" t="s">
        <v>357</v>
      </c>
      <c r="C1313" t="s">
        <v>17</v>
      </c>
      <c r="D1313" s="6" t="s">
        <v>22</v>
      </c>
      <c r="E1313" t="s">
        <v>21</v>
      </c>
      <c r="G1313" s="6" t="s">
        <v>968</v>
      </c>
      <c r="H1313" s="59" t="s">
        <v>1020</v>
      </c>
      <c r="I1313" s="58" t="s">
        <v>909</v>
      </c>
      <c r="J1313" t="s">
        <v>839</v>
      </c>
      <c r="K1313" t="s">
        <v>830</v>
      </c>
      <c r="L1313" t="s">
        <v>25</v>
      </c>
      <c r="M1313" t="s">
        <v>1163</v>
      </c>
      <c r="N1313" s="57">
        <v>1200</v>
      </c>
      <c r="O1313" t="s">
        <v>100</v>
      </c>
      <c r="P1313" t="s">
        <v>93</v>
      </c>
      <c r="Q1313" s="3">
        <v>42985</v>
      </c>
      <c r="R1313" s="10">
        <f t="shared" ca="1" si="41"/>
        <v>46229</v>
      </c>
      <c r="S1313" s="7">
        <f t="shared" ca="1" si="40"/>
        <v>8.8876712328767127</v>
      </c>
    </row>
    <row r="1314" spans="1:19" x14ac:dyDescent="0.25">
      <c r="A1314">
        <v>3007024</v>
      </c>
      <c r="B1314" t="s">
        <v>367</v>
      </c>
      <c r="C1314" t="s">
        <v>17</v>
      </c>
      <c r="D1314" s="6" t="s">
        <v>22</v>
      </c>
      <c r="E1314" t="s">
        <v>55</v>
      </c>
      <c r="G1314" s="6" t="s">
        <v>968</v>
      </c>
      <c r="H1314" s="59" t="s">
        <v>1020</v>
      </c>
      <c r="I1314" s="58" t="s">
        <v>909</v>
      </c>
      <c r="J1314" t="s">
        <v>839</v>
      </c>
      <c r="K1314" t="s">
        <v>830</v>
      </c>
      <c r="L1314" t="s">
        <v>25</v>
      </c>
      <c r="M1314" t="s">
        <v>1163</v>
      </c>
      <c r="N1314" s="57">
        <v>1200</v>
      </c>
      <c r="O1314" t="s">
        <v>100</v>
      </c>
      <c r="P1314" t="s">
        <v>93</v>
      </c>
      <c r="Q1314" s="3">
        <v>44063</v>
      </c>
      <c r="R1314" s="10">
        <f t="shared" ca="1" si="41"/>
        <v>46229</v>
      </c>
      <c r="S1314" s="7">
        <f t="shared" ca="1" si="40"/>
        <v>5.934246575342466</v>
      </c>
    </row>
    <row r="1315" spans="1:19" x14ac:dyDescent="0.25">
      <c r="A1315">
        <v>4019496</v>
      </c>
      <c r="B1315" t="s">
        <v>436</v>
      </c>
      <c r="C1315" t="s">
        <v>17</v>
      </c>
      <c r="D1315" s="6" t="s">
        <v>22</v>
      </c>
      <c r="E1315" t="s">
        <v>55</v>
      </c>
      <c r="G1315" s="6" t="s">
        <v>968</v>
      </c>
      <c r="H1315" s="59" t="s">
        <v>1020</v>
      </c>
      <c r="I1315" s="58" t="s">
        <v>909</v>
      </c>
      <c r="J1315" t="s">
        <v>839</v>
      </c>
      <c r="K1315" t="s">
        <v>830</v>
      </c>
      <c r="L1315" t="s">
        <v>25</v>
      </c>
      <c r="M1315" t="s">
        <v>1163</v>
      </c>
      <c r="N1315" s="57">
        <v>1200</v>
      </c>
      <c r="O1315" t="s">
        <v>100</v>
      </c>
      <c r="P1315" t="s">
        <v>93</v>
      </c>
      <c r="Q1315" s="3">
        <v>44805</v>
      </c>
      <c r="R1315" s="10">
        <f t="shared" ca="1" si="41"/>
        <v>46229</v>
      </c>
      <c r="S1315" s="7">
        <f t="shared" ca="1" si="40"/>
        <v>3.9013698630136986</v>
      </c>
    </row>
    <row r="1316" spans="1:19" x14ac:dyDescent="0.25">
      <c r="A1316">
        <v>4040415</v>
      </c>
      <c r="B1316" t="s">
        <v>462</v>
      </c>
      <c r="C1316" t="s">
        <v>17</v>
      </c>
      <c r="D1316" s="6" t="s">
        <v>22</v>
      </c>
      <c r="E1316" t="s">
        <v>55</v>
      </c>
      <c r="G1316" s="6" t="s">
        <v>968</v>
      </c>
      <c r="H1316" s="59" t="s">
        <v>1020</v>
      </c>
      <c r="I1316" s="58" t="s">
        <v>909</v>
      </c>
      <c r="J1316" t="s">
        <v>839</v>
      </c>
      <c r="K1316" t="s">
        <v>830</v>
      </c>
      <c r="L1316" t="s">
        <v>25</v>
      </c>
      <c r="M1316" t="s">
        <v>1163</v>
      </c>
      <c r="N1316" s="57">
        <v>1200</v>
      </c>
      <c r="O1316" t="s">
        <v>100</v>
      </c>
      <c r="P1316" t="s">
        <v>93</v>
      </c>
      <c r="Q1316" s="3">
        <v>45439</v>
      </c>
      <c r="R1316" s="10">
        <f t="shared" ca="1" si="41"/>
        <v>46229</v>
      </c>
      <c r="S1316" s="7">
        <f t="shared" ca="1" si="40"/>
        <v>2.1643835616438358</v>
      </c>
    </row>
    <row r="1317" spans="1:19" x14ac:dyDescent="0.25">
      <c r="A1317">
        <v>4051066</v>
      </c>
      <c r="B1317" t="s">
        <v>478</v>
      </c>
      <c r="C1317" t="s">
        <v>17</v>
      </c>
      <c r="D1317" s="6" t="s">
        <v>22</v>
      </c>
      <c r="E1317" t="s">
        <v>55</v>
      </c>
      <c r="G1317" s="6" t="s">
        <v>968</v>
      </c>
      <c r="H1317" s="59" t="s">
        <v>1020</v>
      </c>
      <c r="I1317" s="58" t="s">
        <v>909</v>
      </c>
      <c r="J1317" t="s">
        <v>839</v>
      </c>
      <c r="K1317" t="s">
        <v>830</v>
      </c>
      <c r="L1317" t="s">
        <v>25</v>
      </c>
      <c r="M1317" t="s">
        <v>1163</v>
      </c>
      <c r="N1317" s="57">
        <v>1200</v>
      </c>
      <c r="O1317" t="s">
        <v>100</v>
      </c>
      <c r="P1317" t="s">
        <v>93</v>
      </c>
      <c r="Q1317" s="3">
        <v>44784</v>
      </c>
      <c r="R1317" s="10">
        <f t="shared" ca="1" si="41"/>
        <v>46229</v>
      </c>
      <c r="S1317" s="7">
        <f t="shared" ca="1" si="40"/>
        <v>3.9589041095890409</v>
      </c>
    </row>
    <row r="1318" spans="1:19" x14ac:dyDescent="0.25">
      <c r="A1318">
        <v>4051209</v>
      </c>
      <c r="B1318" t="s">
        <v>1235</v>
      </c>
      <c r="C1318" t="s">
        <v>1044</v>
      </c>
      <c r="D1318" s="6" t="s">
        <v>22</v>
      </c>
      <c r="E1318" t="s">
        <v>21</v>
      </c>
      <c r="G1318" s="6" t="s">
        <v>968</v>
      </c>
      <c r="H1318" s="59" t="s">
        <v>1020</v>
      </c>
      <c r="I1318" s="58" t="s">
        <v>909</v>
      </c>
      <c r="J1318" t="s">
        <v>839</v>
      </c>
      <c r="K1318" t="s">
        <v>830</v>
      </c>
      <c r="L1318" t="s">
        <v>25</v>
      </c>
      <c r="M1318" t="s">
        <v>1163</v>
      </c>
      <c r="N1318" s="57">
        <v>1200</v>
      </c>
      <c r="O1318" t="s">
        <v>100</v>
      </c>
      <c r="P1318" t="s">
        <v>93</v>
      </c>
      <c r="Q1318" s="3">
        <v>46121</v>
      </c>
      <c r="R1318" s="10">
        <f t="shared" ca="1" si="41"/>
        <v>46229</v>
      </c>
      <c r="S1318" s="7">
        <f t="shared" ca="1" si="40"/>
        <v>0.29589041095890412</v>
      </c>
    </row>
    <row r="1319" spans="1:19" x14ac:dyDescent="0.25">
      <c r="A1319">
        <v>4055512</v>
      </c>
      <c r="B1319" t="s">
        <v>1113</v>
      </c>
      <c r="C1319" t="s">
        <v>17</v>
      </c>
      <c r="D1319" s="6" t="s">
        <v>22</v>
      </c>
      <c r="E1319" t="s">
        <v>21</v>
      </c>
      <c r="G1319" s="6" t="s">
        <v>968</v>
      </c>
      <c r="H1319" s="59" t="s">
        <v>1020</v>
      </c>
      <c r="I1319" s="58" t="s">
        <v>909</v>
      </c>
      <c r="J1319" t="s">
        <v>839</v>
      </c>
      <c r="K1319" t="s">
        <v>830</v>
      </c>
      <c r="L1319" t="s">
        <v>25</v>
      </c>
      <c r="M1319" t="s">
        <v>1163</v>
      </c>
      <c r="N1319" s="57">
        <v>1200</v>
      </c>
      <c r="O1319" t="s">
        <v>100</v>
      </c>
      <c r="P1319" t="s">
        <v>93</v>
      </c>
      <c r="Q1319" s="3">
        <v>46079</v>
      </c>
      <c r="R1319" s="10">
        <f t="shared" ca="1" si="41"/>
        <v>46229</v>
      </c>
      <c r="S1319" s="7">
        <f t="shared" ca="1" si="40"/>
        <v>0.41095890410958902</v>
      </c>
    </row>
    <row r="1320" spans="1:19" x14ac:dyDescent="0.25">
      <c r="A1320">
        <v>4057295</v>
      </c>
      <c r="B1320" t="s">
        <v>1236</v>
      </c>
      <c r="C1320" t="s">
        <v>1044</v>
      </c>
      <c r="D1320" s="6" t="s">
        <v>22</v>
      </c>
      <c r="E1320" t="s">
        <v>21</v>
      </c>
      <c r="G1320" s="6" t="s">
        <v>968</v>
      </c>
      <c r="H1320" s="59" t="s">
        <v>1020</v>
      </c>
      <c r="I1320" s="58" t="s">
        <v>909</v>
      </c>
      <c r="J1320" t="s">
        <v>839</v>
      </c>
      <c r="K1320" t="s">
        <v>830</v>
      </c>
      <c r="L1320" t="s">
        <v>25</v>
      </c>
      <c r="M1320" t="s">
        <v>1163</v>
      </c>
      <c r="N1320" s="57">
        <v>1200</v>
      </c>
      <c r="O1320" t="s">
        <v>100</v>
      </c>
      <c r="P1320" t="s">
        <v>93</v>
      </c>
      <c r="Q1320" s="3">
        <v>46121</v>
      </c>
      <c r="R1320" s="10">
        <f t="shared" ca="1" si="41"/>
        <v>46229</v>
      </c>
      <c r="S1320" s="7">
        <f t="shared" ca="1" si="40"/>
        <v>0.29589041095890412</v>
      </c>
    </row>
    <row r="1321" spans="1:19" x14ac:dyDescent="0.25">
      <c r="A1321">
        <v>4059737</v>
      </c>
      <c r="B1321" t="s">
        <v>1238</v>
      </c>
      <c r="C1321" t="s">
        <v>1044</v>
      </c>
      <c r="D1321" s="6" t="s">
        <v>22</v>
      </c>
      <c r="E1321" t="s">
        <v>21</v>
      </c>
      <c r="G1321" s="6" t="s">
        <v>968</v>
      </c>
      <c r="H1321" s="59" t="s">
        <v>1020</v>
      </c>
      <c r="I1321" s="58" t="s">
        <v>909</v>
      </c>
      <c r="J1321" t="s">
        <v>839</v>
      </c>
      <c r="K1321" t="s">
        <v>830</v>
      </c>
      <c r="L1321" t="s">
        <v>25</v>
      </c>
      <c r="M1321" t="s">
        <v>1163</v>
      </c>
      <c r="N1321" s="57">
        <v>1200</v>
      </c>
      <c r="O1321" t="s">
        <v>100</v>
      </c>
      <c r="P1321" t="s">
        <v>93</v>
      </c>
      <c r="Q1321" s="3">
        <v>46121</v>
      </c>
      <c r="R1321" s="10">
        <f t="shared" ca="1" si="41"/>
        <v>46229</v>
      </c>
      <c r="S1321" s="7">
        <f t="shared" ca="1" si="40"/>
        <v>0.29589041095890412</v>
      </c>
    </row>
    <row r="1322" spans="1:19" x14ac:dyDescent="0.25">
      <c r="A1322">
        <v>4064938</v>
      </c>
      <c r="B1322" t="s">
        <v>513</v>
      </c>
      <c r="C1322" t="s">
        <v>17</v>
      </c>
      <c r="D1322" s="6" t="s">
        <v>22</v>
      </c>
      <c r="E1322" t="s">
        <v>55</v>
      </c>
      <c r="G1322" s="6" t="s">
        <v>968</v>
      </c>
      <c r="H1322" s="59" t="s">
        <v>1020</v>
      </c>
      <c r="I1322" s="58" t="s">
        <v>909</v>
      </c>
      <c r="J1322" t="s">
        <v>839</v>
      </c>
      <c r="K1322" t="s">
        <v>830</v>
      </c>
      <c r="L1322" t="s">
        <v>25</v>
      </c>
      <c r="M1322" t="s">
        <v>1163</v>
      </c>
      <c r="N1322" s="57">
        <v>1200</v>
      </c>
      <c r="O1322" t="s">
        <v>100</v>
      </c>
      <c r="P1322" t="s">
        <v>93</v>
      </c>
      <c r="Q1322" s="3">
        <v>44798</v>
      </c>
      <c r="R1322" s="10">
        <f t="shared" ca="1" si="41"/>
        <v>46229</v>
      </c>
      <c r="S1322" s="7">
        <f t="shared" ca="1" si="40"/>
        <v>3.9205479452054797</v>
      </c>
    </row>
    <row r="1323" spans="1:19" x14ac:dyDescent="0.25">
      <c r="A1323">
        <v>4078928</v>
      </c>
      <c r="B1323" t="s">
        <v>548</v>
      </c>
      <c r="C1323" t="s">
        <v>17</v>
      </c>
      <c r="D1323" s="6" t="s">
        <v>22</v>
      </c>
      <c r="E1323" t="s">
        <v>70</v>
      </c>
      <c r="G1323" s="6" t="s">
        <v>968</v>
      </c>
      <c r="H1323" s="59" t="s">
        <v>1020</v>
      </c>
      <c r="I1323" s="58" t="s">
        <v>909</v>
      </c>
      <c r="J1323" t="s">
        <v>839</v>
      </c>
      <c r="K1323" t="s">
        <v>830</v>
      </c>
      <c r="L1323" t="s">
        <v>25</v>
      </c>
      <c r="M1323" t="s">
        <v>1163</v>
      </c>
      <c r="N1323" s="57">
        <v>1200</v>
      </c>
      <c r="O1323" t="s">
        <v>100</v>
      </c>
      <c r="P1323" t="s">
        <v>93</v>
      </c>
      <c r="Q1323" s="3">
        <v>44949</v>
      </c>
      <c r="R1323" s="10">
        <f t="shared" ca="1" si="41"/>
        <v>46229</v>
      </c>
      <c r="S1323" s="7">
        <f t="shared" ca="1" si="40"/>
        <v>3.506849315068493</v>
      </c>
    </row>
    <row r="1324" spans="1:19" x14ac:dyDescent="0.25">
      <c r="A1324">
        <v>4086926</v>
      </c>
      <c r="B1324" t="s">
        <v>559</v>
      </c>
      <c r="C1324" t="s">
        <v>17</v>
      </c>
      <c r="D1324" s="6" t="s">
        <v>22</v>
      </c>
      <c r="E1324" t="s">
        <v>55</v>
      </c>
      <c r="G1324" s="6" t="s">
        <v>968</v>
      </c>
      <c r="H1324" s="59" t="s">
        <v>1020</v>
      </c>
      <c r="I1324" s="58" t="s">
        <v>909</v>
      </c>
      <c r="J1324" t="s">
        <v>839</v>
      </c>
      <c r="K1324" t="s">
        <v>830</v>
      </c>
      <c r="L1324" t="s">
        <v>25</v>
      </c>
      <c r="M1324" t="s">
        <v>1163</v>
      </c>
      <c r="N1324" s="57">
        <v>1200</v>
      </c>
      <c r="O1324" t="s">
        <v>100</v>
      </c>
      <c r="P1324" t="s">
        <v>93</v>
      </c>
      <c r="Q1324" s="3">
        <v>45029</v>
      </c>
      <c r="R1324" s="10">
        <f t="shared" ca="1" si="41"/>
        <v>46229</v>
      </c>
      <c r="S1324" s="7">
        <f t="shared" ca="1" si="40"/>
        <v>3.2876712328767121</v>
      </c>
    </row>
    <row r="1325" spans="1:19" x14ac:dyDescent="0.25">
      <c r="A1325">
        <v>4088995</v>
      </c>
      <c r="B1325" t="s">
        <v>1129</v>
      </c>
      <c r="C1325" t="s">
        <v>17</v>
      </c>
      <c r="D1325" s="6" t="s">
        <v>22</v>
      </c>
      <c r="E1325" t="s">
        <v>21</v>
      </c>
      <c r="G1325" s="6" t="s">
        <v>968</v>
      </c>
      <c r="H1325" s="59" t="s">
        <v>1020</v>
      </c>
      <c r="I1325" s="58" t="s">
        <v>909</v>
      </c>
      <c r="J1325" t="s">
        <v>839</v>
      </c>
      <c r="K1325" t="s">
        <v>830</v>
      </c>
      <c r="L1325" t="s">
        <v>25</v>
      </c>
      <c r="M1325" t="s">
        <v>1163</v>
      </c>
      <c r="N1325" s="57">
        <v>1200</v>
      </c>
      <c r="O1325" t="s">
        <v>100</v>
      </c>
      <c r="P1325" t="s">
        <v>93</v>
      </c>
      <c r="Q1325" s="3">
        <v>46086</v>
      </c>
      <c r="R1325" s="10">
        <f t="shared" ca="1" si="41"/>
        <v>46229</v>
      </c>
      <c r="S1325" s="7">
        <f t="shared" ca="1" si="40"/>
        <v>0.39178082191780822</v>
      </c>
    </row>
    <row r="1326" spans="1:19" x14ac:dyDescent="0.25">
      <c r="A1326">
        <v>4094535</v>
      </c>
      <c r="B1326" t="s">
        <v>576</v>
      </c>
      <c r="C1326" t="s">
        <v>17</v>
      </c>
      <c r="D1326" s="6" t="s">
        <v>22</v>
      </c>
      <c r="E1326" t="s">
        <v>87</v>
      </c>
      <c r="G1326" s="6" t="s">
        <v>968</v>
      </c>
      <c r="H1326" s="59" t="s">
        <v>1020</v>
      </c>
      <c r="I1326" s="58" t="s">
        <v>909</v>
      </c>
      <c r="J1326" t="s">
        <v>839</v>
      </c>
      <c r="K1326" t="s">
        <v>830</v>
      </c>
      <c r="L1326" t="s">
        <v>25</v>
      </c>
      <c r="M1326" t="s">
        <v>1163</v>
      </c>
      <c r="N1326" s="57">
        <v>1200</v>
      </c>
      <c r="O1326" t="s">
        <v>100</v>
      </c>
      <c r="P1326" t="s">
        <v>93</v>
      </c>
      <c r="Q1326" s="3">
        <v>45162</v>
      </c>
      <c r="R1326" s="10">
        <f t="shared" ca="1" si="41"/>
        <v>46229</v>
      </c>
      <c r="S1326" s="7">
        <f t="shared" ca="1" si="40"/>
        <v>2.9232876712328766</v>
      </c>
    </row>
    <row r="1327" spans="1:19" x14ac:dyDescent="0.25">
      <c r="A1327">
        <v>4094649</v>
      </c>
      <c r="B1327" t="s">
        <v>579</v>
      </c>
      <c r="C1327" t="s">
        <v>17</v>
      </c>
      <c r="D1327" s="6" t="s">
        <v>22</v>
      </c>
      <c r="E1327" t="s">
        <v>87</v>
      </c>
      <c r="G1327" s="6" t="s">
        <v>968</v>
      </c>
      <c r="H1327" s="59" t="s">
        <v>1020</v>
      </c>
      <c r="I1327" s="58" t="s">
        <v>909</v>
      </c>
      <c r="J1327" t="s">
        <v>839</v>
      </c>
      <c r="K1327" t="s">
        <v>830</v>
      </c>
      <c r="L1327" t="s">
        <v>25</v>
      </c>
      <c r="M1327" t="s">
        <v>1163</v>
      </c>
      <c r="N1327" s="57">
        <v>1200</v>
      </c>
      <c r="O1327" t="s">
        <v>100</v>
      </c>
      <c r="P1327" t="s">
        <v>93</v>
      </c>
      <c r="Q1327" s="3">
        <v>45166</v>
      </c>
      <c r="R1327" s="10">
        <f t="shared" ca="1" si="41"/>
        <v>46229</v>
      </c>
      <c r="S1327" s="7">
        <f t="shared" ca="1" si="40"/>
        <v>2.9123287671232876</v>
      </c>
    </row>
    <row r="1328" spans="1:19" x14ac:dyDescent="0.25">
      <c r="A1328">
        <v>4098389</v>
      </c>
      <c r="B1328" t="s">
        <v>588</v>
      </c>
      <c r="C1328" t="s">
        <v>17</v>
      </c>
      <c r="D1328" s="6" t="s">
        <v>22</v>
      </c>
      <c r="E1328" t="s">
        <v>87</v>
      </c>
      <c r="G1328" s="6" t="s">
        <v>968</v>
      </c>
      <c r="H1328" s="59" t="s">
        <v>1020</v>
      </c>
      <c r="I1328" s="58" t="s">
        <v>909</v>
      </c>
      <c r="J1328" t="s">
        <v>839</v>
      </c>
      <c r="K1328" t="s">
        <v>830</v>
      </c>
      <c r="L1328" t="s">
        <v>25</v>
      </c>
      <c r="M1328" t="s">
        <v>1163</v>
      </c>
      <c r="N1328" s="57">
        <v>1200</v>
      </c>
      <c r="O1328" t="s">
        <v>100</v>
      </c>
      <c r="P1328" t="s">
        <v>93</v>
      </c>
      <c r="Q1328" s="3">
        <v>45302</v>
      </c>
      <c r="R1328" s="10">
        <f t="shared" ca="1" si="41"/>
        <v>46229</v>
      </c>
      <c r="S1328" s="7">
        <f t="shared" ca="1" si="40"/>
        <v>2.5397260273972604</v>
      </c>
    </row>
    <row r="1329" spans="1:19" x14ac:dyDescent="0.25">
      <c r="A1329">
        <v>4098423</v>
      </c>
      <c r="B1329" t="s">
        <v>590</v>
      </c>
      <c r="C1329" t="s">
        <v>17</v>
      </c>
      <c r="D1329" s="6" t="s">
        <v>22</v>
      </c>
      <c r="E1329" t="s">
        <v>87</v>
      </c>
      <c r="G1329" s="6" t="s">
        <v>968</v>
      </c>
      <c r="H1329" s="59" t="s">
        <v>1020</v>
      </c>
      <c r="I1329" s="58" t="s">
        <v>909</v>
      </c>
      <c r="J1329" t="s">
        <v>839</v>
      </c>
      <c r="K1329" t="s">
        <v>830</v>
      </c>
      <c r="L1329" t="s">
        <v>25</v>
      </c>
      <c r="M1329" t="s">
        <v>1163</v>
      </c>
      <c r="N1329" s="57">
        <v>1200</v>
      </c>
      <c r="O1329" t="s">
        <v>100</v>
      </c>
      <c r="P1329" t="s">
        <v>93</v>
      </c>
      <c r="Q1329" s="3">
        <v>45302</v>
      </c>
      <c r="R1329" s="10">
        <f t="shared" ca="1" si="41"/>
        <v>46229</v>
      </c>
      <c r="S1329" s="7">
        <f t="shared" ca="1" si="40"/>
        <v>2.5397260273972604</v>
      </c>
    </row>
    <row r="1330" spans="1:19" x14ac:dyDescent="0.25">
      <c r="A1330">
        <v>4099950</v>
      </c>
      <c r="B1330" t="s">
        <v>595</v>
      </c>
      <c r="C1330" t="s">
        <v>17</v>
      </c>
      <c r="D1330" s="6" t="s">
        <v>22</v>
      </c>
      <c r="E1330" t="s">
        <v>21</v>
      </c>
      <c r="G1330" s="6" t="s">
        <v>968</v>
      </c>
      <c r="H1330" s="59" t="s">
        <v>1020</v>
      </c>
      <c r="I1330" s="58" t="s">
        <v>909</v>
      </c>
      <c r="J1330" t="s">
        <v>839</v>
      </c>
      <c r="K1330" t="s">
        <v>830</v>
      </c>
      <c r="L1330" t="s">
        <v>25</v>
      </c>
      <c r="M1330" t="s">
        <v>1163</v>
      </c>
      <c r="N1330" s="57">
        <v>1200</v>
      </c>
      <c r="O1330" t="s">
        <v>100</v>
      </c>
      <c r="P1330" t="s">
        <v>93</v>
      </c>
      <c r="Q1330" s="3">
        <v>45411</v>
      </c>
      <c r="R1330" s="10">
        <f t="shared" ca="1" si="41"/>
        <v>46229</v>
      </c>
      <c r="S1330" s="7">
        <f t="shared" ca="1" si="40"/>
        <v>2.2410958904109588</v>
      </c>
    </row>
    <row r="1331" spans="1:19" x14ac:dyDescent="0.25">
      <c r="A1331">
        <v>4102477</v>
      </c>
      <c r="B1331" t="s">
        <v>626</v>
      </c>
      <c r="C1331" t="s">
        <v>17</v>
      </c>
      <c r="D1331" s="6" t="s">
        <v>22</v>
      </c>
      <c r="E1331" t="s">
        <v>87</v>
      </c>
      <c r="G1331" s="6" t="s">
        <v>968</v>
      </c>
      <c r="H1331" s="59" t="s">
        <v>1020</v>
      </c>
      <c r="I1331" s="58" t="s">
        <v>909</v>
      </c>
      <c r="J1331" t="s">
        <v>839</v>
      </c>
      <c r="K1331" t="s">
        <v>830</v>
      </c>
      <c r="L1331" t="s">
        <v>25</v>
      </c>
      <c r="M1331" t="s">
        <v>1163</v>
      </c>
      <c r="N1331" s="57">
        <v>1200</v>
      </c>
      <c r="O1331" t="s">
        <v>100</v>
      </c>
      <c r="P1331" t="s">
        <v>93</v>
      </c>
      <c r="Q1331" s="3">
        <v>45477</v>
      </c>
      <c r="R1331" s="10">
        <f t="shared" ca="1" si="41"/>
        <v>46229</v>
      </c>
      <c r="S1331" s="7">
        <f t="shared" ca="1" si="40"/>
        <v>2.0602739726027397</v>
      </c>
    </row>
    <row r="1332" spans="1:19" x14ac:dyDescent="0.25">
      <c r="A1332">
        <v>4102668</v>
      </c>
      <c r="B1332" t="s">
        <v>627</v>
      </c>
      <c r="C1332" t="s">
        <v>17</v>
      </c>
      <c r="D1332" s="6" t="s">
        <v>22</v>
      </c>
      <c r="E1332" t="s">
        <v>55</v>
      </c>
      <c r="G1332" s="6" t="s">
        <v>968</v>
      </c>
      <c r="H1332" s="59" t="s">
        <v>1020</v>
      </c>
      <c r="I1332" s="58" t="s">
        <v>909</v>
      </c>
      <c r="J1332" t="s">
        <v>839</v>
      </c>
      <c r="K1332" t="s">
        <v>830</v>
      </c>
      <c r="L1332" t="s">
        <v>25</v>
      </c>
      <c r="M1332" t="s">
        <v>1163</v>
      </c>
      <c r="N1332" s="57">
        <v>1200</v>
      </c>
      <c r="O1332" t="s">
        <v>100</v>
      </c>
      <c r="P1332" t="s">
        <v>93</v>
      </c>
      <c r="Q1332" s="3">
        <v>45481</v>
      </c>
      <c r="R1332" s="10">
        <f t="shared" ca="1" si="41"/>
        <v>46229</v>
      </c>
      <c r="S1332" s="7">
        <f t="shared" ca="1" si="40"/>
        <v>2.0493150684931507</v>
      </c>
    </row>
    <row r="1333" spans="1:19" x14ac:dyDescent="0.25">
      <c r="A1333">
        <v>4103021</v>
      </c>
      <c r="B1333" t="s">
        <v>631</v>
      </c>
      <c r="C1333" t="s">
        <v>17</v>
      </c>
      <c r="D1333" s="6" t="s">
        <v>22</v>
      </c>
      <c r="E1333" t="s">
        <v>55</v>
      </c>
      <c r="G1333" s="6" t="s">
        <v>968</v>
      </c>
      <c r="H1333" s="59" t="s">
        <v>1020</v>
      </c>
      <c r="I1333" s="58" t="s">
        <v>909</v>
      </c>
      <c r="J1333" t="s">
        <v>839</v>
      </c>
      <c r="K1333" t="s">
        <v>830</v>
      </c>
      <c r="L1333" t="s">
        <v>25</v>
      </c>
      <c r="M1333" t="s">
        <v>1163</v>
      </c>
      <c r="N1333" s="57">
        <v>1200</v>
      </c>
      <c r="O1333" t="s">
        <v>100</v>
      </c>
      <c r="P1333" t="s">
        <v>93</v>
      </c>
      <c r="Q1333" s="3">
        <v>45495</v>
      </c>
      <c r="R1333" s="10">
        <f t="shared" ca="1" si="41"/>
        <v>46229</v>
      </c>
      <c r="S1333" s="7">
        <f t="shared" ca="1" si="40"/>
        <v>2.010958904109589</v>
      </c>
    </row>
    <row r="1334" spans="1:19" x14ac:dyDescent="0.25">
      <c r="A1334">
        <v>4103345</v>
      </c>
      <c r="B1334" t="s">
        <v>643</v>
      </c>
      <c r="C1334" t="s">
        <v>17</v>
      </c>
      <c r="D1334" s="6" t="s">
        <v>22</v>
      </c>
      <c r="E1334" t="s">
        <v>21</v>
      </c>
      <c r="G1334" s="6" t="s">
        <v>968</v>
      </c>
      <c r="H1334" s="59" t="s">
        <v>1020</v>
      </c>
      <c r="I1334" s="58" t="s">
        <v>909</v>
      </c>
      <c r="J1334" t="s">
        <v>839</v>
      </c>
      <c r="K1334" t="s">
        <v>830</v>
      </c>
      <c r="L1334" t="s">
        <v>25</v>
      </c>
      <c r="M1334" t="s">
        <v>1163</v>
      </c>
      <c r="N1334" s="57">
        <v>1200</v>
      </c>
      <c r="O1334" t="s">
        <v>100</v>
      </c>
      <c r="P1334" t="s">
        <v>93</v>
      </c>
      <c r="Q1334" s="3">
        <v>45505</v>
      </c>
      <c r="R1334" s="10">
        <f t="shared" ca="1" si="41"/>
        <v>46229</v>
      </c>
      <c r="S1334" s="7">
        <f t="shared" ca="1" si="40"/>
        <v>1.9835616438356165</v>
      </c>
    </row>
    <row r="1335" spans="1:19" x14ac:dyDescent="0.25">
      <c r="A1335">
        <v>4105647</v>
      </c>
      <c r="B1335" t="s">
        <v>651</v>
      </c>
      <c r="C1335" t="s">
        <v>17</v>
      </c>
      <c r="D1335" s="6" t="s">
        <v>22</v>
      </c>
      <c r="E1335" t="s">
        <v>21</v>
      </c>
      <c r="G1335" s="6" t="s">
        <v>968</v>
      </c>
      <c r="H1335" s="59" t="s">
        <v>1020</v>
      </c>
      <c r="I1335" s="58" t="s">
        <v>909</v>
      </c>
      <c r="J1335" t="s">
        <v>839</v>
      </c>
      <c r="K1335" t="s">
        <v>830</v>
      </c>
      <c r="L1335" t="s">
        <v>25</v>
      </c>
      <c r="M1335" t="s">
        <v>1163</v>
      </c>
      <c r="N1335" s="57">
        <v>1200</v>
      </c>
      <c r="O1335" t="s">
        <v>100</v>
      </c>
      <c r="P1335" t="s">
        <v>93</v>
      </c>
      <c r="Q1335" s="3">
        <v>45561</v>
      </c>
      <c r="R1335" s="10">
        <f t="shared" ca="1" si="41"/>
        <v>46229</v>
      </c>
      <c r="S1335" s="7">
        <f t="shared" ca="1" si="40"/>
        <v>1.8301369863013699</v>
      </c>
    </row>
    <row r="1336" spans="1:19" x14ac:dyDescent="0.25">
      <c r="A1336">
        <v>4106396</v>
      </c>
      <c r="B1336" t="s">
        <v>1245</v>
      </c>
      <c r="C1336" t="s">
        <v>1044</v>
      </c>
      <c r="D1336" s="6" t="s">
        <v>22</v>
      </c>
      <c r="E1336" t="s">
        <v>21</v>
      </c>
      <c r="G1336" s="6" t="s">
        <v>968</v>
      </c>
      <c r="H1336" s="59" t="s">
        <v>1020</v>
      </c>
      <c r="I1336" s="58" t="s">
        <v>909</v>
      </c>
      <c r="J1336" t="s">
        <v>839</v>
      </c>
      <c r="K1336" t="s">
        <v>830</v>
      </c>
      <c r="L1336" t="s">
        <v>25</v>
      </c>
      <c r="M1336" t="s">
        <v>1163</v>
      </c>
      <c r="N1336" s="57">
        <v>1200</v>
      </c>
      <c r="O1336" t="s">
        <v>100</v>
      </c>
      <c r="P1336" t="s">
        <v>93</v>
      </c>
      <c r="Q1336" s="3">
        <v>46121</v>
      </c>
      <c r="R1336" s="10">
        <f t="shared" ca="1" si="41"/>
        <v>46229</v>
      </c>
      <c r="S1336" s="7">
        <f t="shared" ca="1" si="40"/>
        <v>0.29589041095890412</v>
      </c>
    </row>
    <row r="1337" spans="1:19" x14ac:dyDescent="0.25">
      <c r="A1337">
        <v>4121151</v>
      </c>
      <c r="B1337" t="s">
        <v>1097</v>
      </c>
      <c r="C1337" t="s">
        <v>17</v>
      </c>
      <c r="D1337" s="6" t="s">
        <v>22</v>
      </c>
      <c r="E1337" t="s">
        <v>21</v>
      </c>
      <c r="G1337" s="6" t="s">
        <v>968</v>
      </c>
      <c r="H1337" s="59" t="s">
        <v>1020</v>
      </c>
      <c r="I1337" s="58" t="s">
        <v>909</v>
      </c>
      <c r="J1337" t="s">
        <v>839</v>
      </c>
      <c r="K1337" t="s">
        <v>830</v>
      </c>
      <c r="L1337" t="s">
        <v>25</v>
      </c>
      <c r="M1337" t="s">
        <v>1163</v>
      </c>
      <c r="N1337" s="57">
        <v>1200</v>
      </c>
      <c r="O1337" t="s">
        <v>100</v>
      </c>
      <c r="P1337" t="s">
        <v>93</v>
      </c>
      <c r="Q1337" s="3">
        <v>46072</v>
      </c>
      <c r="R1337" s="10">
        <f t="shared" ca="1" si="41"/>
        <v>46229</v>
      </c>
      <c r="S1337" s="7">
        <f t="shared" ca="1" si="40"/>
        <v>0.43013698630136987</v>
      </c>
    </row>
    <row r="1338" spans="1:19" x14ac:dyDescent="0.25">
      <c r="A1338">
        <v>4121408</v>
      </c>
      <c r="B1338" t="s">
        <v>1119</v>
      </c>
      <c r="C1338" t="s">
        <v>17</v>
      </c>
      <c r="D1338" s="6" t="s">
        <v>22</v>
      </c>
      <c r="E1338" t="s">
        <v>21</v>
      </c>
      <c r="G1338" s="6" t="s">
        <v>968</v>
      </c>
      <c r="H1338" s="59" t="s">
        <v>1020</v>
      </c>
      <c r="I1338" s="58" t="s">
        <v>909</v>
      </c>
      <c r="J1338" t="s">
        <v>839</v>
      </c>
      <c r="K1338" t="s">
        <v>830</v>
      </c>
      <c r="L1338" t="s">
        <v>25</v>
      </c>
      <c r="M1338" t="s">
        <v>1163</v>
      </c>
      <c r="N1338" s="57">
        <v>1200</v>
      </c>
      <c r="O1338" t="s">
        <v>100</v>
      </c>
      <c r="P1338" t="s">
        <v>93</v>
      </c>
      <c r="Q1338" s="3">
        <v>46079</v>
      </c>
      <c r="R1338" s="10">
        <f t="shared" ca="1" si="41"/>
        <v>46229</v>
      </c>
      <c r="S1338" s="7">
        <f t="shared" ca="1" si="40"/>
        <v>0.41095890410958902</v>
      </c>
    </row>
    <row r="1339" spans="1:19" x14ac:dyDescent="0.25">
      <c r="A1339">
        <v>4121409</v>
      </c>
      <c r="B1339" t="s">
        <v>1120</v>
      </c>
      <c r="C1339" t="s">
        <v>17</v>
      </c>
      <c r="D1339" s="6" t="s">
        <v>22</v>
      </c>
      <c r="E1339" t="s">
        <v>21</v>
      </c>
      <c r="G1339" s="6" t="s">
        <v>968</v>
      </c>
      <c r="H1339" s="59" t="s">
        <v>1020</v>
      </c>
      <c r="I1339" s="58" t="s">
        <v>909</v>
      </c>
      <c r="J1339" t="s">
        <v>839</v>
      </c>
      <c r="K1339" t="s">
        <v>830</v>
      </c>
      <c r="L1339" t="s">
        <v>25</v>
      </c>
      <c r="M1339" t="s">
        <v>1163</v>
      </c>
      <c r="N1339" s="57">
        <v>1200</v>
      </c>
      <c r="O1339" t="s">
        <v>100</v>
      </c>
      <c r="P1339" t="s">
        <v>93</v>
      </c>
      <c r="Q1339" s="3">
        <v>46079</v>
      </c>
      <c r="R1339" s="10">
        <f t="shared" ca="1" si="41"/>
        <v>46229</v>
      </c>
      <c r="S1339" s="7">
        <f t="shared" ca="1" si="40"/>
        <v>0.41095890410958902</v>
      </c>
    </row>
    <row r="1340" spans="1:19" x14ac:dyDescent="0.25">
      <c r="A1340">
        <v>4121667</v>
      </c>
      <c r="B1340" t="s">
        <v>1131</v>
      </c>
      <c r="C1340" t="s">
        <v>17</v>
      </c>
      <c r="D1340" s="6" t="s">
        <v>22</v>
      </c>
      <c r="E1340" t="s">
        <v>21</v>
      </c>
      <c r="G1340" s="6" t="s">
        <v>968</v>
      </c>
      <c r="H1340" s="59" t="s">
        <v>1020</v>
      </c>
      <c r="I1340" s="58" t="s">
        <v>909</v>
      </c>
      <c r="J1340" t="s">
        <v>839</v>
      </c>
      <c r="K1340" t="s">
        <v>830</v>
      </c>
      <c r="L1340" t="s">
        <v>25</v>
      </c>
      <c r="M1340" t="s">
        <v>1163</v>
      </c>
      <c r="N1340" s="57">
        <v>1200</v>
      </c>
      <c r="O1340" t="s">
        <v>100</v>
      </c>
      <c r="P1340" t="s">
        <v>93</v>
      </c>
      <c r="Q1340" s="3">
        <v>46086</v>
      </c>
      <c r="R1340" s="10">
        <f t="shared" ca="1" si="41"/>
        <v>46229</v>
      </c>
      <c r="S1340" s="7">
        <f t="shared" ca="1" si="40"/>
        <v>0.39178082191780822</v>
      </c>
    </row>
    <row r="1341" spans="1:19" x14ac:dyDescent="0.25">
      <c r="A1341">
        <v>4121668</v>
      </c>
      <c r="B1341" t="s">
        <v>1132</v>
      </c>
      <c r="C1341" t="s">
        <v>17</v>
      </c>
      <c r="D1341" s="6" t="s">
        <v>22</v>
      </c>
      <c r="E1341" t="s">
        <v>21</v>
      </c>
      <c r="G1341" s="6" t="s">
        <v>968</v>
      </c>
      <c r="H1341" s="59" t="s">
        <v>1020</v>
      </c>
      <c r="I1341" s="58" t="s">
        <v>909</v>
      </c>
      <c r="J1341" t="s">
        <v>839</v>
      </c>
      <c r="K1341" t="s">
        <v>830</v>
      </c>
      <c r="L1341" t="s">
        <v>25</v>
      </c>
      <c r="M1341" t="s">
        <v>1163</v>
      </c>
      <c r="N1341" s="57">
        <v>1200</v>
      </c>
      <c r="O1341" t="s">
        <v>100</v>
      </c>
      <c r="P1341" t="s">
        <v>93</v>
      </c>
      <c r="Q1341" s="3">
        <v>46086</v>
      </c>
      <c r="R1341" s="10">
        <f t="shared" ca="1" si="41"/>
        <v>46229</v>
      </c>
      <c r="S1341" s="7">
        <f t="shared" ca="1" si="40"/>
        <v>0.39178082191780822</v>
      </c>
    </row>
    <row r="1342" spans="1:19" x14ac:dyDescent="0.25">
      <c r="A1342">
        <v>4121672</v>
      </c>
      <c r="B1342" t="s">
        <v>1136</v>
      </c>
      <c r="C1342" t="s">
        <v>17</v>
      </c>
      <c r="D1342" s="6" t="s">
        <v>22</v>
      </c>
      <c r="E1342" t="s">
        <v>21</v>
      </c>
      <c r="G1342" s="6" t="s">
        <v>968</v>
      </c>
      <c r="H1342" s="59" t="s">
        <v>1020</v>
      </c>
      <c r="I1342" s="58" t="s">
        <v>909</v>
      </c>
      <c r="J1342" t="s">
        <v>839</v>
      </c>
      <c r="K1342" t="s">
        <v>830</v>
      </c>
      <c r="L1342" t="s">
        <v>25</v>
      </c>
      <c r="M1342" t="s">
        <v>1163</v>
      </c>
      <c r="N1342" s="57">
        <v>1200</v>
      </c>
      <c r="O1342" t="s">
        <v>100</v>
      </c>
      <c r="P1342" t="s">
        <v>93</v>
      </c>
      <c r="Q1342" s="3">
        <v>46086</v>
      </c>
      <c r="R1342" s="10">
        <f t="shared" ca="1" si="41"/>
        <v>46229</v>
      </c>
      <c r="S1342" s="7">
        <f t="shared" ca="1" si="40"/>
        <v>0.39178082191780822</v>
      </c>
    </row>
    <row r="1343" spans="1:19" x14ac:dyDescent="0.25">
      <c r="A1343">
        <v>4121716</v>
      </c>
      <c r="B1343" t="s">
        <v>1140</v>
      </c>
      <c r="C1343" t="s">
        <v>17</v>
      </c>
      <c r="D1343" s="6" t="s">
        <v>22</v>
      </c>
      <c r="E1343" t="s">
        <v>21</v>
      </c>
      <c r="G1343" s="6" t="s">
        <v>968</v>
      </c>
      <c r="H1343" s="59" t="s">
        <v>1020</v>
      </c>
      <c r="I1343" s="58" t="s">
        <v>909</v>
      </c>
      <c r="J1343" t="s">
        <v>839</v>
      </c>
      <c r="K1343" t="s">
        <v>830</v>
      </c>
      <c r="L1343" t="s">
        <v>25</v>
      </c>
      <c r="M1343" t="s">
        <v>1163</v>
      </c>
      <c r="N1343" s="57">
        <v>1200</v>
      </c>
      <c r="O1343" t="s">
        <v>100</v>
      </c>
      <c r="P1343" t="s">
        <v>93</v>
      </c>
      <c r="Q1343" s="3">
        <v>46086</v>
      </c>
      <c r="R1343" s="10">
        <f t="shared" ca="1" si="41"/>
        <v>46229</v>
      </c>
      <c r="S1343" s="7">
        <f t="shared" ca="1" si="40"/>
        <v>0.39178082191780822</v>
      </c>
    </row>
    <row r="1344" spans="1:19" x14ac:dyDescent="0.25">
      <c r="A1344">
        <v>4121717</v>
      </c>
      <c r="B1344" t="s">
        <v>1141</v>
      </c>
      <c r="C1344" t="s">
        <v>17</v>
      </c>
      <c r="D1344" s="6" t="s">
        <v>22</v>
      </c>
      <c r="E1344" t="s">
        <v>21</v>
      </c>
      <c r="G1344" s="6" t="s">
        <v>968</v>
      </c>
      <c r="H1344" s="59" t="s">
        <v>1020</v>
      </c>
      <c r="I1344" s="58" t="s">
        <v>909</v>
      </c>
      <c r="J1344" t="s">
        <v>839</v>
      </c>
      <c r="K1344" t="s">
        <v>830</v>
      </c>
      <c r="L1344" t="s">
        <v>25</v>
      </c>
      <c r="M1344" t="s">
        <v>1163</v>
      </c>
      <c r="N1344" s="57">
        <v>1200</v>
      </c>
      <c r="O1344" t="s">
        <v>100</v>
      </c>
      <c r="P1344" t="s">
        <v>93</v>
      </c>
      <c r="Q1344" s="3">
        <v>46086</v>
      </c>
      <c r="R1344" s="10">
        <f t="shared" ca="1" si="41"/>
        <v>46229</v>
      </c>
      <c r="S1344" s="7">
        <f t="shared" ref="S1344:S1407" ca="1" si="42">(R1344-Q1344)/365</f>
        <v>0.39178082191780822</v>
      </c>
    </row>
    <row r="1345" spans="1:19" x14ac:dyDescent="0.25">
      <c r="A1345">
        <v>4121725</v>
      </c>
      <c r="B1345" t="s">
        <v>1146</v>
      </c>
      <c r="C1345" t="s">
        <v>17</v>
      </c>
      <c r="D1345" s="6" t="s">
        <v>22</v>
      </c>
      <c r="E1345" t="s">
        <v>21</v>
      </c>
      <c r="G1345" s="6" t="s">
        <v>968</v>
      </c>
      <c r="H1345" s="59" t="s">
        <v>1020</v>
      </c>
      <c r="I1345" s="58" t="s">
        <v>909</v>
      </c>
      <c r="J1345" t="s">
        <v>839</v>
      </c>
      <c r="K1345" t="s">
        <v>830</v>
      </c>
      <c r="L1345" t="s">
        <v>25</v>
      </c>
      <c r="M1345" t="s">
        <v>1163</v>
      </c>
      <c r="N1345" s="57">
        <v>1200</v>
      </c>
      <c r="O1345" t="s">
        <v>100</v>
      </c>
      <c r="P1345" t="s">
        <v>93</v>
      </c>
      <c r="Q1345" s="3">
        <v>46086</v>
      </c>
      <c r="R1345" s="10">
        <f t="shared" ca="1" si="41"/>
        <v>46229</v>
      </c>
      <c r="S1345" s="7">
        <f t="shared" ca="1" si="42"/>
        <v>0.39178082191780822</v>
      </c>
    </row>
    <row r="1346" spans="1:19" x14ac:dyDescent="0.25">
      <c r="A1346">
        <v>4122505</v>
      </c>
      <c r="B1346" t="s">
        <v>1212</v>
      </c>
      <c r="C1346" t="s">
        <v>1044</v>
      </c>
      <c r="D1346" s="6" t="s">
        <v>22</v>
      </c>
      <c r="E1346" t="s">
        <v>21</v>
      </c>
      <c r="G1346" s="6" t="s">
        <v>968</v>
      </c>
      <c r="H1346" s="59" t="s">
        <v>1020</v>
      </c>
      <c r="I1346" s="58" t="s">
        <v>909</v>
      </c>
      <c r="J1346" t="s">
        <v>839</v>
      </c>
      <c r="K1346" t="s">
        <v>830</v>
      </c>
      <c r="L1346" t="s">
        <v>25</v>
      </c>
      <c r="M1346" t="s">
        <v>1163</v>
      </c>
      <c r="N1346" s="57">
        <v>1200</v>
      </c>
      <c r="O1346" t="s">
        <v>100</v>
      </c>
      <c r="P1346" t="s">
        <v>93</v>
      </c>
      <c r="Q1346" s="3">
        <v>46111</v>
      </c>
      <c r="R1346" s="10">
        <f t="shared" ca="1" si="41"/>
        <v>46229</v>
      </c>
      <c r="S1346" s="7">
        <f t="shared" ca="1" si="42"/>
        <v>0.32328767123287672</v>
      </c>
    </row>
    <row r="1347" spans="1:19" x14ac:dyDescent="0.25">
      <c r="A1347">
        <v>4122506</v>
      </c>
      <c r="B1347" t="s">
        <v>1213</v>
      </c>
      <c r="C1347" t="s">
        <v>1044</v>
      </c>
      <c r="D1347" s="6" t="s">
        <v>22</v>
      </c>
      <c r="E1347" t="s">
        <v>21</v>
      </c>
      <c r="G1347" s="6" t="s">
        <v>968</v>
      </c>
      <c r="H1347" s="59" t="s">
        <v>1020</v>
      </c>
      <c r="I1347" s="58" t="s">
        <v>909</v>
      </c>
      <c r="J1347" t="s">
        <v>839</v>
      </c>
      <c r="K1347" t="s">
        <v>830</v>
      </c>
      <c r="L1347" t="s">
        <v>25</v>
      </c>
      <c r="M1347" t="s">
        <v>1163</v>
      </c>
      <c r="N1347" s="57">
        <v>1200</v>
      </c>
      <c r="O1347" t="s">
        <v>100</v>
      </c>
      <c r="P1347" t="s">
        <v>93</v>
      </c>
      <c r="Q1347" s="3">
        <v>46111</v>
      </c>
      <c r="R1347" s="10">
        <f t="shared" ref="R1347:R1410" ca="1" si="43">TODAY()</f>
        <v>46229</v>
      </c>
      <c r="S1347" s="7">
        <f t="shared" ca="1" si="42"/>
        <v>0.32328767123287672</v>
      </c>
    </row>
    <row r="1348" spans="1:19" x14ac:dyDescent="0.25">
      <c r="A1348">
        <v>4122517</v>
      </c>
      <c r="B1348" t="s">
        <v>1219</v>
      </c>
      <c r="C1348" t="s">
        <v>1044</v>
      </c>
      <c r="D1348" s="6" t="s">
        <v>22</v>
      </c>
      <c r="E1348" t="s">
        <v>21</v>
      </c>
      <c r="G1348" s="6" t="s">
        <v>968</v>
      </c>
      <c r="H1348" s="59" t="s">
        <v>1020</v>
      </c>
      <c r="I1348" s="58" t="s">
        <v>909</v>
      </c>
      <c r="J1348" t="s">
        <v>839</v>
      </c>
      <c r="K1348" t="s">
        <v>830</v>
      </c>
      <c r="L1348" t="s">
        <v>25</v>
      </c>
      <c r="M1348" t="s">
        <v>1163</v>
      </c>
      <c r="N1348" s="57">
        <v>1200</v>
      </c>
      <c r="O1348" t="s">
        <v>100</v>
      </c>
      <c r="P1348" t="s">
        <v>93</v>
      </c>
      <c r="Q1348" s="3">
        <v>46111</v>
      </c>
      <c r="R1348" s="10">
        <f t="shared" ca="1" si="43"/>
        <v>46229</v>
      </c>
      <c r="S1348" s="7">
        <f t="shared" ca="1" si="42"/>
        <v>0.32328767123287672</v>
      </c>
    </row>
    <row r="1349" spans="1:19" x14ac:dyDescent="0.25">
      <c r="A1349">
        <v>4122802</v>
      </c>
      <c r="B1349" t="s">
        <v>1326</v>
      </c>
      <c r="C1349" t="s">
        <v>1044</v>
      </c>
      <c r="D1349" s="6" t="s">
        <v>22</v>
      </c>
      <c r="E1349" t="s">
        <v>21</v>
      </c>
      <c r="G1349" s="6" t="s">
        <v>968</v>
      </c>
      <c r="H1349" s="59" t="s">
        <v>1020</v>
      </c>
      <c r="I1349" s="58" t="s">
        <v>909</v>
      </c>
      <c r="J1349" t="s">
        <v>839</v>
      </c>
      <c r="K1349" t="s">
        <v>830</v>
      </c>
      <c r="L1349" t="s">
        <v>25</v>
      </c>
      <c r="M1349" t="s">
        <v>1163</v>
      </c>
      <c r="N1349" s="57">
        <v>1200</v>
      </c>
      <c r="O1349" t="s">
        <v>100</v>
      </c>
      <c r="P1349" t="s">
        <v>93</v>
      </c>
      <c r="Q1349" s="3">
        <v>46121</v>
      </c>
      <c r="R1349" s="10">
        <f t="shared" ca="1" si="43"/>
        <v>46229</v>
      </c>
      <c r="S1349" s="7">
        <f t="shared" ca="1" si="42"/>
        <v>0.29589041095890412</v>
      </c>
    </row>
    <row r="1350" spans="1:19" x14ac:dyDescent="0.25">
      <c r="A1350">
        <v>4122872</v>
      </c>
      <c r="B1350" t="s">
        <v>1375</v>
      </c>
      <c r="C1350" t="s">
        <v>1044</v>
      </c>
      <c r="D1350" s="6" t="s">
        <v>22</v>
      </c>
      <c r="E1350" t="s">
        <v>21</v>
      </c>
      <c r="G1350" s="6" t="s">
        <v>968</v>
      </c>
      <c r="H1350" s="59" t="s">
        <v>1020</v>
      </c>
      <c r="I1350" s="58" t="s">
        <v>909</v>
      </c>
      <c r="J1350" t="s">
        <v>839</v>
      </c>
      <c r="K1350" t="s">
        <v>830</v>
      </c>
      <c r="L1350" t="s">
        <v>25</v>
      </c>
      <c r="M1350" t="s">
        <v>1163</v>
      </c>
      <c r="N1350" s="57">
        <v>1200</v>
      </c>
      <c r="O1350" t="s">
        <v>100</v>
      </c>
      <c r="P1350" t="s">
        <v>93</v>
      </c>
      <c r="Q1350" s="3">
        <v>46125</v>
      </c>
      <c r="R1350" s="10">
        <f t="shared" ca="1" si="43"/>
        <v>46229</v>
      </c>
      <c r="S1350" s="7">
        <f t="shared" ca="1" si="42"/>
        <v>0.28493150684931506</v>
      </c>
    </row>
    <row r="1351" spans="1:19" x14ac:dyDescent="0.25">
      <c r="A1351">
        <v>4122882</v>
      </c>
      <c r="B1351" t="s">
        <v>1381</v>
      </c>
      <c r="C1351" t="s">
        <v>1044</v>
      </c>
      <c r="D1351" s="6" t="s">
        <v>22</v>
      </c>
      <c r="E1351" t="s">
        <v>21</v>
      </c>
      <c r="G1351" s="6" t="s">
        <v>968</v>
      </c>
      <c r="H1351" s="59" t="s">
        <v>1020</v>
      </c>
      <c r="I1351" s="58" t="s">
        <v>909</v>
      </c>
      <c r="J1351" t="s">
        <v>839</v>
      </c>
      <c r="K1351" t="s">
        <v>830</v>
      </c>
      <c r="L1351" t="s">
        <v>25</v>
      </c>
      <c r="M1351" t="s">
        <v>1163</v>
      </c>
      <c r="N1351" s="57">
        <v>1200</v>
      </c>
      <c r="O1351" t="s">
        <v>100</v>
      </c>
      <c r="P1351" t="s">
        <v>93</v>
      </c>
      <c r="Q1351" s="3">
        <v>46125</v>
      </c>
      <c r="R1351" s="10">
        <f t="shared" ca="1" si="43"/>
        <v>46229</v>
      </c>
      <c r="S1351" s="7">
        <f t="shared" ca="1" si="42"/>
        <v>0.28493150684931506</v>
      </c>
    </row>
    <row r="1352" spans="1:19" x14ac:dyDescent="0.25">
      <c r="A1352">
        <v>4122886</v>
      </c>
      <c r="B1352" t="s">
        <v>1384</v>
      </c>
      <c r="C1352" t="s">
        <v>1044</v>
      </c>
      <c r="D1352" s="6" t="s">
        <v>22</v>
      </c>
      <c r="E1352" t="s">
        <v>21</v>
      </c>
      <c r="G1352" s="6" t="s">
        <v>968</v>
      </c>
      <c r="H1352" s="59" t="s">
        <v>1020</v>
      </c>
      <c r="I1352" s="58" t="s">
        <v>909</v>
      </c>
      <c r="J1352" t="s">
        <v>839</v>
      </c>
      <c r="K1352" t="s">
        <v>830</v>
      </c>
      <c r="L1352" t="s">
        <v>25</v>
      </c>
      <c r="M1352" t="s">
        <v>1163</v>
      </c>
      <c r="N1352" s="57">
        <v>1200</v>
      </c>
      <c r="O1352" t="s">
        <v>100</v>
      </c>
      <c r="P1352" t="s">
        <v>93</v>
      </c>
      <c r="Q1352" s="3">
        <v>46125</v>
      </c>
      <c r="R1352" s="10">
        <f t="shared" ca="1" si="43"/>
        <v>46229</v>
      </c>
      <c r="S1352" s="7">
        <f t="shared" ca="1" si="42"/>
        <v>0.28493150684931506</v>
      </c>
    </row>
    <row r="1353" spans="1:19" x14ac:dyDescent="0.25">
      <c r="A1353">
        <v>4124050</v>
      </c>
      <c r="B1353" t="s">
        <v>1521</v>
      </c>
      <c r="C1353" t="s">
        <v>1044</v>
      </c>
      <c r="D1353" s="6" t="s">
        <v>22</v>
      </c>
      <c r="E1353" t="s">
        <v>21</v>
      </c>
      <c r="G1353" s="6" t="s">
        <v>968</v>
      </c>
      <c r="H1353" s="59" t="s">
        <v>1020</v>
      </c>
      <c r="I1353" s="58" t="s">
        <v>909</v>
      </c>
      <c r="J1353" t="s">
        <v>839</v>
      </c>
      <c r="K1353" t="s">
        <v>830</v>
      </c>
      <c r="L1353" t="s">
        <v>25</v>
      </c>
      <c r="M1353" t="s">
        <v>1163</v>
      </c>
      <c r="N1353" s="57">
        <v>1200</v>
      </c>
      <c r="O1353" t="s">
        <v>100</v>
      </c>
      <c r="P1353" t="s">
        <v>93</v>
      </c>
      <c r="Q1353" s="3">
        <v>46163</v>
      </c>
      <c r="R1353" s="10">
        <f t="shared" ca="1" si="43"/>
        <v>46229</v>
      </c>
      <c r="S1353" s="7">
        <f t="shared" ca="1" si="42"/>
        <v>0.18082191780821918</v>
      </c>
    </row>
    <row r="1354" spans="1:19" x14ac:dyDescent="0.25">
      <c r="A1354">
        <v>4124205</v>
      </c>
      <c r="B1354" t="s">
        <v>1670</v>
      </c>
      <c r="C1354" t="s">
        <v>1044</v>
      </c>
      <c r="D1354" s="6" t="s">
        <v>22</v>
      </c>
      <c r="E1354" t="s">
        <v>21</v>
      </c>
      <c r="G1354" s="6" t="s">
        <v>968</v>
      </c>
      <c r="H1354" s="59" t="s">
        <v>1020</v>
      </c>
      <c r="I1354" s="58" t="s">
        <v>909</v>
      </c>
      <c r="J1354" t="s">
        <v>839</v>
      </c>
      <c r="K1354" t="s">
        <v>830</v>
      </c>
      <c r="L1354" t="s">
        <v>25</v>
      </c>
      <c r="M1354" t="s">
        <v>1163</v>
      </c>
      <c r="N1354" s="57">
        <v>1200</v>
      </c>
      <c r="O1354" t="s">
        <v>100</v>
      </c>
      <c r="P1354" t="s">
        <v>93</v>
      </c>
      <c r="Q1354" s="3">
        <v>46170</v>
      </c>
      <c r="R1354" s="10">
        <f t="shared" ca="1" si="43"/>
        <v>46229</v>
      </c>
      <c r="S1354" s="7">
        <f t="shared" ca="1" si="42"/>
        <v>0.16164383561643836</v>
      </c>
    </row>
    <row r="1355" spans="1:19" x14ac:dyDescent="0.25">
      <c r="A1355">
        <v>4124258</v>
      </c>
      <c r="B1355" t="s">
        <v>1710</v>
      </c>
      <c r="C1355" t="s">
        <v>1044</v>
      </c>
      <c r="D1355" s="6" t="s">
        <v>22</v>
      </c>
      <c r="E1355" t="s">
        <v>21</v>
      </c>
      <c r="G1355" s="6" t="s">
        <v>968</v>
      </c>
      <c r="H1355" s="59" t="s">
        <v>1020</v>
      </c>
      <c r="I1355" s="58" t="s">
        <v>909</v>
      </c>
      <c r="J1355" t="s">
        <v>839</v>
      </c>
      <c r="K1355" t="s">
        <v>830</v>
      </c>
      <c r="L1355" t="s">
        <v>25</v>
      </c>
      <c r="M1355" t="s">
        <v>1163</v>
      </c>
      <c r="N1355" s="57">
        <v>1200</v>
      </c>
      <c r="O1355" t="s">
        <v>100</v>
      </c>
      <c r="P1355" t="s">
        <v>93</v>
      </c>
      <c r="Q1355" s="3">
        <v>46170</v>
      </c>
      <c r="R1355" s="10">
        <f t="shared" ca="1" si="43"/>
        <v>46229</v>
      </c>
      <c r="S1355" s="7">
        <f t="shared" ca="1" si="42"/>
        <v>0.16164383561643836</v>
      </c>
    </row>
    <row r="1356" spans="1:19" x14ac:dyDescent="0.25">
      <c r="A1356">
        <v>586108</v>
      </c>
      <c r="B1356" t="s">
        <v>720</v>
      </c>
      <c r="C1356" t="s">
        <v>17</v>
      </c>
      <c r="D1356" s="6" t="s">
        <v>22</v>
      </c>
      <c r="E1356" t="s">
        <v>55</v>
      </c>
      <c r="G1356" s="6" t="s">
        <v>968</v>
      </c>
      <c r="H1356" s="59" t="s">
        <v>1020</v>
      </c>
      <c r="I1356" s="58" t="s">
        <v>909</v>
      </c>
      <c r="J1356" t="s">
        <v>839</v>
      </c>
      <c r="K1356" t="s">
        <v>830</v>
      </c>
      <c r="L1356" t="s">
        <v>25</v>
      </c>
      <c r="M1356" t="s">
        <v>1163</v>
      </c>
      <c r="N1356" s="57">
        <v>1200</v>
      </c>
      <c r="O1356" t="s">
        <v>100</v>
      </c>
      <c r="P1356" t="s">
        <v>93</v>
      </c>
      <c r="Q1356" s="3">
        <v>45505</v>
      </c>
      <c r="R1356" s="10">
        <f t="shared" ca="1" si="43"/>
        <v>46229</v>
      </c>
      <c r="S1356" s="7">
        <f t="shared" ca="1" si="42"/>
        <v>1.9835616438356165</v>
      </c>
    </row>
    <row r="1357" spans="1:19" x14ac:dyDescent="0.25">
      <c r="A1357">
        <v>586205</v>
      </c>
      <c r="B1357" t="s">
        <v>1333</v>
      </c>
      <c r="C1357" t="s">
        <v>1044</v>
      </c>
      <c r="D1357" s="6" t="s">
        <v>22</v>
      </c>
      <c r="E1357" t="s">
        <v>21</v>
      </c>
      <c r="G1357" s="6" t="s">
        <v>968</v>
      </c>
      <c r="H1357" s="59" t="s">
        <v>1020</v>
      </c>
      <c r="I1357" s="58" t="s">
        <v>909</v>
      </c>
      <c r="J1357" t="s">
        <v>839</v>
      </c>
      <c r="K1357" t="s">
        <v>830</v>
      </c>
      <c r="L1357" t="s">
        <v>25</v>
      </c>
      <c r="M1357" t="s">
        <v>1163</v>
      </c>
      <c r="N1357" s="57">
        <v>1200</v>
      </c>
      <c r="O1357" t="s">
        <v>100</v>
      </c>
      <c r="P1357" t="s">
        <v>93</v>
      </c>
      <c r="Q1357" s="3">
        <v>46121</v>
      </c>
      <c r="R1357" s="10">
        <f t="shared" ca="1" si="43"/>
        <v>46229</v>
      </c>
      <c r="S1357" s="7">
        <f t="shared" ca="1" si="42"/>
        <v>0.29589041095890412</v>
      </c>
    </row>
    <row r="1358" spans="1:19" x14ac:dyDescent="0.25">
      <c r="A1358">
        <v>601398</v>
      </c>
      <c r="B1358" t="s">
        <v>1334</v>
      </c>
      <c r="C1358" t="s">
        <v>1044</v>
      </c>
      <c r="D1358" s="6" t="s">
        <v>22</v>
      </c>
      <c r="E1358" t="s">
        <v>21</v>
      </c>
      <c r="G1358" s="6" t="s">
        <v>968</v>
      </c>
      <c r="H1358" s="59" t="s">
        <v>1020</v>
      </c>
      <c r="I1358" s="58" t="s">
        <v>909</v>
      </c>
      <c r="J1358" t="s">
        <v>839</v>
      </c>
      <c r="K1358" t="s">
        <v>830</v>
      </c>
      <c r="L1358" t="s">
        <v>25</v>
      </c>
      <c r="M1358" t="s">
        <v>1163</v>
      </c>
      <c r="N1358" s="57">
        <v>1200</v>
      </c>
      <c r="O1358" t="s">
        <v>100</v>
      </c>
      <c r="P1358" t="s">
        <v>93</v>
      </c>
      <c r="Q1358" s="3">
        <v>46118</v>
      </c>
      <c r="R1358" s="10">
        <f t="shared" ca="1" si="43"/>
        <v>46229</v>
      </c>
      <c r="S1358" s="7">
        <f t="shared" ca="1" si="42"/>
        <v>0.30410958904109592</v>
      </c>
    </row>
    <row r="1359" spans="1:19" x14ac:dyDescent="0.25">
      <c r="A1359">
        <v>814768</v>
      </c>
      <c r="B1359" t="s">
        <v>728</v>
      </c>
      <c r="C1359" t="s">
        <v>17</v>
      </c>
      <c r="D1359" s="6" t="s">
        <v>22</v>
      </c>
      <c r="E1359" t="s">
        <v>55</v>
      </c>
      <c r="G1359" s="6" t="s">
        <v>968</v>
      </c>
      <c r="H1359" s="59" t="s">
        <v>1020</v>
      </c>
      <c r="I1359" s="58" t="s">
        <v>909</v>
      </c>
      <c r="J1359" t="s">
        <v>839</v>
      </c>
      <c r="K1359" t="s">
        <v>830</v>
      </c>
      <c r="L1359" t="s">
        <v>25</v>
      </c>
      <c r="M1359" t="s">
        <v>1163</v>
      </c>
      <c r="N1359" s="57">
        <v>1200</v>
      </c>
      <c r="O1359" t="s">
        <v>100</v>
      </c>
      <c r="P1359" t="s">
        <v>93</v>
      </c>
      <c r="Q1359" s="3">
        <v>41421</v>
      </c>
      <c r="R1359" s="10">
        <f t="shared" ca="1" si="43"/>
        <v>46229</v>
      </c>
      <c r="S1359" s="7">
        <f t="shared" ca="1" si="42"/>
        <v>13.172602739726027</v>
      </c>
    </row>
    <row r="1360" spans="1:19" x14ac:dyDescent="0.25">
      <c r="A1360">
        <v>858094</v>
      </c>
      <c r="B1360" t="s">
        <v>745</v>
      </c>
      <c r="C1360" t="s">
        <v>17</v>
      </c>
      <c r="D1360" s="6" t="s">
        <v>22</v>
      </c>
      <c r="E1360" t="s">
        <v>55</v>
      </c>
      <c r="G1360" s="6" t="s">
        <v>968</v>
      </c>
      <c r="H1360" s="59" t="s">
        <v>1020</v>
      </c>
      <c r="I1360" s="58" t="s">
        <v>909</v>
      </c>
      <c r="J1360" t="s">
        <v>839</v>
      </c>
      <c r="K1360" t="s">
        <v>830</v>
      </c>
      <c r="L1360" t="s">
        <v>25</v>
      </c>
      <c r="M1360" t="s">
        <v>1163</v>
      </c>
      <c r="N1360" s="57">
        <v>1200</v>
      </c>
      <c r="O1360" t="s">
        <v>100</v>
      </c>
      <c r="P1360" t="s">
        <v>93</v>
      </c>
      <c r="Q1360" s="3">
        <v>41736</v>
      </c>
      <c r="R1360" s="10">
        <f t="shared" ca="1" si="43"/>
        <v>46229</v>
      </c>
      <c r="S1360" s="7">
        <f t="shared" ca="1" si="42"/>
        <v>12.30958904109589</v>
      </c>
    </row>
    <row r="1361" spans="1:19" x14ac:dyDescent="0.25">
      <c r="A1361">
        <v>986036</v>
      </c>
      <c r="B1361" t="s">
        <v>804</v>
      </c>
      <c r="C1361" t="s">
        <v>17</v>
      </c>
      <c r="D1361" s="6" t="s">
        <v>22</v>
      </c>
      <c r="E1361" t="s">
        <v>55</v>
      </c>
      <c r="G1361" s="6" t="s">
        <v>968</v>
      </c>
      <c r="H1361" s="59" t="s">
        <v>1020</v>
      </c>
      <c r="I1361" s="58" t="s">
        <v>909</v>
      </c>
      <c r="J1361" t="s">
        <v>839</v>
      </c>
      <c r="K1361" t="s">
        <v>830</v>
      </c>
      <c r="L1361" t="s">
        <v>25</v>
      </c>
      <c r="M1361" t="s">
        <v>1163</v>
      </c>
      <c r="N1361" s="57">
        <v>1200</v>
      </c>
      <c r="O1361" t="s">
        <v>100</v>
      </c>
      <c r="P1361" t="s">
        <v>93</v>
      </c>
      <c r="Q1361" s="3">
        <v>42664</v>
      </c>
      <c r="R1361" s="10">
        <f t="shared" ca="1" si="43"/>
        <v>46229</v>
      </c>
      <c r="S1361" s="7">
        <f t="shared" ca="1" si="42"/>
        <v>9.7671232876712324</v>
      </c>
    </row>
    <row r="1362" spans="1:19" x14ac:dyDescent="0.25">
      <c r="A1362">
        <v>999569</v>
      </c>
      <c r="B1362" t="s">
        <v>1340</v>
      </c>
      <c r="C1362" t="s">
        <v>1044</v>
      </c>
      <c r="D1362" s="6" t="s">
        <v>22</v>
      </c>
      <c r="E1362" t="s">
        <v>21</v>
      </c>
      <c r="G1362" s="6" t="s">
        <v>968</v>
      </c>
      <c r="H1362" s="59" t="s">
        <v>1020</v>
      </c>
      <c r="I1362" s="58" t="s">
        <v>909</v>
      </c>
      <c r="J1362" t="s">
        <v>839</v>
      </c>
      <c r="K1362" t="s">
        <v>830</v>
      </c>
      <c r="L1362" t="s">
        <v>25</v>
      </c>
      <c r="M1362" t="s">
        <v>1163</v>
      </c>
      <c r="N1362" s="57">
        <v>1200</v>
      </c>
      <c r="O1362" t="s">
        <v>100</v>
      </c>
      <c r="P1362" t="s">
        <v>93</v>
      </c>
      <c r="Q1362" s="3">
        <v>46121</v>
      </c>
      <c r="R1362" s="10">
        <f t="shared" ca="1" si="43"/>
        <v>46229</v>
      </c>
      <c r="S1362" s="7">
        <f t="shared" ca="1" si="42"/>
        <v>0.29589041095890412</v>
      </c>
    </row>
    <row r="1363" spans="1:19" x14ac:dyDescent="0.25">
      <c r="A1363">
        <v>926539</v>
      </c>
      <c r="B1363" t="s">
        <v>1785</v>
      </c>
      <c r="C1363" t="s">
        <v>1044</v>
      </c>
      <c r="D1363" s="6" t="s">
        <v>22</v>
      </c>
      <c r="E1363" t="s">
        <v>21</v>
      </c>
      <c r="G1363" s="6" t="s">
        <v>968</v>
      </c>
      <c r="H1363" s="59" t="s">
        <v>1020</v>
      </c>
      <c r="I1363" s="58" t="s">
        <v>909</v>
      </c>
      <c r="J1363" t="s">
        <v>839</v>
      </c>
      <c r="K1363" t="s">
        <v>830</v>
      </c>
      <c r="L1363" t="s">
        <v>25</v>
      </c>
      <c r="M1363" t="s">
        <v>1163</v>
      </c>
      <c r="N1363" s="57">
        <v>1200</v>
      </c>
      <c r="O1363" t="s">
        <v>100</v>
      </c>
      <c r="P1363" t="s">
        <v>93</v>
      </c>
      <c r="Q1363" s="3">
        <v>46174</v>
      </c>
      <c r="R1363" s="10">
        <f t="shared" ca="1" si="43"/>
        <v>46229</v>
      </c>
      <c r="S1363" s="7">
        <f t="shared" ca="1" si="42"/>
        <v>0.15068493150684931</v>
      </c>
    </row>
    <row r="1364" spans="1:19" x14ac:dyDescent="0.25">
      <c r="A1364">
        <v>4124415</v>
      </c>
      <c r="B1364" t="s">
        <v>1767</v>
      </c>
      <c r="C1364" t="s">
        <v>1044</v>
      </c>
      <c r="D1364" s="6" t="s">
        <v>22</v>
      </c>
      <c r="E1364" t="s">
        <v>21</v>
      </c>
      <c r="G1364" s="6" t="s">
        <v>968</v>
      </c>
      <c r="H1364" s="59" t="s">
        <v>1020</v>
      </c>
      <c r="I1364" s="58" t="s">
        <v>909</v>
      </c>
      <c r="J1364" t="s">
        <v>839</v>
      </c>
      <c r="K1364" t="s">
        <v>830</v>
      </c>
      <c r="L1364" t="s">
        <v>25</v>
      </c>
      <c r="M1364" t="s">
        <v>1163</v>
      </c>
      <c r="N1364" s="57">
        <v>1200</v>
      </c>
      <c r="O1364" t="s">
        <v>100</v>
      </c>
      <c r="P1364" t="s">
        <v>93</v>
      </c>
      <c r="Q1364" s="3">
        <v>46174</v>
      </c>
      <c r="R1364" s="10">
        <f t="shared" ca="1" si="43"/>
        <v>46229</v>
      </c>
      <c r="S1364" s="7">
        <f t="shared" ca="1" si="42"/>
        <v>0.15068493150684931</v>
      </c>
    </row>
    <row r="1365" spans="1:19" x14ac:dyDescent="0.25">
      <c r="A1365">
        <v>1175411</v>
      </c>
      <c r="B1365" t="s">
        <v>218</v>
      </c>
      <c r="C1365" t="s">
        <v>17</v>
      </c>
      <c r="D1365" s="6" t="s">
        <v>39</v>
      </c>
      <c r="E1365" t="s">
        <v>64</v>
      </c>
      <c r="G1365" s="6" t="s">
        <v>16</v>
      </c>
      <c r="H1365" s="59" t="s">
        <v>92</v>
      </c>
      <c r="I1365" s="58" t="s">
        <v>869</v>
      </c>
      <c r="J1365" t="s">
        <v>824</v>
      </c>
      <c r="K1365" t="s">
        <v>94</v>
      </c>
      <c r="L1365" t="s">
        <v>1038</v>
      </c>
      <c r="M1365" t="s">
        <v>1163</v>
      </c>
      <c r="N1365" s="57">
        <v>6900</v>
      </c>
      <c r="O1365" t="s">
        <v>100</v>
      </c>
      <c r="P1365" t="s">
        <v>38</v>
      </c>
      <c r="Q1365" s="3">
        <v>44991</v>
      </c>
      <c r="R1365" s="10">
        <f t="shared" ca="1" si="43"/>
        <v>46229</v>
      </c>
      <c r="S1365" s="7">
        <f t="shared" ca="1" si="42"/>
        <v>3.3917808219178083</v>
      </c>
    </row>
    <row r="1366" spans="1:19" x14ac:dyDescent="0.25">
      <c r="A1366">
        <v>1168428</v>
      </c>
      <c r="B1366" t="s">
        <v>195</v>
      </c>
      <c r="C1366" t="s">
        <v>17</v>
      </c>
      <c r="D1366" s="6" t="s">
        <v>22</v>
      </c>
      <c r="E1366" t="s">
        <v>79</v>
      </c>
      <c r="G1366" s="6" t="s">
        <v>971</v>
      </c>
      <c r="H1366" s="59" t="s">
        <v>1021</v>
      </c>
      <c r="I1366" s="58" t="s">
        <v>852</v>
      </c>
      <c r="J1366" t="s">
        <v>860</v>
      </c>
      <c r="K1366" t="s">
        <v>845</v>
      </c>
      <c r="L1366" t="s">
        <v>1038</v>
      </c>
      <c r="M1366" t="s">
        <v>1163</v>
      </c>
      <c r="N1366" s="57">
        <v>1300</v>
      </c>
      <c r="O1366" t="s">
        <v>100</v>
      </c>
      <c r="P1366" t="s">
        <v>38</v>
      </c>
      <c r="Q1366" s="3">
        <v>44872</v>
      </c>
      <c r="R1366" s="10">
        <f t="shared" ca="1" si="43"/>
        <v>46229</v>
      </c>
      <c r="S1366" s="7">
        <f t="shared" ca="1" si="42"/>
        <v>3.7178082191780821</v>
      </c>
    </row>
    <row r="1367" spans="1:19" x14ac:dyDescent="0.25">
      <c r="A1367">
        <v>1176801</v>
      </c>
      <c r="B1367" t="s">
        <v>223</v>
      </c>
      <c r="C1367" t="s">
        <v>17</v>
      </c>
      <c r="D1367" s="6" t="s">
        <v>22</v>
      </c>
      <c r="E1367" t="s">
        <v>79</v>
      </c>
      <c r="G1367" s="6" t="s">
        <v>971</v>
      </c>
      <c r="H1367" s="59" t="s">
        <v>1021</v>
      </c>
      <c r="I1367" s="58" t="s">
        <v>852</v>
      </c>
      <c r="J1367" t="s">
        <v>860</v>
      </c>
      <c r="K1367" t="s">
        <v>845</v>
      </c>
      <c r="L1367" t="s">
        <v>1038</v>
      </c>
      <c r="M1367" t="s">
        <v>1163</v>
      </c>
      <c r="N1367" s="57">
        <v>1300</v>
      </c>
      <c r="O1367" t="s">
        <v>100</v>
      </c>
      <c r="P1367" t="s">
        <v>38</v>
      </c>
      <c r="Q1367" s="3">
        <v>45019</v>
      </c>
      <c r="R1367" s="10">
        <f t="shared" ca="1" si="43"/>
        <v>46229</v>
      </c>
      <c r="S1367" s="7">
        <f t="shared" ca="1" si="42"/>
        <v>3.3150684931506849</v>
      </c>
    </row>
    <row r="1368" spans="1:19" x14ac:dyDescent="0.25">
      <c r="A1368">
        <v>25431</v>
      </c>
      <c r="B1368" t="s">
        <v>319</v>
      </c>
      <c r="C1368" t="s">
        <v>17</v>
      </c>
      <c r="D1368" s="6" t="s">
        <v>22</v>
      </c>
      <c r="E1368" t="s">
        <v>79</v>
      </c>
      <c r="G1368" s="6" t="s">
        <v>971</v>
      </c>
      <c r="H1368" s="59" t="s">
        <v>1021</v>
      </c>
      <c r="I1368" s="58" t="s">
        <v>852</v>
      </c>
      <c r="J1368" t="s">
        <v>860</v>
      </c>
      <c r="K1368" t="s">
        <v>845</v>
      </c>
      <c r="L1368" t="s">
        <v>91</v>
      </c>
      <c r="M1368" t="s">
        <v>1163</v>
      </c>
      <c r="N1368" s="57">
        <v>1300</v>
      </c>
      <c r="O1368" t="s">
        <v>100</v>
      </c>
      <c r="P1368" t="s">
        <v>93</v>
      </c>
      <c r="Q1368" s="3">
        <v>45600</v>
      </c>
      <c r="R1368" s="10">
        <f t="shared" ca="1" si="43"/>
        <v>46229</v>
      </c>
      <c r="S1368" s="7">
        <f t="shared" ca="1" si="42"/>
        <v>1.7232876712328766</v>
      </c>
    </row>
    <row r="1369" spans="1:19" x14ac:dyDescent="0.25">
      <c r="A1369">
        <v>26383</v>
      </c>
      <c r="B1369" t="s">
        <v>324</v>
      </c>
      <c r="C1369" t="s">
        <v>17</v>
      </c>
      <c r="D1369" s="6" t="s">
        <v>22</v>
      </c>
      <c r="E1369" t="s">
        <v>79</v>
      </c>
      <c r="G1369" s="6" t="s">
        <v>971</v>
      </c>
      <c r="H1369" s="59" t="s">
        <v>1021</v>
      </c>
      <c r="I1369" s="58" t="s">
        <v>852</v>
      </c>
      <c r="J1369" t="s">
        <v>860</v>
      </c>
      <c r="K1369" t="s">
        <v>845</v>
      </c>
      <c r="L1369" t="s">
        <v>1038</v>
      </c>
      <c r="M1369" t="s">
        <v>1163</v>
      </c>
      <c r="N1369" s="57">
        <v>1300</v>
      </c>
      <c r="O1369" t="s">
        <v>100</v>
      </c>
      <c r="P1369" t="s">
        <v>93</v>
      </c>
      <c r="Q1369" s="3">
        <v>38768</v>
      </c>
      <c r="R1369" s="10">
        <f t="shared" ca="1" si="43"/>
        <v>46229</v>
      </c>
      <c r="S1369" s="7">
        <f t="shared" ca="1" si="42"/>
        <v>20.44109589041096</v>
      </c>
    </row>
    <row r="1370" spans="1:19" x14ac:dyDescent="0.25">
      <c r="A1370">
        <v>3006544</v>
      </c>
      <c r="B1370" t="s">
        <v>1460</v>
      </c>
      <c r="C1370" t="s">
        <v>17</v>
      </c>
      <c r="D1370" s="6" t="s">
        <v>22</v>
      </c>
      <c r="E1370" t="s">
        <v>79</v>
      </c>
      <c r="G1370" s="6" t="s">
        <v>971</v>
      </c>
      <c r="H1370" s="59" t="s">
        <v>1021</v>
      </c>
      <c r="I1370" s="58" t="s">
        <v>852</v>
      </c>
      <c r="J1370" t="s">
        <v>860</v>
      </c>
      <c r="K1370" t="s">
        <v>845</v>
      </c>
      <c r="L1370" t="s">
        <v>25</v>
      </c>
      <c r="M1370" t="s">
        <v>1163</v>
      </c>
      <c r="N1370" s="57">
        <v>1300</v>
      </c>
      <c r="O1370" t="s">
        <v>100</v>
      </c>
      <c r="P1370" t="s">
        <v>93</v>
      </c>
      <c r="Q1370" s="3">
        <v>43311</v>
      </c>
      <c r="R1370" s="10">
        <f t="shared" ca="1" si="43"/>
        <v>46229</v>
      </c>
      <c r="S1370" s="7">
        <f t="shared" ca="1" si="42"/>
        <v>7.9945205479452053</v>
      </c>
    </row>
    <row r="1371" spans="1:19" x14ac:dyDescent="0.25">
      <c r="A1371">
        <v>4062802</v>
      </c>
      <c r="B1371" t="s">
        <v>1001</v>
      </c>
      <c r="C1371" t="s">
        <v>17</v>
      </c>
      <c r="D1371" s="6" t="s">
        <v>22</v>
      </c>
      <c r="E1371" t="s">
        <v>79</v>
      </c>
      <c r="G1371" s="6" t="s">
        <v>971</v>
      </c>
      <c r="H1371" s="59" t="s">
        <v>1021</v>
      </c>
      <c r="I1371" s="58" t="s">
        <v>852</v>
      </c>
      <c r="J1371" t="s">
        <v>860</v>
      </c>
      <c r="K1371" t="s">
        <v>845</v>
      </c>
      <c r="L1371" t="s">
        <v>1038</v>
      </c>
      <c r="M1371" t="s">
        <v>1163</v>
      </c>
      <c r="N1371" s="57">
        <v>1300</v>
      </c>
      <c r="O1371" t="s">
        <v>100</v>
      </c>
      <c r="P1371" t="s">
        <v>93</v>
      </c>
      <c r="Q1371" s="3">
        <v>45615</v>
      </c>
      <c r="R1371" s="10">
        <f t="shared" ca="1" si="43"/>
        <v>46229</v>
      </c>
      <c r="S1371" s="7">
        <f t="shared" ca="1" si="42"/>
        <v>1.6821917808219178</v>
      </c>
    </row>
    <row r="1372" spans="1:19" x14ac:dyDescent="0.25">
      <c r="A1372">
        <v>27691</v>
      </c>
      <c r="B1372" t="s">
        <v>1198</v>
      </c>
      <c r="C1372" t="s">
        <v>17</v>
      </c>
      <c r="D1372" s="6" t="s">
        <v>22</v>
      </c>
      <c r="E1372" t="s">
        <v>53</v>
      </c>
      <c r="G1372" s="6" t="s">
        <v>967</v>
      </c>
      <c r="H1372" s="59" t="s">
        <v>1023</v>
      </c>
      <c r="I1372" s="58" t="s">
        <v>925</v>
      </c>
      <c r="J1372" t="s">
        <v>922</v>
      </c>
      <c r="K1372" t="s">
        <v>826</v>
      </c>
      <c r="L1372" t="s">
        <v>91</v>
      </c>
      <c r="M1372" t="s">
        <v>1163</v>
      </c>
      <c r="N1372" s="57">
        <v>1500</v>
      </c>
      <c r="O1372" t="s">
        <v>100</v>
      </c>
      <c r="P1372" t="s">
        <v>93</v>
      </c>
      <c r="Q1372" s="3">
        <v>39405</v>
      </c>
      <c r="R1372" s="10">
        <f t="shared" ca="1" si="43"/>
        <v>46229</v>
      </c>
      <c r="S1372" s="7">
        <f t="shared" ca="1" si="42"/>
        <v>18.695890410958903</v>
      </c>
    </row>
    <row r="1373" spans="1:19" x14ac:dyDescent="0.25">
      <c r="A1373">
        <v>4036048</v>
      </c>
      <c r="B1373" t="s">
        <v>452</v>
      </c>
      <c r="C1373" t="s">
        <v>17</v>
      </c>
      <c r="D1373" s="6" t="s">
        <v>22</v>
      </c>
      <c r="E1373" t="s">
        <v>53</v>
      </c>
      <c r="G1373" s="6" t="s">
        <v>967</v>
      </c>
      <c r="H1373" s="59" t="s">
        <v>1023</v>
      </c>
      <c r="I1373" s="58" t="s">
        <v>925</v>
      </c>
      <c r="J1373" t="s">
        <v>922</v>
      </c>
      <c r="K1373" t="s">
        <v>826</v>
      </c>
      <c r="L1373" t="s">
        <v>91</v>
      </c>
      <c r="M1373" t="s">
        <v>1163</v>
      </c>
      <c r="N1373" s="57">
        <v>1500</v>
      </c>
      <c r="O1373" t="s">
        <v>100</v>
      </c>
      <c r="P1373" t="s">
        <v>93</v>
      </c>
      <c r="Q1373" s="3">
        <v>45568</v>
      </c>
      <c r="R1373" s="10">
        <f t="shared" ca="1" si="43"/>
        <v>46229</v>
      </c>
      <c r="S1373" s="7">
        <f t="shared" ca="1" si="42"/>
        <v>1.810958904109589</v>
      </c>
    </row>
    <row r="1374" spans="1:19" x14ac:dyDescent="0.25">
      <c r="A1374">
        <v>4054529</v>
      </c>
      <c r="B1374" t="s">
        <v>488</v>
      </c>
      <c r="C1374" t="s">
        <v>17</v>
      </c>
      <c r="D1374" s="6" t="s">
        <v>22</v>
      </c>
      <c r="E1374" t="s">
        <v>53</v>
      </c>
      <c r="G1374" s="6" t="s">
        <v>967</v>
      </c>
      <c r="H1374" s="59" t="s">
        <v>1023</v>
      </c>
      <c r="I1374" s="58" t="s">
        <v>925</v>
      </c>
      <c r="J1374" t="s">
        <v>922</v>
      </c>
      <c r="K1374" t="s">
        <v>826</v>
      </c>
      <c r="L1374" t="s">
        <v>91</v>
      </c>
      <c r="M1374" t="s">
        <v>1163</v>
      </c>
      <c r="N1374" s="57">
        <v>1500</v>
      </c>
      <c r="O1374" t="s">
        <v>100</v>
      </c>
      <c r="P1374" t="s">
        <v>93</v>
      </c>
      <c r="Q1374" s="3">
        <v>44642</v>
      </c>
      <c r="R1374" s="10">
        <f t="shared" ca="1" si="43"/>
        <v>46229</v>
      </c>
      <c r="S1374" s="7">
        <f t="shared" ca="1" si="42"/>
        <v>4.3479452054794523</v>
      </c>
    </row>
    <row r="1375" spans="1:19" x14ac:dyDescent="0.25">
      <c r="A1375">
        <v>4105977</v>
      </c>
      <c r="B1375" t="s">
        <v>655</v>
      </c>
      <c r="C1375" t="s">
        <v>17</v>
      </c>
      <c r="D1375" s="6" t="s">
        <v>22</v>
      </c>
      <c r="E1375" t="s">
        <v>53</v>
      </c>
      <c r="G1375" s="6" t="s">
        <v>967</v>
      </c>
      <c r="H1375" s="59" t="s">
        <v>1023</v>
      </c>
      <c r="I1375" s="58" t="s">
        <v>925</v>
      </c>
      <c r="J1375" t="s">
        <v>922</v>
      </c>
      <c r="K1375" t="s">
        <v>826</v>
      </c>
      <c r="L1375" t="s">
        <v>91</v>
      </c>
      <c r="M1375" t="s">
        <v>1163</v>
      </c>
      <c r="N1375" s="57">
        <v>1500</v>
      </c>
      <c r="O1375" t="s">
        <v>100</v>
      </c>
      <c r="P1375" t="s">
        <v>93</v>
      </c>
      <c r="Q1375" s="3">
        <v>45568</v>
      </c>
      <c r="R1375" s="10">
        <f t="shared" ca="1" si="43"/>
        <v>46229</v>
      </c>
      <c r="S1375" s="7">
        <f t="shared" ca="1" si="42"/>
        <v>1.810958904109589</v>
      </c>
    </row>
    <row r="1376" spans="1:19" x14ac:dyDescent="0.25">
      <c r="A1376">
        <v>4122554</v>
      </c>
      <c r="B1376" t="s">
        <v>1262</v>
      </c>
      <c r="C1376" t="s">
        <v>1044</v>
      </c>
      <c r="D1376" s="6" t="s">
        <v>22</v>
      </c>
      <c r="E1376" t="s">
        <v>53</v>
      </c>
      <c r="G1376" s="6" t="s">
        <v>967</v>
      </c>
      <c r="H1376" s="59" t="s">
        <v>1023</v>
      </c>
      <c r="I1376" s="58" t="s">
        <v>925</v>
      </c>
      <c r="J1376" t="s">
        <v>922</v>
      </c>
      <c r="K1376" t="s">
        <v>826</v>
      </c>
      <c r="L1376" t="s">
        <v>91</v>
      </c>
      <c r="M1376" t="s">
        <v>1163</v>
      </c>
      <c r="N1376" s="57">
        <v>1500</v>
      </c>
      <c r="O1376" t="s">
        <v>100</v>
      </c>
      <c r="P1376" t="s">
        <v>93</v>
      </c>
      <c r="Q1376" s="3">
        <v>46118</v>
      </c>
      <c r="R1376" s="10">
        <f t="shared" ca="1" si="43"/>
        <v>46229</v>
      </c>
      <c r="S1376" s="7">
        <f t="shared" ca="1" si="42"/>
        <v>0.30410958904109592</v>
      </c>
    </row>
    <row r="1377" spans="1:19" x14ac:dyDescent="0.25">
      <c r="A1377">
        <v>4122555</v>
      </c>
      <c r="B1377" t="s">
        <v>1263</v>
      </c>
      <c r="C1377" t="s">
        <v>1044</v>
      </c>
      <c r="D1377" s="6" t="s">
        <v>22</v>
      </c>
      <c r="E1377" t="s">
        <v>53</v>
      </c>
      <c r="G1377" s="6" t="s">
        <v>967</v>
      </c>
      <c r="H1377" s="59" t="s">
        <v>1023</v>
      </c>
      <c r="I1377" s="58" t="s">
        <v>925</v>
      </c>
      <c r="J1377" t="s">
        <v>922</v>
      </c>
      <c r="K1377" t="s">
        <v>826</v>
      </c>
      <c r="L1377" t="s">
        <v>91</v>
      </c>
      <c r="M1377" t="s">
        <v>1163</v>
      </c>
      <c r="N1377" s="57">
        <v>1500</v>
      </c>
      <c r="O1377" t="s">
        <v>100</v>
      </c>
      <c r="P1377" t="s">
        <v>93</v>
      </c>
      <c r="Q1377" s="3">
        <v>46118</v>
      </c>
      <c r="R1377" s="10">
        <f t="shared" ca="1" si="43"/>
        <v>46229</v>
      </c>
      <c r="S1377" s="7">
        <f t="shared" ca="1" si="42"/>
        <v>0.30410958904109592</v>
      </c>
    </row>
    <row r="1378" spans="1:19" x14ac:dyDescent="0.25">
      <c r="A1378">
        <v>1013610</v>
      </c>
      <c r="B1378" t="s">
        <v>128</v>
      </c>
      <c r="C1378" t="s">
        <v>17</v>
      </c>
      <c r="D1378" s="6" t="s">
        <v>39</v>
      </c>
      <c r="E1378" t="s">
        <v>26</v>
      </c>
      <c r="G1378" s="6" t="s">
        <v>1846</v>
      </c>
      <c r="H1378" s="59" t="s">
        <v>92</v>
      </c>
      <c r="I1378" s="58" t="s">
        <v>94</v>
      </c>
      <c r="J1378" t="s">
        <v>27</v>
      </c>
      <c r="K1378" t="s">
        <v>29</v>
      </c>
      <c r="L1378" t="s">
        <v>966</v>
      </c>
      <c r="M1378" t="s">
        <v>1163</v>
      </c>
      <c r="N1378" s="57">
        <v>5700</v>
      </c>
      <c r="O1378" t="s">
        <v>100</v>
      </c>
      <c r="P1378" t="s">
        <v>38</v>
      </c>
      <c r="Q1378" s="3">
        <v>44991</v>
      </c>
      <c r="R1378" s="10">
        <f t="shared" ca="1" si="43"/>
        <v>46229</v>
      </c>
      <c r="S1378" s="7">
        <f t="shared" ca="1" si="42"/>
        <v>3.3917808219178083</v>
      </c>
    </row>
    <row r="1379" spans="1:19" x14ac:dyDescent="0.25">
      <c r="A1379">
        <v>1173106</v>
      </c>
      <c r="B1379" t="s">
        <v>207</v>
      </c>
      <c r="C1379" t="s">
        <v>17</v>
      </c>
      <c r="D1379" s="6" t="s">
        <v>39</v>
      </c>
      <c r="E1379" t="s">
        <v>816</v>
      </c>
      <c r="G1379" s="6" t="s">
        <v>1846</v>
      </c>
      <c r="H1379" s="59" t="s">
        <v>92</v>
      </c>
      <c r="I1379" s="58" t="s">
        <v>94</v>
      </c>
      <c r="J1379" t="s">
        <v>27</v>
      </c>
      <c r="K1379" t="s">
        <v>29</v>
      </c>
      <c r="L1379" t="s">
        <v>966</v>
      </c>
      <c r="M1379" t="s">
        <v>1163</v>
      </c>
      <c r="N1379" s="57">
        <v>6900</v>
      </c>
      <c r="O1379" t="s">
        <v>100</v>
      </c>
      <c r="P1379" t="s">
        <v>38</v>
      </c>
      <c r="Q1379" s="3">
        <v>44949</v>
      </c>
      <c r="R1379" s="10">
        <f t="shared" ca="1" si="43"/>
        <v>46229</v>
      </c>
      <c r="S1379" s="7">
        <f t="shared" ca="1" si="42"/>
        <v>3.506849315068493</v>
      </c>
    </row>
    <row r="1380" spans="1:19" x14ac:dyDescent="0.25">
      <c r="A1380">
        <v>25040</v>
      </c>
      <c r="B1380" t="s">
        <v>317</v>
      </c>
      <c r="C1380" t="s">
        <v>17</v>
      </c>
      <c r="D1380" s="6" t="s">
        <v>39</v>
      </c>
      <c r="E1380" t="s">
        <v>817</v>
      </c>
      <c r="G1380" s="6" t="s">
        <v>1846</v>
      </c>
      <c r="H1380" s="59" t="s">
        <v>92</v>
      </c>
      <c r="I1380" s="58" t="s">
        <v>94</v>
      </c>
      <c r="J1380" t="s">
        <v>27</v>
      </c>
      <c r="K1380" t="s">
        <v>29</v>
      </c>
      <c r="L1380" t="s">
        <v>966</v>
      </c>
      <c r="M1380" t="s">
        <v>1163</v>
      </c>
      <c r="N1380" s="57">
        <v>6900</v>
      </c>
      <c r="O1380" t="s">
        <v>100</v>
      </c>
      <c r="P1380" t="s">
        <v>38</v>
      </c>
      <c r="Q1380" s="3">
        <v>36199</v>
      </c>
      <c r="R1380" s="10">
        <f t="shared" ca="1" si="43"/>
        <v>46229</v>
      </c>
      <c r="S1380" s="7">
        <f t="shared" ca="1" si="42"/>
        <v>27.479452054794521</v>
      </c>
    </row>
    <row r="1381" spans="1:19" x14ac:dyDescent="0.25">
      <c r="A1381">
        <v>33249</v>
      </c>
      <c r="B1381" t="s">
        <v>395</v>
      </c>
      <c r="C1381" t="s">
        <v>17</v>
      </c>
      <c r="D1381" s="6" t="s">
        <v>39</v>
      </c>
      <c r="E1381" t="s">
        <v>818</v>
      </c>
      <c r="G1381" s="6" t="s">
        <v>1846</v>
      </c>
      <c r="H1381" s="59" t="s">
        <v>92</v>
      </c>
      <c r="I1381" s="58" t="s">
        <v>94</v>
      </c>
      <c r="J1381" t="s">
        <v>27</v>
      </c>
      <c r="K1381" t="s">
        <v>29</v>
      </c>
      <c r="L1381" t="s">
        <v>966</v>
      </c>
      <c r="M1381" t="s">
        <v>1163</v>
      </c>
      <c r="N1381" s="57">
        <v>5800</v>
      </c>
      <c r="O1381" t="s">
        <v>100</v>
      </c>
      <c r="P1381" t="s">
        <v>38</v>
      </c>
      <c r="Q1381" s="3">
        <v>39363</v>
      </c>
      <c r="R1381" s="10">
        <f t="shared" ca="1" si="43"/>
        <v>46229</v>
      </c>
      <c r="S1381" s="7">
        <f t="shared" ca="1" si="42"/>
        <v>18.81095890410959</v>
      </c>
    </row>
    <row r="1382" spans="1:19" x14ac:dyDescent="0.25">
      <c r="A1382">
        <v>33900</v>
      </c>
      <c r="B1382" t="s">
        <v>399</v>
      </c>
      <c r="C1382" t="s">
        <v>17</v>
      </c>
      <c r="D1382" s="6" t="s">
        <v>39</v>
      </c>
      <c r="E1382" t="s">
        <v>819</v>
      </c>
      <c r="G1382" s="6" t="s">
        <v>1846</v>
      </c>
      <c r="H1382" s="59" t="s">
        <v>92</v>
      </c>
      <c r="I1382" s="58" t="s">
        <v>94</v>
      </c>
      <c r="J1382" t="s">
        <v>27</v>
      </c>
      <c r="K1382" t="s">
        <v>29</v>
      </c>
      <c r="L1382" t="s">
        <v>966</v>
      </c>
      <c r="M1382" t="s">
        <v>1163</v>
      </c>
      <c r="N1382" s="57">
        <v>5300</v>
      </c>
      <c r="O1382" t="s">
        <v>100</v>
      </c>
      <c r="P1382" t="s">
        <v>38</v>
      </c>
      <c r="Q1382" s="3">
        <v>39559</v>
      </c>
      <c r="R1382" s="10">
        <f t="shared" ca="1" si="43"/>
        <v>46229</v>
      </c>
      <c r="S1382" s="7">
        <f t="shared" ca="1" si="42"/>
        <v>18.273972602739725</v>
      </c>
    </row>
    <row r="1383" spans="1:19" x14ac:dyDescent="0.25">
      <c r="A1383">
        <v>976654</v>
      </c>
      <c r="B1383" t="s">
        <v>797</v>
      </c>
      <c r="C1383" t="s">
        <v>17</v>
      </c>
      <c r="D1383" s="6" t="s">
        <v>39</v>
      </c>
      <c r="E1383" t="s">
        <v>82</v>
      </c>
      <c r="G1383" s="6" t="s">
        <v>1846</v>
      </c>
      <c r="H1383" s="59" t="s">
        <v>92</v>
      </c>
      <c r="I1383" s="58" t="s">
        <v>94</v>
      </c>
      <c r="J1383" t="s">
        <v>27</v>
      </c>
      <c r="K1383" t="s">
        <v>29</v>
      </c>
      <c r="L1383" t="s">
        <v>966</v>
      </c>
      <c r="M1383" t="s">
        <v>1163</v>
      </c>
      <c r="N1383" s="57">
        <v>5300</v>
      </c>
      <c r="O1383" t="s">
        <v>100</v>
      </c>
      <c r="P1383" t="s">
        <v>38</v>
      </c>
      <c r="Q1383" s="3">
        <v>44725</v>
      </c>
      <c r="R1383" s="10">
        <f t="shared" ca="1" si="43"/>
        <v>46229</v>
      </c>
      <c r="S1383" s="7">
        <f t="shared" ca="1" si="42"/>
        <v>4.1205479452054794</v>
      </c>
    </row>
    <row r="1384" spans="1:19" x14ac:dyDescent="0.25">
      <c r="A1384">
        <v>1119009</v>
      </c>
      <c r="B1384" t="s">
        <v>154</v>
      </c>
      <c r="C1384" t="s">
        <v>17</v>
      </c>
      <c r="D1384" s="6" t="s">
        <v>22</v>
      </c>
      <c r="E1384" t="s">
        <v>85</v>
      </c>
      <c r="G1384" s="6" t="s">
        <v>969</v>
      </c>
      <c r="H1384" s="59" t="s">
        <v>1016</v>
      </c>
      <c r="I1384" s="58" t="s">
        <v>875</v>
      </c>
      <c r="J1384" t="s">
        <v>832</v>
      </c>
      <c r="K1384" t="s">
        <v>31</v>
      </c>
      <c r="L1384" t="s">
        <v>91</v>
      </c>
      <c r="M1384" t="s">
        <v>1163</v>
      </c>
      <c r="N1384" s="57">
        <v>1300</v>
      </c>
      <c r="O1384" t="s">
        <v>100</v>
      </c>
      <c r="P1384" t="s">
        <v>93</v>
      </c>
      <c r="Q1384" s="3">
        <v>44152</v>
      </c>
      <c r="R1384" s="10">
        <f t="shared" ca="1" si="43"/>
        <v>46229</v>
      </c>
      <c r="S1384" s="7">
        <f t="shared" ca="1" si="42"/>
        <v>5.6904109589041099</v>
      </c>
    </row>
    <row r="1385" spans="1:19" x14ac:dyDescent="0.25">
      <c r="A1385">
        <v>1169382</v>
      </c>
      <c r="B1385" t="s">
        <v>196</v>
      </c>
      <c r="C1385" t="s">
        <v>17</v>
      </c>
      <c r="D1385" s="6" t="s">
        <v>22</v>
      </c>
      <c r="E1385" t="s">
        <v>72</v>
      </c>
      <c r="G1385" s="6" t="s">
        <v>969</v>
      </c>
      <c r="H1385" s="59" t="s">
        <v>1016</v>
      </c>
      <c r="I1385" s="58" t="s">
        <v>875</v>
      </c>
      <c r="J1385" t="s">
        <v>832</v>
      </c>
      <c r="K1385" t="s">
        <v>31</v>
      </c>
      <c r="L1385" t="s">
        <v>25</v>
      </c>
      <c r="M1385" t="s">
        <v>1163</v>
      </c>
      <c r="N1385" s="57">
        <v>1300</v>
      </c>
      <c r="O1385" t="s">
        <v>100</v>
      </c>
      <c r="P1385" t="s">
        <v>93</v>
      </c>
      <c r="Q1385" s="3">
        <v>44888</v>
      </c>
      <c r="R1385" s="10">
        <f t="shared" ca="1" si="43"/>
        <v>46229</v>
      </c>
      <c r="S1385" s="7">
        <f t="shared" ca="1" si="42"/>
        <v>3.6739726027397261</v>
      </c>
    </row>
    <row r="1386" spans="1:19" x14ac:dyDescent="0.25">
      <c r="A1386">
        <v>1179368</v>
      </c>
      <c r="B1386" t="s">
        <v>231</v>
      </c>
      <c r="C1386" t="s">
        <v>17</v>
      </c>
      <c r="D1386" s="6" t="s">
        <v>22</v>
      </c>
      <c r="E1386" t="s">
        <v>85</v>
      </c>
      <c r="G1386" s="6" t="s">
        <v>969</v>
      </c>
      <c r="H1386" s="59" t="s">
        <v>1016</v>
      </c>
      <c r="I1386" s="58" t="s">
        <v>875</v>
      </c>
      <c r="J1386" t="s">
        <v>832</v>
      </c>
      <c r="K1386" t="s">
        <v>31</v>
      </c>
      <c r="L1386" t="s">
        <v>91</v>
      </c>
      <c r="M1386" t="s">
        <v>1163</v>
      </c>
      <c r="N1386" s="57">
        <v>1300</v>
      </c>
      <c r="O1386" t="s">
        <v>100</v>
      </c>
      <c r="P1386" t="s">
        <v>93</v>
      </c>
      <c r="Q1386" s="3">
        <v>45096</v>
      </c>
      <c r="R1386" s="10">
        <f t="shared" ca="1" si="43"/>
        <v>46229</v>
      </c>
      <c r="S1386" s="7">
        <f t="shared" ca="1" si="42"/>
        <v>3.1041095890410957</v>
      </c>
    </row>
    <row r="1387" spans="1:19" x14ac:dyDescent="0.25">
      <c r="A1387">
        <v>1179804</v>
      </c>
      <c r="B1387" t="s">
        <v>237</v>
      </c>
      <c r="C1387" t="s">
        <v>17</v>
      </c>
      <c r="D1387" s="6" t="s">
        <v>22</v>
      </c>
      <c r="E1387" t="s">
        <v>85</v>
      </c>
      <c r="G1387" s="6" t="s">
        <v>969</v>
      </c>
      <c r="H1387" s="59" t="s">
        <v>1016</v>
      </c>
      <c r="I1387" s="58" t="s">
        <v>875</v>
      </c>
      <c r="J1387" t="s">
        <v>832</v>
      </c>
      <c r="K1387" t="s">
        <v>31</v>
      </c>
      <c r="L1387" t="s">
        <v>1038</v>
      </c>
      <c r="M1387" t="s">
        <v>1163</v>
      </c>
      <c r="N1387" s="57">
        <v>1300</v>
      </c>
      <c r="O1387" t="s">
        <v>100</v>
      </c>
      <c r="P1387" t="s">
        <v>93</v>
      </c>
      <c r="Q1387" s="3">
        <v>45110</v>
      </c>
      <c r="R1387" s="10">
        <f t="shared" ca="1" si="43"/>
        <v>46229</v>
      </c>
      <c r="S1387" s="7">
        <f t="shared" ca="1" si="42"/>
        <v>3.0657534246575344</v>
      </c>
    </row>
    <row r="1388" spans="1:19" x14ac:dyDescent="0.25">
      <c r="A1388">
        <v>1192836</v>
      </c>
      <c r="B1388" t="s">
        <v>260</v>
      </c>
      <c r="C1388" t="s">
        <v>17</v>
      </c>
      <c r="D1388" s="6" t="s">
        <v>22</v>
      </c>
      <c r="E1388" t="s">
        <v>85</v>
      </c>
      <c r="G1388" s="6" t="s">
        <v>969</v>
      </c>
      <c r="H1388" s="59" t="s">
        <v>1016</v>
      </c>
      <c r="I1388" s="58" t="s">
        <v>875</v>
      </c>
      <c r="J1388" t="s">
        <v>832</v>
      </c>
      <c r="K1388" t="s">
        <v>31</v>
      </c>
      <c r="L1388" t="s">
        <v>1038</v>
      </c>
      <c r="M1388" t="s">
        <v>1163</v>
      </c>
      <c r="N1388" s="57">
        <v>1300</v>
      </c>
      <c r="O1388" t="s">
        <v>100</v>
      </c>
      <c r="P1388" t="s">
        <v>93</v>
      </c>
      <c r="Q1388" s="3">
        <v>45495</v>
      </c>
      <c r="R1388" s="10">
        <f t="shared" ca="1" si="43"/>
        <v>46229</v>
      </c>
      <c r="S1388" s="7">
        <f t="shared" ca="1" si="42"/>
        <v>2.010958904109589</v>
      </c>
    </row>
    <row r="1389" spans="1:19" x14ac:dyDescent="0.25">
      <c r="A1389">
        <v>1160950</v>
      </c>
      <c r="B1389" t="s">
        <v>189</v>
      </c>
      <c r="C1389" t="s">
        <v>17</v>
      </c>
      <c r="D1389" s="6" t="s">
        <v>39</v>
      </c>
      <c r="E1389" t="s">
        <v>90</v>
      </c>
      <c r="G1389" s="6" t="s">
        <v>1844</v>
      </c>
      <c r="H1389" s="59" t="s">
        <v>92</v>
      </c>
      <c r="I1389" s="58" t="s">
        <v>875</v>
      </c>
      <c r="J1389" t="s">
        <v>832</v>
      </c>
      <c r="K1389" t="s">
        <v>31</v>
      </c>
      <c r="L1389" t="s">
        <v>966</v>
      </c>
      <c r="M1389" t="s">
        <v>1163</v>
      </c>
      <c r="N1389" s="57">
        <v>6900</v>
      </c>
      <c r="O1389" t="s">
        <v>100</v>
      </c>
      <c r="P1389" t="s">
        <v>38</v>
      </c>
      <c r="Q1389" s="3">
        <v>44788</v>
      </c>
      <c r="R1389" s="10">
        <f t="shared" ca="1" si="43"/>
        <v>46229</v>
      </c>
      <c r="S1389" s="7">
        <f t="shared" ca="1" si="42"/>
        <v>3.9479452054794519</v>
      </c>
    </row>
    <row r="1390" spans="1:19" x14ac:dyDescent="0.25">
      <c r="A1390">
        <v>1193799</v>
      </c>
      <c r="B1390" t="s">
        <v>263</v>
      </c>
      <c r="C1390" t="s">
        <v>17</v>
      </c>
      <c r="D1390" s="6" t="s">
        <v>22</v>
      </c>
      <c r="E1390" t="s">
        <v>85</v>
      </c>
      <c r="G1390" s="6" t="s">
        <v>969</v>
      </c>
      <c r="H1390" s="59" t="s">
        <v>1016</v>
      </c>
      <c r="I1390" s="58" t="s">
        <v>875</v>
      </c>
      <c r="J1390" t="s">
        <v>832</v>
      </c>
      <c r="K1390" t="s">
        <v>31</v>
      </c>
      <c r="L1390" t="s">
        <v>25</v>
      </c>
      <c r="M1390" t="s">
        <v>1163</v>
      </c>
      <c r="N1390" s="57">
        <v>1300</v>
      </c>
      <c r="O1390" t="s">
        <v>100</v>
      </c>
      <c r="P1390" t="s">
        <v>93</v>
      </c>
      <c r="Q1390" s="3">
        <v>45516</v>
      </c>
      <c r="R1390" s="10">
        <f t="shared" ca="1" si="43"/>
        <v>46229</v>
      </c>
      <c r="S1390" s="7">
        <f t="shared" ca="1" si="42"/>
        <v>1.9534246575342467</v>
      </c>
    </row>
    <row r="1391" spans="1:19" x14ac:dyDescent="0.25">
      <c r="A1391">
        <v>1196940</v>
      </c>
      <c r="B1391" t="s">
        <v>270</v>
      </c>
      <c r="C1391" t="s">
        <v>17</v>
      </c>
      <c r="D1391" s="6" t="s">
        <v>22</v>
      </c>
      <c r="E1391" t="s">
        <v>85</v>
      </c>
      <c r="G1391" s="6" t="s">
        <v>969</v>
      </c>
      <c r="H1391" s="59" t="s">
        <v>1016</v>
      </c>
      <c r="I1391" s="58" t="s">
        <v>875</v>
      </c>
      <c r="J1391" t="s">
        <v>832</v>
      </c>
      <c r="K1391" t="s">
        <v>31</v>
      </c>
      <c r="L1391" t="s">
        <v>1038</v>
      </c>
      <c r="M1391" t="s">
        <v>1163</v>
      </c>
      <c r="N1391" s="57">
        <v>1300</v>
      </c>
      <c r="O1391" t="s">
        <v>100</v>
      </c>
      <c r="P1391" t="s">
        <v>93</v>
      </c>
      <c r="Q1391" s="3">
        <v>45579</v>
      </c>
      <c r="R1391" s="10">
        <f t="shared" ca="1" si="43"/>
        <v>46229</v>
      </c>
      <c r="S1391" s="7">
        <f t="shared" ca="1" si="42"/>
        <v>1.7808219178082192</v>
      </c>
    </row>
    <row r="1392" spans="1:19" x14ac:dyDescent="0.25">
      <c r="A1392">
        <v>1209033</v>
      </c>
      <c r="B1392" t="s">
        <v>286</v>
      </c>
      <c r="C1392" t="s">
        <v>17</v>
      </c>
      <c r="D1392" s="6" t="s">
        <v>22</v>
      </c>
      <c r="E1392" t="s">
        <v>85</v>
      </c>
      <c r="G1392" s="6" t="s">
        <v>969</v>
      </c>
      <c r="H1392" s="59" t="s">
        <v>1016</v>
      </c>
      <c r="I1392" s="58" t="s">
        <v>875</v>
      </c>
      <c r="J1392" t="s">
        <v>832</v>
      </c>
      <c r="K1392" t="s">
        <v>31</v>
      </c>
      <c r="L1392" t="s">
        <v>25</v>
      </c>
      <c r="M1392" t="s">
        <v>1163</v>
      </c>
      <c r="N1392" s="57">
        <v>1300</v>
      </c>
      <c r="O1392" t="s">
        <v>100</v>
      </c>
      <c r="P1392" t="s">
        <v>93</v>
      </c>
      <c r="Q1392" s="3">
        <v>45810</v>
      </c>
      <c r="R1392" s="10">
        <f t="shared" ca="1" si="43"/>
        <v>46229</v>
      </c>
      <c r="S1392" s="7">
        <f t="shared" ca="1" si="42"/>
        <v>1.1479452054794521</v>
      </c>
    </row>
    <row r="1393" spans="1:19" x14ac:dyDescent="0.25">
      <c r="A1393">
        <v>1233346</v>
      </c>
      <c r="B1393" t="s">
        <v>1546</v>
      </c>
      <c r="C1393" t="s">
        <v>17</v>
      </c>
      <c r="D1393" s="6" t="s">
        <v>39</v>
      </c>
      <c r="E1393" t="s">
        <v>90</v>
      </c>
      <c r="G1393" s="6" t="s">
        <v>969</v>
      </c>
      <c r="H1393" s="59" t="s">
        <v>1016</v>
      </c>
      <c r="I1393" s="58" t="s">
        <v>875</v>
      </c>
      <c r="J1393" t="s">
        <v>832</v>
      </c>
      <c r="K1393" t="s">
        <v>31</v>
      </c>
      <c r="L1393" t="s">
        <v>966</v>
      </c>
      <c r="M1393" t="s">
        <v>1163</v>
      </c>
      <c r="N1393" s="57">
        <v>6900</v>
      </c>
      <c r="O1393" t="s">
        <v>100</v>
      </c>
      <c r="P1393" t="s">
        <v>38</v>
      </c>
      <c r="Q1393" s="3">
        <v>46174</v>
      </c>
      <c r="R1393" s="10">
        <f t="shared" ca="1" si="43"/>
        <v>46229</v>
      </c>
      <c r="S1393" s="7">
        <f t="shared" ca="1" si="42"/>
        <v>0.15068493150684931</v>
      </c>
    </row>
    <row r="1394" spans="1:19" x14ac:dyDescent="0.25">
      <c r="A1394">
        <v>35062</v>
      </c>
      <c r="B1394" t="s">
        <v>406</v>
      </c>
      <c r="C1394" t="s">
        <v>17</v>
      </c>
      <c r="D1394" s="6" t="s">
        <v>22</v>
      </c>
      <c r="E1394" t="s">
        <v>72</v>
      </c>
      <c r="G1394" s="6" t="s">
        <v>969</v>
      </c>
      <c r="H1394" s="59" t="s">
        <v>1016</v>
      </c>
      <c r="I1394" s="58" t="s">
        <v>875</v>
      </c>
      <c r="J1394" t="s">
        <v>832</v>
      </c>
      <c r="K1394" t="s">
        <v>31</v>
      </c>
      <c r="L1394" t="s">
        <v>1038</v>
      </c>
      <c r="M1394" t="s">
        <v>1163</v>
      </c>
      <c r="N1394" s="57">
        <v>1300</v>
      </c>
      <c r="O1394" t="s">
        <v>100</v>
      </c>
      <c r="P1394" t="s">
        <v>93</v>
      </c>
      <c r="Q1394" s="3">
        <v>40042</v>
      </c>
      <c r="R1394" s="10">
        <f t="shared" ca="1" si="43"/>
        <v>46229</v>
      </c>
      <c r="S1394" s="7">
        <f t="shared" ca="1" si="42"/>
        <v>16.950684931506849</v>
      </c>
    </row>
    <row r="1395" spans="1:19" x14ac:dyDescent="0.25">
      <c r="A1395">
        <v>32372</v>
      </c>
      <c r="B1395" t="s">
        <v>388</v>
      </c>
      <c r="C1395" t="s">
        <v>17</v>
      </c>
      <c r="D1395" s="6" t="s">
        <v>39</v>
      </c>
      <c r="E1395" t="s">
        <v>955</v>
      </c>
      <c r="G1395" s="6" t="s">
        <v>1846</v>
      </c>
      <c r="H1395" s="59" t="s">
        <v>92</v>
      </c>
      <c r="I1395" s="58" t="s">
        <v>863</v>
      </c>
      <c r="J1395" t="s">
        <v>864</v>
      </c>
      <c r="K1395" t="s">
        <v>920</v>
      </c>
      <c r="L1395" t="s">
        <v>966</v>
      </c>
      <c r="M1395" t="s">
        <v>1163</v>
      </c>
      <c r="N1395" s="57">
        <v>7400</v>
      </c>
      <c r="O1395" t="s">
        <v>100</v>
      </c>
      <c r="P1395" t="s">
        <v>38</v>
      </c>
      <c r="Q1395" s="3">
        <v>42646</v>
      </c>
      <c r="R1395" s="10">
        <f t="shared" ca="1" si="43"/>
        <v>46229</v>
      </c>
      <c r="S1395" s="7">
        <f t="shared" ca="1" si="42"/>
        <v>9.8164383561643831</v>
      </c>
    </row>
    <row r="1396" spans="1:19" x14ac:dyDescent="0.25">
      <c r="A1396">
        <v>836170</v>
      </c>
      <c r="B1396" t="s">
        <v>736</v>
      </c>
      <c r="C1396" t="s">
        <v>17</v>
      </c>
      <c r="D1396" s="6" t="s">
        <v>39</v>
      </c>
      <c r="E1396" t="s">
        <v>963</v>
      </c>
      <c r="G1396" s="6" t="s">
        <v>1846</v>
      </c>
      <c r="H1396" s="59" t="s">
        <v>92</v>
      </c>
      <c r="I1396" s="58" t="s">
        <v>863</v>
      </c>
      <c r="J1396" t="s">
        <v>864</v>
      </c>
      <c r="K1396" t="s">
        <v>920</v>
      </c>
      <c r="L1396" t="s">
        <v>966</v>
      </c>
      <c r="M1396" t="s">
        <v>1163</v>
      </c>
      <c r="N1396" s="57">
        <v>7400</v>
      </c>
      <c r="O1396" t="s">
        <v>100</v>
      </c>
      <c r="P1396" t="s">
        <v>38</v>
      </c>
      <c r="Q1396" s="3">
        <v>41680</v>
      </c>
      <c r="R1396" s="10">
        <f t="shared" ca="1" si="43"/>
        <v>46229</v>
      </c>
      <c r="S1396" s="7">
        <f t="shared" ca="1" si="42"/>
        <v>12.463013698630137</v>
      </c>
    </row>
    <row r="1397" spans="1:19" x14ac:dyDescent="0.25">
      <c r="A1397">
        <v>33755</v>
      </c>
      <c r="B1397" t="s">
        <v>398</v>
      </c>
      <c r="C1397" t="s">
        <v>17</v>
      </c>
      <c r="D1397" s="6" t="s">
        <v>39</v>
      </c>
      <c r="E1397" t="s">
        <v>76</v>
      </c>
      <c r="G1397" s="6" t="s">
        <v>1846</v>
      </c>
      <c r="H1397" s="59" t="s">
        <v>92</v>
      </c>
      <c r="I1397" s="58" t="s">
        <v>824</v>
      </c>
      <c r="J1397" t="s">
        <v>94</v>
      </c>
      <c r="K1397" t="s">
        <v>27</v>
      </c>
      <c r="L1397" t="s">
        <v>966</v>
      </c>
      <c r="M1397" t="s">
        <v>1163</v>
      </c>
      <c r="N1397" s="57">
        <v>6900</v>
      </c>
      <c r="O1397" t="s">
        <v>100</v>
      </c>
      <c r="P1397" t="s">
        <v>38</v>
      </c>
      <c r="Q1397" s="3">
        <v>45173</v>
      </c>
      <c r="R1397" s="10">
        <f t="shared" ca="1" si="43"/>
        <v>46229</v>
      </c>
      <c r="S1397" s="7">
        <f t="shared" ca="1" si="42"/>
        <v>2.893150684931507</v>
      </c>
    </row>
    <row r="1398" spans="1:19" x14ac:dyDescent="0.25">
      <c r="A1398">
        <v>38341</v>
      </c>
      <c r="B1398" t="s">
        <v>418</v>
      </c>
      <c r="C1398" t="s">
        <v>17</v>
      </c>
      <c r="D1398" s="6" t="s">
        <v>39</v>
      </c>
      <c r="E1398" t="s">
        <v>64</v>
      </c>
      <c r="G1398" s="6" t="s">
        <v>16</v>
      </c>
      <c r="H1398" s="59" t="s">
        <v>92</v>
      </c>
      <c r="I1398" s="58" t="s">
        <v>824</v>
      </c>
      <c r="J1398" t="s">
        <v>94</v>
      </c>
      <c r="K1398" t="s">
        <v>27</v>
      </c>
      <c r="L1398" t="s">
        <v>966</v>
      </c>
      <c r="M1398" t="s">
        <v>1163</v>
      </c>
      <c r="N1398" s="57">
        <v>6900</v>
      </c>
      <c r="O1398" t="s">
        <v>100</v>
      </c>
      <c r="P1398" t="s">
        <v>38</v>
      </c>
      <c r="Q1398" s="3">
        <v>40511</v>
      </c>
      <c r="R1398" s="10">
        <f t="shared" ca="1" si="43"/>
        <v>46229</v>
      </c>
      <c r="S1398" s="7">
        <f t="shared" ca="1" si="42"/>
        <v>15.665753424657535</v>
      </c>
    </row>
    <row r="1399" spans="1:19" x14ac:dyDescent="0.25">
      <c r="A1399">
        <v>962675</v>
      </c>
      <c r="B1399" t="s">
        <v>784</v>
      </c>
      <c r="C1399" t="s">
        <v>17</v>
      </c>
      <c r="D1399" s="6" t="s">
        <v>39</v>
      </c>
      <c r="E1399" t="s">
        <v>76</v>
      </c>
      <c r="G1399" s="6" t="s">
        <v>16</v>
      </c>
      <c r="H1399" s="59" t="s">
        <v>92</v>
      </c>
      <c r="I1399" s="58" t="s">
        <v>824</v>
      </c>
      <c r="J1399" t="s">
        <v>94</v>
      </c>
      <c r="K1399" t="s">
        <v>27</v>
      </c>
      <c r="L1399" t="s">
        <v>966</v>
      </c>
      <c r="M1399" t="s">
        <v>1163</v>
      </c>
      <c r="N1399" s="57">
        <v>6900</v>
      </c>
      <c r="O1399" t="s">
        <v>100</v>
      </c>
      <c r="P1399" t="s">
        <v>38</v>
      </c>
      <c r="Q1399" s="3">
        <v>42485</v>
      </c>
      <c r="R1399" s="10">
        <f t="shared" ca="1" si="43"/>
        <v>46229</v>
      </c>
      <c r="S1399" s="7">
        <f t="shared" ca="1" si="42"/>
        <v>10.257534246575343</v>
      </c>
    </row>
    <row r="1400" spans="1:19" x14ac:dyDescent="0.25">
      <c r="A1400">
        <v>25791</v>
      </c>
      <c r="B1400" t="s">
        <v>1469</v>
      </c>
      <c r="C1400" t="s">
        <v>17</v>
      </c>
      <c r="D1400" s="6" t="s">
        <v>22</v>
      </c>
      <c r="E1400" t="s">
        <v>65</v>
      </c>
      <c r="G1400" s="6" t="s">
        <v>967</v>
      </c>
      <c r="H1400" s="59" t="s">
        <v>1022</v>
      </c>
      <c r="I1400" s="58" t="s">
        <v>936</v>
      </c>
      <c r="J1400" t="s">
        <v>820</v>
      </c>
      <c r="K1400" t="s">
        <v>821</v>
      </c>
      <c r="L1400" t="s">
        <v>25</v>
      </c>
      <c r="M1400" t="s">
        <v>1163</v>
      </c>
      <c r="N1400" s="57">
        <v>1500</v>
      </c>
      <c r="O1400" t="s">
        <v>100</v>
      </c>
      <c r="P1400" t="s">
        <v>93</v>
      </c>
      <c r="Q1400" s="3">
        <v>41477</v>
      </c>
      <c r="R1400" s="10">
        <f t="shared" ca="1" si="43"/>
        <v>46229</v>
      </c>
      <c r="S1400" s="7">
        <f t="shared" ca="1" si="42"/>
        <v>13.019178082191781</v>
      </c>
    </row>
    <row r="1401" spans="1:19" x14ac:dyDescent="0.25">
      <c r="A1401">
        <v>4099932</v>
      </c>
      <c r="B1401" t="s">
        <v>591</v>
      </c>
      <c r="C1401" t="s">
        <v>17</v>
      </c>
      <c r="D1401" s="6" t="s">
        <v>22</v>
      </c>
      <c r="E1401" t="s">
        <v>54</v>
      </c>
      <c r="G1401" s="6" t="s">
        <v>967</v>
      </c>
      <c r="H1401" s="59" t="s">
        <v>1022</v>
      </c>
      <c r="I1401" s="58" t="s">
        <v>936</v>
      </c>
      <c r="J1401" t="s">
        <v>820</v>
      </c>
      <c r="K1401" t="s">
        <v>821</v>
      </c>
      <c r="L1401" t="s">
        <v>25</v>
      </c>
      <c r="M1401" t="s">
        <v>1163</v>
      </c>
      <c r="N1401" s="57">
        <v>1200</v>
      </c>
      <c r="O1401" t="s">
        <v>100</v>
      </c>
      <c r="P1401" t="s">
        <v>93</v>
      </c>
      <c r="Q1401" s="3">
        <v>45411</v>
      </c>
      <c r="R1401" s="10">
        <f t="shared" ca="1" si="43"/>
        <v>46229</v>
      </c>
      <c r="S1401" s="7">
        <f t="shared" ca="1" si="42"/>
        <v>2.2410958904109588</v>
      </c>
    </row>
    <row r="1402" spans="1:19" x14ac:dyDescent="0.25">
      <c r="A1402">
        <v>4100907</v>
      </c>
      <c r="B1402" t="s">
        <v>614</v>
      </c>
      <c r="C1402" t="s">
        <v>17</v>
      </c>
      <c r="D1402" s="6" t="s">
        <v>22</v>
      </c>
      <c r="E1402" t="s">
        <v>54</v>
      </c>
      <c r="G1402" s="6" t="s">
        <v>967</v>
      </c>
      <c r="H1402" s="59" t="s">
        <v>1022</v>
      </c>
      <c r="I1402" s="58" t="s">
        <v>936</v>
      </c>
      <c r="J1402" t="s">
        <v>820</v>
      </c>
      <c r="K1402" t="s">
        <v>821</v>
      </c>
      <c r="L1402" t="s">
        <v>25</v>
      </c>
      <c r="M1402" t="s">
        <v>1163</v>
      </c>
      <c r="N1402" s="57">
        <v>1200</v>
      </c>
      <c r="O1402" t="s">
        <v>100</v>
      </c>
      <c r="P1402" t="s">
        <v>93</v>
      </c>
      <c r="Q1402" s="3">
        <v>45442</v>
      </c>
      <c r="R1402" s="10">
        <f t="shared" ca="1" si="43"/>
        <v>46229</v>
      </c>
      <c r="S1402" s="7">
        <f t="shared" ca="1" si="42"/>
        <v>2.1561643835616437</v>
      </c>
    </row>
    <row r="1403" spans="1:19" x14ac:dyDescent="0.25">
      <c r="A1403">
        <v>4103449</v>
      </c>
      <c r="B1403" t="s">
        <v>1367</v>
      </c>
      <c r="C1403" t="s">
        <v>1044</v>
      </c>
      <c r="D1403" s="6" t="s">
        <v>22</v>
      </c>
      <c r="E1403" t="s">
        <v>21</v>
      </c>
      <c r="G1403" s="6" t="s">
        <v>967</v>
      </c>
      <c r="H1403" s="59" t="s">
        <v>1022</v>
      </c>
      <c r="I1403" s="58" t="s">
        <v>936</v>
      </c>
      <c r="J1403" t="s">
        <v>820</v>
      </c>
      <c r="K1403" t="s">
        <v>821</v>
      </c>
      <c r="L1403" t="s">
        <v>25</v>
      </c>
      <c r="M1403" t="s">
        <v>1163</v>
      </c>
      <c r="N1403" s="57">
        <v>1200</v>
      </c>
      <c r="O1403" t="s">
        <v>100</v>
      </c>
      <c r="P1403" t="s">
        <v>93</v>
      </c>
      <c r="Q1403" s="3">
        <v>46125</v>
      </c>
      <c r="R1403" s="10">
        <f t="shared" ca="1" si="43"/>
        <v>46229</v>
      </c>
      <c r="S1403" s="7">
        <f t="shared" ca="1" si="42"/>
        <v>0.28493150684931506</v>
      </c>
    </row>
    <row r="1404" spans="1:19" x14ac:dyDescent="0.25">
      <c r="A1404">
        <v>4105995</v>
      </c>
      <c r="B1404" t="s">
        <v>659</v>
      </c>
      <c r="C1404" t="s">
        <v>17</v>
      </c>
      <c r="D1404" s="6" t="s">
        <v>22</v>
      </c>
      <c r="E1404" t="s">
        <v>65</v>
      </c>
      <c r="G1404" s="6" t="s">
        <v>967</v>
      </c>
      <c r="H1404" s="59" t="s">
        <v>1022</v>
      </c>
      <c r="I1404" s="58" t="s">
        <v>936</v>
      </c>
      <c r="J1404" t="s">
        <v>820</v>
      </c>
      <c r="K1404" t="s">
        <v>821</v>
      </c>
      <c r="L1404" t="s">
        <v>25</v>
      </c>
      <c r="M1404" t="s">
        <v>1163</v>
      </c>
      <c r="N1404" s="57">
        <v>1500</v>
      </c>
      <c r="O1404" t="s">
        <v>100</v>
      </c>
      <c r="P1404" t="s">
        <v>93</v>
      </c>
      <c r="Q1404" s="3">
        <v>45568</v>
      </c>
      <c r="R1404" s="10">
        <f t="shared" ca="1" si="43"/>
        <v>46229</v>
      </c>
      <c r="S1404" s="7">
        <f t="shared" ca="1" si="42"/>
        <v>1.810958904109589</v>
      </c>
    </row>
    <row r="1405" spans="1:19" x14ac:dyDescent="0.25">
      <c r="A1405">
        <v>34385</v>
      </c>
      <c r="B1405" t="s">
        <v>401</v>
      </c>
      <c r="C1405" t="s">
        <v>17</v>
      </c>
      <c r="D1405" s="6" t="s">
        <v>39</v>
      </c>
      <c r="E1405" t="s">
        <v>73</v>
      </c>
      <c r="G1405" s="6" t="s">
        <v>1847</v>
      </c>
      <c r="H1405" s="59" t="s">
        <v>92</v>
      </c>
      <c r="I1405" s="58" t="s">
        <v>27</v>
      </c>
      <c r="J1405" t="s">
        <v>29</v>
      </c>
      <c r="K1405" t="s">
        <v>34</v>
      </c>
      <c r="L1405" t="s">
        <v>966</v>
      </c>
      <c r="M1405" t="s">
        <v>1163</v>
      </c>
      <c r="N1405" s="57">
        <v>5700</v>
      </c>
      <c r="O1405" t="s">
        <v>100</v>
      </c>
      <c r="P1405" t="s">
        <v>38</v>
      </c>
      <c r="Q1405" s="3">
        <v>39671</v>
      </c>
      <c r="R1405" s="10">
        <f t="shared" ca="1" si="43"/>
        <v>46229</v>
      </c>
      <c r="S1405" s="7">
        <f t="shared" ca="1" si="42"/>
        <v>17.967123287671232</v>
      </c>
    </row>
    <row r="1406" spans="1:19" x14ac:dyDescent="0.25">
      <c r="A1406">
        <v>4124729</v>
      </c>
      <c r="B1406" t="s">
        <v>1824</v>
      </c>
      <c r="C1406" t="s">
        <v>1044</v>
      </c>
      <c r="D1406" s="6" t="s">
        <v>22</v>
      </c>
      <c r="E1406" t="s">
        <v>21</v>
      </c>
      <c r="F1406" s="58" t="s">
        <v>1801</v>
      </c>
      <c r="G1406" s="6" t="s">
        <v>968</v>
      </c>
      <c r="H1406" s="59" t="s">
        <v>1039</v>
      </c>
      <c r="I1406" s="58" t="s">
        <v>36</v>
      </c>
      <c r="J1406" t="s">
        <v>37</v>
      </c>
      <c r="K1406" t="s">
        <v>99</v>
      </c>
      <c r="L1406" t="s">
        <v>1038</v>
      </c>
      <c r="M1406" t="s">
        <v>1163</v>
      </c>
      <c r="N1406" s="57">
        <v>1200</v>
      </c>
      <c r="O1406" t="s">
        <v>100</v>
      </c>
      <c r="P1406" t="s">
        <v>93</v>
      </c>
      <c r="Q1406" s="3">
        <v>46181</v>
      </c>
      <c r="R1406" s="10">
        <f t="shared" ca="1" si="43"/>
        <v>46229</v>
      </c>
      <c r="S1406" s="7">
        <f t="shared" ca="1" si="42"/>
        <v>0.13150684931506848</v>
      </c>
    </row>
    <row r="1407" spans="1:19" x14ac:dyDescent="0.25">
      <c r="A1407">
        <v>30399</v>
      </c>
      <c r="B1407" t="s">
        <v>1814</v>
      </c>
      <c r="C1407" t="s">
        <v>1044</v>
      </c>
      <c r="D1407" s="6" t="s">
        <v>22</v>
      </c>
      <c r="E1407" t="s">
        <v>21</v>
      </c>
      <c r="F1407" s="58" t="s">
        <v>1801</v>
      </c>
      <c r="G1407" s="6" t="s">
        <v>968</v>
      </c>
      <c r="H1407" s="59" t="s">
        <v>1039</v>
      </c>
      <c r="I1407" s="58" t="s">
        <v>36</v>
      </c>
      <c r="J1407" t="s">
        <v>37</v>
      </c>
      <c r="K1407" t="s">
        <v>99</v>
      </c>
      <c r="L1407" t="s">
        <v>25</v>
      </c>
      <c r="M1407" t="s">
        <v>1163</v>
      </c>
      <c r="N1407" s="57">
        <v>1200</v>
      </c>
      <c r="O1407" t="s">
        <v>100</v>
      </c>
      <c r="P1407" t="s">
        <v>93</v>
      </c>
      <c r="Q1407" s="3">
        <v>46181</v>
      </c>
      <c r="R1407" s="10">
        <f t="shared" ca="1" si="43"/>
        <v>46229</v>
      </c>
      <c r="S1407" s="7">
        <f t="shared" ca="1" si="42"/>
        <v>0.13150684931506848</v>
      </c>
    </row>
    <row r="1408" spans="1:19" x14ac:dyDescent="0.25">
      <c r="A1408">
        <v>4038438</v>
      </c>
      <c r="B1408" t="s">
        <v>1617</v>
      </c>
      <c r="C1408" t="s">
        <v>1044</v>
      </c>
      <c r="D1408" s="6" t="s">
        <v>22</v>
      </c>
      <c r="E1408" t="s">
        <v>50</v>
      </c>
      <c r="F1408" s="58" t="s">
        <v>1801</v>
      </c>
      <c r="G1408" s="6" t="s">
        <v>970</v>
      </c>
      <c r="H1408" s="59" t="s">
        <v>1030</v>
      </c>
      <c r="I1408" s="58" t="s">
        <v>36</v>
      </c>
      <c r="J1408" t="s">
        <v>37</v>
      </c>
      <c r="K1408" t="s">
        <v>99</v>
      </c>
      <c r="L1408" t="s">
        <v>91</v>
      </c>
      <c r="M1408" t="s">
        <v>1163</v>
      </c>
      <c r="N1408" s="57">
        <v>1400</v>
      </c>
      <c r="O1408" t="s">
        <v>100</v>
      </c>
      <c r="P1408" t="s">
        <v>93</v>
      </c>
      <c r="Q1408" s="3">
        <v>46177</v>
      </c>
      <c r="R1408" s="10">
        <f t="shared" ca="1" si="43"/>
        <v>46229</v>
      </c>
      <c r="S1408" s="7">
        <f t="shared" ref="S1408:S1419" ca="1" si="44">(R1408-Q1408)/365</f>
        <v>0.14246575342465753</v>
      </c>
    </row>
    <row r="1409" spans="1:19" x14ac:dyDescent="0.25">
      <c r="A1409">
        <v>972323</v>
      </c>
      <c r="B1409" t="s">
        <v>1791</v>
      </c>
      <c r="C1409" t="s">
        <v>1044</v>
      </c>
      <c r="D1409" s="6" t="s">
        <v>22</v>
      </c>
      <c r="E1409" t="s">
        <v>50</v>
      </c>
      <c r="F1409" s="58" t="s">
        <v>1539</v>
      </c>
      <c r="G1409" s="6" t="s">
        <v>970</v>
      </c>
      <c r="H1409" s="59" t="s">
        <v>1030</v>
      </c>
      <c r="I1409" s="58" t="s">
        <v>36</v>
      </c>
      <c r="J1409" t="s">
        <v>37</v>
      </c>
      <c r="K1409" t="s">
        <v>99</v>
      </c>
      <c r="L1409" t="s">
        <v>91</v>
      </c>
      <c r="M1409" t="s">
        <v>1163</v>
      </c>
      <c r="N1409" s="57">
        <v>1400</v>
      </c>
      <c r="O1409" t="s">
        <v>100</v>
      </c>
      <c r="P1409" t="s">
        <v>93</v>
      </c>
      <c r="Q1409" s="3">
        <v>46177</v>
      </c>
      <c r="R1409" s="10">
        <f t="shared" ca="1" si="43"/>
        <v>46229</v>
      </c>
      <c r="S1409" s="7">
        <f t="shared" ca="1" si="44"/>
        <v>0.14246575342465753</v>
      </c>
    </row>
    <row r="1410" spans="1:19" x14ac:dyDescent="0.25">
      <c r="A1410">
        <v>4124724</v>
      </c>
      <c r="B1410" t="s">
        <v>1820</v>
      </c>
      <c r="C1410" t="s">
        <v>1044</v>
      </c>
      <c r="D1410" s="6" t="s">
        <v>22</v>
      </c>
      <c r="E1410" t="s">
        <v>50</v>
      </c>
      <c r="F1410" s="58" t="s">
        <v>1539</v>
      </c>
      <c r="G1410" s="6" t="s">
        <v>970</v>
      </c>
      <c r="H1410" s="59" t="s">
        <v>1030</v>
      </c>
      <c r="I1410" s="58" t="s">
        <v>36</v>
      </c>
      <c r="J1410" t="s">
        <v>37</v>
      </c>
      <c r="K1410" t="s">
        <v>99</v>
      </c>
      <c r="L1410" t="s">
        <v>1038</v>
      </c>
      <c r="M1410" t="s">
        <v>1163</v>
      </c>
      <c r="N1410" s="57">
        <v>1400</v>
      </c>
      <c r="O1410" t="s">
        <v>100</v>
      </c>
      <c r="P1410" t="s">
        <v>93</v>
      </c>
      <c r="Q1410" s="3">
        <v>46181</v>
      </c>
      <c r="R1410" s="10">
        <f t="shared" ca="1" si="43"/>
        <v>46229</v>
      </c>
      <c r="S1410" s="7">
        <f t="shared" ca="1" si="44"/>
        <v>0.13150684931506848</v>
      </c>
    </row>
    <row r="1411" spans="1:19" x14ac:dyDescent="0.25">
      <c r="A1411">
        <v>4021039</v>
      </c>
      <c r="B1411" t="s">
        <v>1815</v>
      </c>
      <c r="C1411" t="s">
        <v>1044</v>
      </c>
      <c r="D1411" s="6" t="s">
        <v>22</v>
      </c>
      <c r="E1411" t="s">
        <v>50</v>
      </c>
      <c r="F1411" s="58" t="s">
        <v>1539</v>
      </c>
      <c r="G1411" s="6" t="s">
        <v>970</v>
      </c>
      <c r="H1411" s="59" t="s">
        <v>1030</v>
      </c>
      <c r="I1411" s="58" t="s">
        <v>36</v>
      </c>
      <c r="J1411" t="s">
        <v>37</v>
      </c>
      <c r="K1411" t="s">
        <v>99</v>
      </c>
      <c r="L1411" t="s">
        <v>1038</v>
      </c>
      <c r="M1411" t="s">
        <v>1163</v>
      </c>
      <c r="N1411" s="57">
        <v>1400</v>
      </c>
      <c r="O1411" t="s">
        <v>100</v>
      </c>
      <c r="P1411" t="s">
        <v>93</v>
      </c>
      <c r="Q1411" s="3">
        <v>46181</v>
      </c>
      <c r="R1411" s="10">
        <f t="shared" ref="R1411:R1460" ca="1" si="45">TODAY()</f>
        <v>46229</v>
      </c>
      <c r="S1411" s="7">
        <f t="shared" ca="1" si="44"/>
        <v>0.13150684931506848</v>
      </c>
    </row>
    <row r="1412" spans="1:19" x14ac:dyDescent="0.25">
      <c r="A1412">
        <v>4119405</v>
      </c>
      <c r="B1412" t="s">
        <v>1819</v>
      </c>
      <c r="C1412" t="s">
        <v>1044</v>
      </c>
      <c r="D1412" s="6" t="s">
        <v>22</v>
      </c>
      <c r="E1412" t="s">
        <v>50</v>
      </c>
      <c r="F1412" s="58" t="s">
        <v>1539</v>
      </c>
      <c r="G1412" s="6" t="s">
        <v>970</v>
      </c>
      <c r="H1412" s="59" t="s">
        <v>1030</v>
      </c>
      <c r="I1412" s="58" t="s">
        <v>36</v>
      </c>
      <c r="J1412" t="s">
        <v>37</v>
      </c>
      <c r="K1412" t="s">
        <v>99</v>
      </c>
      <c r="L1412" t="s">
        <v>25</v>
      </c>
      <c r="M1412" t="s">
        <v>1163</v>
      </c>
      <c r="N1412" s="57">
        <v>1400</v>
      </c>
      <c r="O1412" t="s">
        <v>100</v>
      </c>
      <c r="P1412" t="s">
        <v>93</v>
      </c>
      <c r="Q1412" s="3">
        <v>46181</v>
      </c>
      <c r="R1412" s="10">
        <f t="shared" ca="1" si="45"/>
        <v>46229</v>
      </c>
      <c r="S1412" s="7">
        <f t="shared" ca="1" si="44"/>
        <v>0.13150684931506848</v>
      </c>
    </row>
    <row r="1413" spans="1:19" x14ac:dyDescent="0.25">
      <c r="A1413">
        <v>4124727</v>
      </c>
      <c r="B1413" t="s">
        <v>1822</v>
      </c>
      <c r="C1413" t="s">
        <v>1044</v>
      </c>
      <c r="D1413" s="6" t="s">
        <v>22</v>
      </c>
      <c r="E1413" t="s">
        <v>50</v>
      </c>
      <c r="F1413" s="58" t="s">
        <v>1539</v>
      </c>
      <c r="G1413" s="6" t="s">
        <v>970</v>
      </c>
      <c r="H1413" s="59" t="s">
        <v>1030</v>
      </c>
      <c r="I1413" s="58" t="s">
        <v>36</v>
      </c>
      <c r="J1413" t="s">
        <v>37</v>
      </c>
      <c r="K1413" t="s">
        <v>99</v>
      </c>
      <c r="L1413" t="s">
        <v>25</v>
      </c>
      <c r="M1413" t="s">
        <v>1163</v>
      </c>
      <c r="N1413" s="57">
        <v>1400</v>
      </c>
      <c r="O1413" t="s">
        <v>100</v>
      </c>
      <c r="P1413" t="s">
        <v>93</v>
      </c>
      <c r="Q1413" s="3">
        <v>46181</v>
      </c>
      <c r="R1413" s="10">
        <f t="shared" ca="1" si="45"/>
        <v>46229</v>
      </c>
      <c r="S1413" s="7">
        <f t="shared" ca="1" si="44"/>
        <v>0.13150684931506848</v>
      </c>
    </row>
    <row r="1414" spans="1:19" x14ac:dyDescent="0.25">
      <c r="A1414">
        <v>4124726</v>
      </c>
      <c r="B1414" t="s">
        <v>1821</v>
      </c>
      <c r="C1414" t="s">
        <v>1044</v>
      </c>
      <c r="D1414" s="6" t="s">
        <v>22</v>
      </c>
      <c r="E1414" t="s">
        <v>50</v>
      </c>
      <c r="F1414" s="58" t="s">
        <v>1539</v>
      </c>
      <c r="G1414" s="6" t="s">
        <v>970</v>
      </c>
      <c r="H1414" s="59" t="s">
        <v>1030</v>
      </c>
      <c r="I1414" s="58" t="s">
        <v>36</v>
      </c>
      <c r="J1414" t="s">
        <v>37</v>
      </c>
      <c r="K1414" t="s">
        <v>99</v>
      </c>
      <c r="L1414" t="s">
        <v>25</v>
      </c>
      <c r="M1414" t="s">
        <v>1163</v>
      </c>
      <c r="N1414" s="57">
        <v>1400</v>
      </c>
      <c r="O1414" t="s">
        <v>100</v>
      </c>
      <c r="P1414" t="s">
        <v>93</v>
      </c>
      <c r="Q1414" s="3">
        <v>46181</v>
      </c>
      <c r="R1414" s="10">
        <f t="shared" ca="1" si="45"/>
        <v>46229</v>
      </c>
      <c r="S1414" s="7">
        <f t="shared" ca="1" si="44"/>
        <v>0.13150684931506848</v>
      </c>
    </row>
    <row r="1415" spans="1:19" x14ac:dyDescent="0.25">
      <c r="A1415">
        <v>4072349</v>
      </c>
      <c r="B1415" t="s">
        <v>1817</v>
      </c>
      <c r="C1415" t="s">
        <v>1044</v>
      </c>
      <c r="D1415" s="6" t="s">
        <v>22</v>
      </c>
      <c r="E1415" t="s">
        <v>50</v>
      </c>
      <c r="F1415" s="58" t="s">
        <v>1539</v>
      </c>
      <c r="G1415" s="6" t="s">
        <v>970</v>
      </c>
      <c r="H1415" s="59" t="s">
        <v>1030</v>
      </c>
      <c r="I1415" s="58" t="s">
        <v>36</v>
      </c>
      <c r="J1415" t="s">
        <v>37</v>
      </c>
      <c r="K1415" t="s">
        <v>99</v>
      </c>
      <c r="L1415" t="s">
        <v>1038</v>
      </c>
      <c r="M1415" t="s">
        <v>1163</v>
      </c>
      <c r="N1415" s="57">
        <v>1400</v>
      </c>
      <c r="O1415" t="s">
        <v>100</v>
      </c>
      <c r="P1415" t="s">
        <v>93</v>
      </c>
      <c r="Q1415" s="3">
        <v>46181</v>
      </c>
      <c r="R1415" s="10">
        <f t="shared" ca="1" si="45"/>
        <v>46229</v>
      </c>
      <c r="S1415" s="7">
        <f t="shared" ca="1" si="44"/>
        <v>0.13150684931506848</v>
      </c>
    </row>
    <row r="1416" spans="1:19" x14ac:dyDescent="0.25">
      <c r="A1416">
        <v>4124527</v>
      </c>
      <c r="B1416" t="s">
        <v>1769</v>
      </c>
      <c r="C1416" t="s">
        <v>1044</v>
      </c>
      <c r="D1416" s="6" t="s">
        <v>22</v>
      </c>
      <c r="E1416" t="s">
        <v>54</v>
      </c>
      <c r="F1416" s="58" t="s">
        <v>1801</v>
      </c>
      <c r="G1416" s="6" t="s">
        <v>967</v>
      </c>
      <c r="H1416" s="59" t="s">
        <v>1022</v>
      </c>
      <c r="I1416" s="58" t="s">
        <v>36</v>
      </c>
      <c r="J1416" t="s">
        <v>37</v>
      </c>
      <c r="K1416" t="s">
        <v>99</v>
      </c>
      <c r="L1416" t="s">
        <v>91</v>
      </c>
      <c r="M1416" t="s">
        <v>1163</v>
      </c>
      <c r="N1416" s="57">
        <v>1500</v>
      </c>
      <c r="O1416" t="s">
        <v>100</v>
      </c>
      <c r="P1416" t="s">
        <v>93</v>
      </c>
      <c r="Q1416" s="3">
        <v>46177</v>
      </c>
      <c r="R1416" s="10">
        <f t="shared" ca="1" si="45"/>
        <v>46229</v>
      </c>
      <c r="S1416" s="7">
        <f t="shared" ca="1" si="44"/>
        <v>0.14246575342465753</v>
      </c>
    </row>
    <row r="1417" spans="1:19" x14ac:dyDescent="0.25">
      <c r="A1417">
        <v>4124728</v>
      </c>
      <c r="B1417" t="s">
        <v>1823</v>
      </c>
      <c r="C1417" t="s">
        <v>1044</v>
      </c>
      <c r="D1417" s="6" t="s">
        <v>22</v>
      </c>
      <c r="E1417" t="s">
        <v>54</v>
      </c>
      <c r="F1417" s="58" t="s">
        <v>1801</v>
      </c>
      <c r="G1417" s="6" t="s">
        <v>967</v>
      </c>
      <c r="H1417" s="59" t="s">
        <v>1022</v>
      </c>
      <c r="I1417" s="58" t="s">
        <v>36</v>
      </c>
      <c r="J1417" t="s">
        <v>37</v>
      </c>
      <c r="K1417" t="s">
        <v>99</v>
      </c>
      <c r="L1417" t="s">
        <v>1038</v>
      </c>
      <c r="M1417" t="s">
        <v>1163</v>
      </c>
      <c r="N1417" s="57">
        <v>1500</v>
      </c>
      <c r="O1417" t="s">
        <v>100</v>
      </c>
      <c r="P1417" t="s">
        <v>93</v>
      </c>
      <c r="Q1417" s="3">
        <v>46181</v>
      </c>
      <c r="R1417" s="10">
        <f t="shared" ca="1" si="45"/>
        <v>46229</v>
      </c>
      <c r="S1417" s="7">
        <f t="shared" ca="1" si="44"/>
        <v>0.13150684931506848</v>
      </c>
    </row>
    <row r="1418" spans="1:19" x14ac:dyDescent="0.25">
      <c r="A1418">
        <v>23467</v>
      </c>
      <c r="B1418" t="s">
        <v>314</v>
      </c>
      <c r="C1418" t="s">
        <v>17</v>
      </c>
      <c r="D1418" s="6" t="s">
        <v>39</v>
      </c>
      <c r="E1418" t="s">
        <v>953</v>
      </c>
      <c r="G1418" s="6" t="s">
        <v>1846</v>
      </c>
      <c r="H1418" s="59" t="s">
        <v>92</v>
      </c>
      <c r="I1418" s="58" t="s">
        <v>36</v>
      </c>
      <c r="J1418" t="s">
        <v>37</v>
      </c>
      <c r="K1418" t="s">
        <v>99</v>
      </c>
      <c r="L1418" t="s">
        <v>966</v>
      </c>
      <c r="M1418" t="s">
        <v>1163</v>
      </c>
      <c r="N1418" s="57">
        <v>5700</v>
      </c>
      <c r="O1418" t="s">
        <v>100</v>
      </c>
      <c r="P1418" t="s">
        <v>38</v>
      </c>
      <c r="Q1418" s="3">
        <v>36403</v>
      </c>
      <c r="R1418" s="10">
        <f t="shared" ca="1" si="45"/>
        <v>46229</v>
      </c>
      <c r="S1418" s="7">
        <f t="shared" ca="1" si="44"/>
        <v>26.920547945205481</v>
      </c>
    </row>
    <row r="1419" spans="1:19" x14ac:dyDescent="0.25">
      <c r="A1419">
        <v>1158678</v>
      </c>
      <c r="B1419" t="s">
        <v>183</v>
      </c>
      <c r="C1419" t="s">
        <v>17</v>
      </c>
      <c r="D1419" s="6" t="s">
        <v>39</v>
      </c>
      <c r="E1419" t="s">
        <v>947</v>
      </c>
      <c r="G1419" s="6" t="s">
        <v>1846</v>
      </c>
      <c r="H1419" s="59" t="s">
        <v>973</v>
      </c>
      <c r="I1419" s="58" t="s">
        <v>883</v>
      </c>
      <c r="J1419" t="s">
        <v>889</v>
      </c>
      <c r="K1419" t="s">
        <v>980</v>
      </c>
      <c r="L1419" t="s">
        <v>966</v>
      </c>
      <c r="M1419" t="s">
        <v>1163</v>
      </c>
      <c r="N1419" s="57">
        <v>6900</v>
      </c>
      <c r="O1419" t="s">
        <v>100</v>
      </c>
      <c r="P1419" t="s">
        <v>38</v>
      </c>
      <c r="Q1419" s="3">
        <v>45979</v>
      </c>
      <c r="R1419" s="10">
        <f t="shared" ca="1" si="45"/>
        <v>46229</v>
      </c>
      <c r="S1419" s="7">
        <f t="shared" ca="1" si="44"/>
        <v>0.68493150684931503</v>
      </c>
    </row>
    <row r="1420" spans="1:19" x14ac:dyDescent="0.25">
      <c r="A1420">
        <v>31870</v>
      </c>
      <c r="B1420" t="s">
        <v>977</v>
      </c>
      <c r="C1420" t="s">
        <v>17</v>
      </c>
      <c r="D1420" s="6" t="s">
        <v>39</v>
      </c>
      <c r="E1420" t="s">
        <v>979</v>
      </c>
      <c r="G1420" s="6" t="s">
        <v>1846</v>
      </c>
      <c r="H1420" s="59" t="s">
        <v>973</v>
      </c>
      <c r="I1420" s="58" t="s">
        <v>883</v>
      </c>
      <c r="J1420" t="s">
        <v>889</v>
      </c>
      <c r="K1420" t="s">
        <v>980</v>
      </c>
      <c r="L1420" t="s">
        <v>966</v>
      </c>
      <c r="M1420" t="s">
        <v>1034</v>
      </c>
      <c r="N1420" s="1">
        <v>6900</v>
      </c>
      <c r="O1420" t="s">
        <v>100</v>
      </c>
      <c r="P1420" t="s">
        <v>38</v>
      </c>
      <c r="Q1420" s="3">
        <v>38607</v>
      </c>
      <c r="R1420" s="10">
        <f t="shared" ca="1" si="45"/>
        <v>46229</v>
      </c>
      <c r="S1420" s="1">
        <v>20.731506849315068</v>
      </c>
    </row>
    <row r="1421" spans="1:19" x14ac:dyDescent="0.25">
      <c r="A1421">
        <v>1171162</v>
      </c>
      <c r="B1421" t="s">
        <v>1124</v>
      </c>
      <c r="C1421" t="s">
        <v>17</v>
      </c>
      <c r="D1421" s="6" t="s">
        <v>39</v>
      </c>
      <c r="E1421" t="s">
        <v>1125</v>
      </c>
      <c r="G1421" s="6" t="s">
        <v>1846</v>
      </c>
      <c r="H1421" s="59" t="s">
        <v>973</v>
      </c>
      <c r="I1421" s="58" t="s">
        <v>883</v>
      </c>
      <c r="J1421" t="s">
        <v>889</v>
      </c>
      <c r="K1421" t="s">
        <v>980</v>
      </c>
      <c r="L1421" t="s">
        <v>966</v>
      </c>
      <c r="M1421" t="s">
        <v>1034</v>
      </c>
      <c r="N1421" s="1">
        <v>6900</v>
      </c>
      <c r="O1421" t="s">
        <v>100</v>
      </c>
      <c r="P1421" t="s">
        <v>38</v>
      </c>
      <c r="Q1421" s="3">
        <v>44907</v>
      </c>
      <c r="R1421" s="10">
        <f t="shared" ca="1" si="45"/>
        <v>46229</v>
      </c>
      <c r="S1421" s="1">
        <v>3.4712328767123286</v>
      </c>
    </row>
    <row r="1422" spans="1:19" x14ac:dyDescent="0.25">
      <c r="A1422">
        <v>1147397</v>
      </c>
      <c r="B1422" t="s">
        <v>167</v>
      </c>
      <c r="C1422" t="s">
        <v>17</v>
      </c>
      <c r="D1422" s="6" t="s">
        <v>39</v>
      </c>
      <c r="E1422" t="s">
        <v>63</v>
      </c>
      <c r="G1422" s="6" t="s">
        <v>970</v>
      </c>
      <c r="H1422" s="59" t="s">
        <v>92</v>
      </c>
      <c r="I1422" s="58" t="s">
        <v>855</v>
      </c>
      <c r="J1422" t="s">
        <v>837</v>
      </c>
      <c r="K1422" t="s">
        <v>94</v>
      </c>
      <c r="L1422" t="s">
        <v>966</v>
      </c>
      <c r="M1422" t="s">
        <v>1163</v>
      </c>
      <c r="N1422" s="57">
        <v>5800</v>
      </c>
      <c r="O1422" t="s">
        <v>100</v>
      </c>
      <c r="P1422" t="s">
        <v>38</v>
      </c>
      <c r="Q1422" s="3">
        <v>44613</v>
      </c>
      <c r="R1422" s="10">
        <f t="shared" ca="1" si="45"/>
        <v>46229</v>
      </c>
      <c r="S1422" s="7">
        <f t="shared" ref="S1422:S1460" ca="1" si="46">(R1422-Q1422)/365</f>
        <v>4.4273972602739722</v>
      </c>
    </row>
    <row r="1423" spans="1:19" x14ac:dyDescent="0.25">
      <c r="A1423">
        <v>1182539</v>
      </c>
      <c r="B1423" t="s">
        <v>247</v>
      </c>
      <c r="C1423" t="s">
        <v>17</v>
      </c>
      <c r="D1423" s="6" t="s">
        <v>39</v>
      </c>
      <c r="E1423" t="s">
        <v>63</v>
      </c>
      <c r="G1423" s="6" t="s">
        <v>970</v>
      </c>
      <c r="H1423" s="59" t="s">
        <v>92</v>
      </c>
      <c r="I1423" s="58" t="s">
        <v>855</v>
      </c>
      <c r="J1423" t="s">
        <v>837</v>
      </c>
      <c r="K1423" t="s">
        <v>94</v>
      </c>
      <c r="L1423" t="s">
        <v>966</v>
      </c>
      <c r="M1423" t="s">
        <v>1163</v>
      </c>
      <c r="N1423" s="57">
        <v>5800</v>
      </c>
      <c r="O1423" t="s">
        <v>100</v>
      </c>
      <c r="P1423" t="s">
        <v>38</v>
      </c>
      <c r="Q1423" s="3">
        <v>45180</v>
      </c>
      <c r="R1423" s="10">
        <f t="shared" ca="1" si="45"/>
        <v>46229</v>
      </c>
      <c r="S1423" s="7">
        <f t="shared" ca="1" si="46"/>
        <v>2.8739726027397259</v>
      </c>
    </row>
    <row r="1424" spans="1:19" x14ac:dyDescent="0.25">
      <c r="A1424">
        <v>899712</v>
      </c>
      <c r="B1424" t="s">
        <v>757</v>
      </c>
      <c r="C1424" t="s">
        <v>17</v>
      </c>
      <c r="D1424" s="6" t="s">
        <v>39</v>
      </c>
      <c r="E1424" t="s">
        <v>965</v>
      </c>
      <c r="G1424" s="6" t="s">
        <v>970</v>
      </c>
      <c r="H1424" s="59" t="s">
        <v>92</v>
      </c>
      <c r="I1424" s="58" t="s">
        <v>855</v>
      </c>
      <c r="J1424" t="s">
        <v>837</v>
      </c>
      <c r="K1424" t="s">
        <v>94</v>
      </c>
      <c r="L1424" t="s">
        <v>966</v>
      </c>
      <c r="M1424" t="s">
        <v>1163</v>
      </c>
      <c r="N1424" s="57">
        <v>5800</v>
      </c>
      <c r="O1424" t="s">
        <v>100</v>
      </c>
      <c r="P1424" t="s">
        <v>38</v>
      </c>
      <c r="Q1424" s="3">
        <v>45082</v>
      </c>
      <c r="R1424" s="10">
        <f t="shared" ca="1" si="45"/>
        <v>46229</v>
      </c>
      <c r="S1424" s="7">
        <f t="shared" ca="1" si="46"/>
        <v>3.1424657534246574</v>
      </c>
    </row>
    <row r="1425" spans="1:19" x14ac:dyDescent="0.25">
      <c r="A1425">
        <v>1234034</v>
      </c>
      <c r="B1425" t="s">
        <v>1810</v>
      </c>
      <c r="C1425" t="s">
        <v>17</v>
      </c>
      <c r="D1425" s="6" t="s">
        <v>39</v>
      </c>
      <c r="E1425" t="s">
        <v>63</v>
      </c>
      <c r="G1425" s="6" t="s">
        <v>970</v>
      </c>
      <c r="H1425" s="59" t="s">
        <v>92</v>
      </c>
      <c r="I1425" s="58" t="s">
        <v>855</v>
      </c>
      <c r="J1425" t="s">
        <v>837</v>
      </c>
      <c r="K1425" t="s">
        <v>94</v>
      </c>
      <c r="L1425" t="s">
        <v>966</v>
      </c>
      <c r="M1425" t="s">
        <v>1163</v>
      </c>
      <c r="N1425" s="57">
        <v>5800</v>
      </c>
      <c r="O1425" t="s">
        <v>100</v>
      </c>
      <c r="P1425" t="s">
        <v>38</v>
      </c>
      <c r="Q1425" s="3">
        <v>46188</v>
      </c>
      <c r="R1425" s="10">
        <f t="shared" ca="1" si="45"/>
        <v>46229</v>
      </c>
      <c r="S1425" s="7">
        <f t="shared" ca="1" si="46"/>
        <v>0.11232876712328767</v>
      </c>
    </row>
    <row r="1426" spans="1:19" x14ac:dyDescent="0.25">
      <c r="A1426">
        <v>22081</v>
      </c>
      <c r="B1426" t="s">
        <v>1048</v>
      </c>
      <c r="C1426" t="s">
        <v>17</v>
      </c>
      <c r="D1426" s="6" t="s">
        <v>22</v>
      </c>
      <c r="E1426" t="s">
        <v>50</v>
      </c>
      <c r="G1426" s="6" t="s">
        <v>970</v>
      </c>
      <c r="H1426" s="59" t="s">
        <v>1030</v>
      </c>
      <c r="I1426" s="58" t="s">
        <v>1222</v>
      </c>
      <c r="J1426" t="s">
        <v>874</v>
      </c>
      <c r="K1426" t="s">
        <v>849</v>
      </c>
      <c r="L1426" t="s">
        <v>25</v>
      </c>
      <c r="M1426" t="s">
        <v>1163</v>
      </c>
      <c r="N1426" s="57">
        <v>1400</v>
      </c>
      <c r="O1426" t="s">
        <v>100</v>
      </c>
      <c r="P1426" t="s">
        <v>93</v>
      </c>
      <c r="Q1426" s="3">
        <v>46072</v>
      </c>
      <c r="R1426" s="10">
        <f t="shared" ca="1" si="45"/>
        <v>46229</v>
      </c>
      <c r="S1426" s="7">
        <f t="shared" ca="1" si="46"/>
        <v>0.43013698630136987</v>
      </c>
    </row>
    <row r="1427" spans="1:19" x14ac:dyDescent="0.25">
      <c r="A1427">
        <v>3004597</v>
      </c>
      <c r="B1427" t="s">
        <v>1051</v>
      </c>
      <c r="C1427" t="s">
        <v>17</v>
      </c>
      <c r="D1427" s="6" t="s">
        <v>22</v>
      </c>
      <c r="E1427" t="s">
        <v>50</v>
      </c>
      <c r="G1427" s="6" t="s">
        <v>970</v>
      </c>
      <c r="H1427" s="59" t="s">
        <v>1030</v>
      </c>
      <c r="I1427" s="58" t="s">
        <v>1222</v>
      </c>
      <c r="J1427" t="s">
        <v>874</v>
      </c>
      <c r="K1427" t="s">
        <v>849</v>
      </c>
      <c r="L1427" t="s">
        <v>25</v>
      </c>
      <c r="M1427" t="s">
        <v>1163</v>
      </c>
      <c r="N1427" s="57">
        <v>1400</v>
      </c>
      <c r="O1427" t="s">
        <v>100</v>
      </c>
      <c r="P1427" t="s">
        <v>93</v>
      </c>
      <c r="Q1427" s="3">
        <v>46072</v>
      </c>
      <c r="R1427" s="10">
        <f t="shared" ca="1" si="45"/>
        <v>46229</v>
      </c>
      <c r="S1427" s="7">
        <f t="shared" ca="1" si="46"/>
        <v>0.43013698630136987</v>
      </c>
    </row>
    <row r="1428" spans="1:19" x14ac:dyDescent="0.25">
      <c r="A1428">
        <v>957543</v>
      </c>
      <c r="B1428" t="s">
        <v>779</v>
      </c>
      <c r="C1428" t="s">
        <v>17</v>
      </c>
      <c r="D1428" s="6" t="s">
        <v>22</v>
      </c>
      <c r="E1428" t="s">
        <v>50</v>
      </c>
      <c r="G1428" s="6" t="s">
        <v>970</v>
      </c>
      <c r="H1428" s="59" t="s">
        <v>1030</v>
      </c>
      <c r="I1428" s="58" t="s">
        <v>1222</v>
      </c>
      <c r="J1428" t="s">
        <v>874</v>
      </c>
      <c r="K1428" t="s">
        <v>849</v>
      </c>
      <c r="L1428" t="s">
        <v>25</v>
      </c>
      <c r="M1428" t="s">
        <v>1163</v>
      </c>
      <c r="N1428" s="57">
        <v>1400</v>
      </c>
      <c r="O1428" t="s">
        <v>100</v>
      </c>
      <c r="P1428" t="s">
        <v>93</v>
      </c>
      <c r="Q1428" s="3">
        <v>44938</v>
      </c>
      <c r="R1428" s="10">
        <f t="shared" ca="1" si="45"/>
        <v>46229</v>
      </c>
      <c r="S1428" s="7">
        <f t="shared" ca="1" si="46"/>
        <v>3.536986301369863</v>
      </c>
    </row>
    <row r="1429" spans="1:19" x14ac:dyDescent="0.25">
      <c r="A1429">
        <v>1000410</v>
      </c>
      <c r="B1429" t="s">
        <v>982</v>
      </c>
      <c r="C1429" t="s">
        <v>17</v>
      </c>
      <c r="D1429" s="6" t="s">
        <v>22</v>
      </c>
      <c r="E1429" t="s">
        <v>72</v>
      </c>
      <c r="G1429" s="6" t="s">
        <v>971</v>
      </c>
      <c r="H1429" s="59" t="s">
        <v>1028</v>
      </c>
      <c r="I1429" s="58" t="s">
        <v>1007</v>
      </c>
      <c r="J1429" t="s">
        <v>844</v>
      </c>
      <c r="K1429" t="s">
        <v>31</v>
      </c>
      <c r="L1429" t="s">
        <v>25</v>
      </c>
      <c r="M1429" t="s">
        <v>1163</v>
      </c>
      <c r="N1429" s="57">
        <v>1300</v>
      </c>
      <c r="O1429" t="s">
        <v>100</v>
      </c>
      <c r="P1429" t="s">
        <v>93</v>
      </c>
      <c r="Q1429" s="3">
        <v>45628</v>
      </c>
      <c r="R1429" s="10">
        <f t="shared" ca="1" si="45"/>
        <v>46229</v>
      </c>
      <c r="S1429" s="7">
        <f t="shared" ca="1" si="46"/>
        <v>1.6465753424657534</v>
      </c>
    </row>
    <row r="1430" spans="1:19" x14ac:dyDescent="0.25">
      <c r="A1430">
        <v>4026507</v>
      </c>
      <c r="B1430" t="s">
        <v>997</v>
      </c>
      <c r="C1430" t="s">
        <v>17</v>
      </c>
      <c r="D1430" s="6" t="s">
        <v>22</v>
      </c>
      <c r="E1430" t="s">
        <v>72</v>
      </c>
      <c r="G1430" s="6" t="s">
        <v>971</v>
      </c>
      <c r="H1430" s="59" t="s">
        <v>1028</v>
      </c>
      <c r="I1430" s="58" t="s">
        <v>1007</v>
      </c>
      <c r="J1430" t="s">
        <v>844</v>
      </c>
      <c r="K1430" t="s">
        <v>31</v>
      </c>
      <c r="L1430" t="s">
        <v>1038</v>
      </c>
      <c r="M1430" t="s">
        <v>1163</v>
      </c>
      <c r="N1430" s="57">
        <v>1300</v>
      </c>
      <c r="O1430" t="s">
        <v>100</v>
      </c>
      <c r="P1430" t="s">
        <v>93</v>
      </c>
      <c r="Q1430" s="3">
        <v>45734</v>
      </c>
      <c r="R1430" s="10">
        <f t="shared" ca="1" si="45"/>
        <v>46229</v>
      </c>
      <c r="S1430" s="7">
        <f t="shared" ca="1" si="46"/>
        <v>1.3561643835616439</v>
      </c>
    </row>
    <row r="1431" spans="1:19" x14ac:dyDescent="0.25">
      <c r="A1431">
        <v>4096102</v>
      </c>
      <c r="B1431" t="s">
        <v>1003</v>
      </c>
      <c r="C1431" t="s">
        <v>17</v>
      </c>
      <c r="D1431" s="6" t="s">
        <v>22</v>
      </c>
      <c r="E1431" t="s">
        <v>72</v>
      </c>
      <c r="G1431" s="6" t="s">
        <v>971</v>
      </c>
      <c r="H1431" s="59" t="s">
        <v>1028</v>
      </c>
      <c r="I1431" s="58" t="s">
        <v>1007</v>
      </c>
      <c r="J1431" t="s">
        <v>844</v>
      </c>
      <c r="K1431" t="s">
        <v>31</v>
      </c>
      <c r="L1431" t="s">
        <v>1038</v>
      </c>
      <c r="M1431" t="s">
        <v>1163</v>
      </c>
      <c r="N1431" s="57">
        <v>1300</v>
      </c>
      <c r="O1431" t="s">
        <v>100</v>
      </c>
      <c r="P1431" t="s">
        <v>93</v>
      </c>
      <c r="Q1431" s="3">
        <v>45183</v>
      </c>
      <c r="R1431" s="10">
        <f t="shared" ca="1" si="45"/>
        <v>46229</v>
      </c>
      <c r="S1431" s="7">
        <f t="shared" ca="1" si="46"/>
        <v>2.8657534246575342</v>
      </c>
    </row>
    <row r="1432" spans="1:19" x14ac:dyDescent="0.25">
      <c r="A1432">
        <v>975145</v>
      </c>
      <c r="B1432" t="s">
        <v>1006</v>
      </c>
      <c r="C1432" t="s">
        <v>17</v>
      </c>
      <c r="D1432" s="6" t="s">
        <v>22</v>
      </c>
      <c r="E1432" t="s">
        <v>72</v>
      </c>
      <c r="G1432" s="6" t="s">
        <v>971</v>
      </c>
      <c r="H1432" s="59" t="s">
        <v>1028</v>
      </c>
      <c r="I1432" s="58" t="s">
        <v>1007</v>
      </c>
      <c r="J1432" t="s">
        <v>844</v>
      </c>
      <c r="K1432" t="s">
        <v>31</v>
      </c>
      <c r="L1432" t="s">
        <v>91</v>
      </c>
      <c r="M1432" t="s">
        <v>1163</v>
      </c>
      <c r="N1432" s="57">
        <v>1300</v>
      </c>
      <c r="O1432" t="s">
        <v>100</v>
      </c>
      <c r="P1432" t="s">
        <v>93</v>
      </c>
      <c r="Q1432" s="3">
        <v>45628</v>
      </c>
      <c r="R1432" s="10">
        <f t="shared" ca="1" si="45"/>
        <v>46229</v>
      </c>
      <c r="S1432" s="7">
        <f t="shared" ca="1" si="46"/>
        <v>1.6465753424657534</v>
      </c>
    </row>
    <row r="1433" spans="1:19" x14ac:dyDescent="0.25">
      <c r="A1433">
        <v>1203876</v>
      </c>
      <c r="B1433" t="s">
        <v>282</v>
      </c>
      <c r="C1433" t="s">
        <v>17</v>
      </c>
      <c r="D1433" s="6" t="s">
        <v>39</v>
      </c>
      <c r="E1433" t="s">
        <v>63</v>
      </c>
      <c r="G1433" s="6" t="s">
        <v>970</v>
      </c>
      <c r="H1433" s="59" t="s">
        <v>92</v>
      </c>
      <c r="I1433" s="58" t="s">
        <v>849</v>
      </c>
      <c r="J1433" t="s">
        <v>837</v>
      </c>
      <c r="K1433" t="s">
        <v>94</v>
      </c>
      <c r="L1433" t="s">
        <v>966</v>
      </c>
      <c r="M1433" t="s">
        <v>1163</v>
      </c>
      <c r="N1433" s="57">
        <v>5800</v>
      </c>
      <c r="O1433" t="s">
        <v>100</v>
      </c>
      <c r="P1433" t="s">
        <v>38</v>
      </c>
      <c r="Q1433" s="3">
        <v>45734</v>
      </c>
      <c r="R1433" s="10">
        <f t="shared" ca="1" si="45"/>
        <v>46229</v>
      </c>
      <c r="S1433" s="7">
        <f t="shared" ca="1" si="46"/>
        <v>1.3561643835616439</v>
      </c>
    </row>
    <row r="1434" spans="1:19" x14ac:dyDescent="0.25">
      <c r="A1434">
        <v>33257</v>
      </c>
      <c r="B1434" t="s">
        <v>1513</v>
      </c>
      <c r="C1434" t="s">
        <v>17</v>
      </c>
      <c r="D1434" s="6" t="s">
        <v>39</v>
      </c>
      <c r="E1434" t="s">
        <v>1538</v>
      </c>
      <c r="G1434" s="6" t="s">
        <v>970</v>
      </c>
      <c r="H1434" s="59" t="s">
        <v>92</v>
      </c>
      <c r="I1434" s="58" t="s">
        <v>849</v>
      </c>
      <c r="J1434" t="s">
        <v>837</v>
      </c>
      <c r="K1434" t="s">
        <v>94</v>
      </c>
      <c r="L1434" t="s">
        <v>966</v>
      </c>
      <c r="M1434" t="s">
        <v>1163</v>
      </c>
      <c r="N1434" s="57">
        <v>5800</v>
      </c>
      <c r="O1434" t="s">
        <v>100</v>
      </c>
      <c r="P1434" t="s">
        <v>38</v>
      </c>
      <c r="Q1434" s="3">
        <v>41400</v>
      </c>
      <c r="R1434" s="10">
        <f t="shared" ca="1" si="45"/>
        <v>46229</v>
      </c>
      <c r="S1434" s="7">
        <f t="shared" ca="1" si="46"/>
        <v>13.230136986301369</v>
      </c>
    </row>
    <row r="1435" spans="1:19" x14ac:dyDescent="0.25">
      <c r="A1435">
        <v>835935</v>
      </c>
      <c r="B1435" t="s">
        <v>735</v>
      </c>
      <c r="C1435" t="s">
        <v>17</v>
      </c>
      <c r="D1435" s="6" t="s">
        <v>39</v>
      </c>
      <c r="E1435" t="s">
        <v>957</v>
      </c>
      <c r="G1435" s="6" t="s">
        <v>1842</v>
      </c>
      <c r="H1435" s="59" t="s">
        <v>92</v>
      </c>
      <c r="I1435" s="58" t="s">
        <v>32</v>
      </c>
      <c r="J1435" t="s">
        <v>33</v>
      </c>
      <c r="K1435" t="s">
        <v>941</v>
      </c>
      <c r="L1435" t="s">
        <v>966</v>
      </c>
      <c r="M1435" t="s">
        <v>1163</v>
      </c>
      <c r="N1435" s="57">
        <v>7300</v>
      </c>
      <c r="O1435" t="s">
        <v>100</v>
      </c>
      <c r="P1435" t="s">
        <v>93</v>
      </c>
      <c r="Q1435" s="3">
        <v>41310</v>
      </c>
      <c r="R1435" s="10">
        <f t="shared" ca="1" si="45"/>
        <v>46229</v>
      </c>
      <c r="S1435" s="7">
        <f t="shared" ca="1" si="46"/>
        <v>13.476712328767123</v>
      </c>
    </row>
    <row r="1436" spans="1:19" x14ac:dyDescent="0.25">
      <c r="A1436">
        <v>864522</v>
      </c>
      <c r="B1436" t="s">
        <v>747</v>
      </c>
      <c r="C1436" t="s">
        <v>17</v>
      </c>
      <c r="D1436" s="6" t="s">
        <v>39</v>
      </c>
      <c r="E1436" t="s">
        <v>957</v>
      </c>
      <c r="G1436" s="6" t="s">
        <v>1842</v>
      </c>
      <c r="H1436" s="59" t="s">
        <v>92</v>
      </c>
      <c r="I1436" s="58" t="s">
        <v>32</v>
      </c>
      <c r="J1436" t="s">
        <v>33</v>
      </c>
      <c r="K1436" t="s">
        <v>941</v>
      </c>
      <c r="L1436" t="s">
        <v>966</v>
      </c>
      <c r="M1436" t="s">
        <v>1163</v>
      </c>
      <c r="N1436" s="57">
        <v>7300</v>
      </c>
      <c r="O1436" t="s">
        <v>100</v>
      </c>
      <c r="P1436" t="s">
        <v>38</v>
      </c>
      <c r="Q1436" s="3">
        <v>41603</v>
      </c>
      <c r="R1436" s="10">
        <f t="shared" ca="1" si="45"/>
        <v>46229</v>
      </c>
      <c r="S1436" s="7">
        <f t="shared" ca="1" si="46"/>
        <v>12.673972602739726</v>
      </c>
    </row>
    <row r="1437" spans="1:19" x14ac:dyDescent="0.25">
      <c r="A1437">
        <v>1003669</v>
      </c>
      <c r="B1437" t="s">
        <v>107</v>
      </c>
      <c r="C1437" t="s">
        <v>17</v>
      </c>
      <c r="D1437" s="6" t="s">
        <v>39</v>
      </c>
      <c r="E1437" t="s">
        <v>950</v>
      </c>
      <c r="G1437" s="6" t="s">
        <v>1843</v>
      </c>
      <c r="H1437" s="59" t="s">
        <v>92</v>
      </c>
      <c r="I1437" s="58" t="s">
        <v>821</v>
      </c>
      <c r="J1437" t="s">
        <v>822</v>
      </c>
      <c r="K1437" t="s">
        <v>28</v>
      </c>
      <c r="L1437" t="s">
        <v>966</v>
      </c>
      <c r="M1437" t="s">
        <v>1163</v>
      </c>
      <c r="N1437" s="57">
        <v>6490</v>
      </c>
      <c r="O1437" t="s">
        <v>100</v>
      </c>
      <c r="P1437" t="s">
        <v>38</v>
      </c>
      <c r="Q1437" s="3">
        <v>42815</v>
      </c>
      <c r="R1437" s="10">
        <f t="shared" ca="1" si="45"/>
        <v>46229</v>
      </c>
      <c r="S1437" s="7">
        <f t="shared" ca="1" si="46"/>
        <v>9.3534246575342461</v>
      </c>
    </row>
    <row r="1438" spans="1:19" x14ac:dyDescent="0.25">
      <c r="A1438">
        <v>1099998</v>
      </c>
      <c r="B1438" t="s">
        <v>153</v>
      </c>
      <c r="C1438" t="s">
        <v>17</v>
      </c>
      <c r="D1438" s="6" t="s">
        <v>39</v>
      </c>
      <c r="E1438" t="s">
        <v>950</v>
      </c>
      <c r="G1438" s="6" t="s">
        <v>1843</v>
      </c>
      <c r="H1438" s="59" t="s">
        <v>92</v>
      </c>
      <c r="I1438" s="58" t="s">
        <v>821</v>
      </c>
      <c r="J1438" t="s">
        <v>822</v>
      </c>
      <c r="K1438" t="s">
        <v>28</v>
      </c>
      <c r="L1438" t="s">
        <v>25</v>
      </c>
      <c r="M1438" t="s">
        <v>1163</v>
      </c>
      <c r="N1438" s="57">
        <v>6420</v>
      </c>
      <c r="O1438" t="s">
        <v>100</v>
      </c>
      <c r="P1438" t="s">
        <v>38</v>
      </c>
      <c r="Q1438" s="3">
        <v>44291</v>
      </c>
      <c r="R1438" s="10">
        <f t="shared" ca="1" si="45"/>
        <v>46229</v>
      </c>
      <c r="S1438" s="7">
        <f t="shared" ca="1" si="46"/>
        <v>5.3095890410958901</v>
      </c>
    </row>
    <row r="1439" spans="1:19" x14ac:dyDescent="0.25">
      <c r="A1439">
        <v>1108904</v>
      </c>
      <c r="B1439" t="s">
        <v>1437</v>
      </c>
      <c r="C1439" t="s">
        <v>17</v>
      </c>
      <c r="D1439" s="6" t="s">
        <v>39</v>
      </c>
      <c r="E1439" t="s">
        <v>48</v>
      </c>
      <c r="G1439" s="6" t="s">
        <v>1843</v>
      </c>
      <c r="H1439" s="59" t="s">
        <v>92</v>
      </c>
      <c r="I1439" s="58" t="s">
        <v>821</v>
      </c>
      <c r="J1439" t="s">
        <v>822</v>
      </c>
      <c r="K1439" t="s">
        <v>28</v>
      </c>
      <c r="L1439" t="s">
        <v>966</v>
      </c>
      <c r="M1439" t="s">
        <v>1163</v>
      </c>
      <c r="N1439" s="57">
        <v>6490</v>
      </c>
      <c r="O1439" t="s">
        <v>100</v>
      </c>
      <c r="P1439" t="s">
        <v>93</v>
      </c>
      <c r="Q1439" s="3">
        <v>43899</v>
      </c>
      <c r="R1439" s="10">
        <f t="shared" ca="1" si="45"/>
        <v>46229</v>
      </c>
      <c r="S1439" s="7">
        <f t="shared" ca="1" si="46"/>
        <v>6.3835616438356162</v>
      </c>
    </row>
    <row r="1440" spans="1:19" x14ac:dyDescent="0.25">
      <c r="A1440">
        <v>1159260</v>
      </c>
      <c r="B1440" t="s">
        <v>1439</v>
      </c>
      <c r="C1440" t="s">
        <v>17</v>
      </c>
      <c r="D1440" s="6" t="s">
        <v>39</v>
      </c>
      <c r="E1440" t="s">
        <v>59</v>
      </c>
      <c r="G1440" s="6" t="s">
        <v>1843</v>
      </c>
      <c r="H1440" s="59" t="s">
        <v>92</v>
      </c>
      <c r="I1440" s="58" t="s">
        <v>821</v>
      </c>
      <c r="J1440" t="s">
        <v>822</v>
      </c>
      <c r="K1440" t="s">
        <v>28</v>
      </c>
      <c r="L1440" t="s">
        <v>966</v>
      </c>
      <c r="M1440" t="s">
        <v>1163</v>
      </c>
      <c r="N1440" s="57">
        <v>6490</v>
      </c>
      <c r="O1440" t="s">
        <v>100</v>
      </c>
      <c r="P1440" t="s">
        <v>93</v>
      </c>
      <c r="Q1440" s="3">
        <v>44767</v>
      </c>
      <c r="R1440" s="10">
        <f t="shared" ca="1" si="45"/>
        <v>46229</v>
      </c>
      <c r="S1440" s="7">
        <f t="shared" ca="1" si="46"/>
        <v>4.0054794520547947</v>
      </c>
    </row>
    <row r="1441" spans="1:19" x14ac:dyDescent="0.25">
      <c r="A1441">
        <v>32924</v>
      </c>
      <c r="B1441" t="s">
        <v>393</v>
      </c>
      <c r="C1441" t="s">
        <v>17</v>
      </c>
      <c r="D1441" s="6" t="s">
        <v>39</v>
      </c>
      <c r="E1441" t="s">
        <v>59</v>
      </c>
      <c r="G1441" s="6" t="s">
        <v>1843</v>
      </c>
      <c r="H1441" s="59" t="s">
        <v>92</v>
      </c>
      <c r="I1441" s="58" t="s">
        <v>821</v>
      </c>
      <c r="J1441" t="s">
        <v>822</v>
      </c>
      <c r="K1441" t="s">
        <v>28</v>
      </c>
      <c r="L1441" t="s">
        <v>1038</v>
      </c>
      <c r="M1441" t="s">
        <v>1163</v>
      </c>
      <c r="N1441" s="57">
        <v>6490</v>
      </c>
      <c r="O1441" t="s">
        <v>100</v>
      </c>
      <c r="P1441" t="s">
        <v>38</v>
      </c>
      <c r="Q1441" s="3">
        <v>38943</v>
      </c>
      <c r="R1441" s="10">
        <f t="shared" ca="1" si="45"/>
        <v>46229</v>
      </c>
      <c r="S1441" s="7">
        <f t="shared" ca="1" si="46"/>
        <v>19.961643835616439</v>
      </c>
    </row>
    <row r="1442" spans="1:19" x14ac:dyDescent="0.25">
      <c r="A1442">
        <v>41452</v>
      </c>
      <c r="B1442" t="s">
        <v>693</v>
      </c>
      <c r="C1442" t="s">
        <v>17</v>
      </c>
      <c r="D1442" s="6" t="s">
        <v>22</v>
      </c>
      <c r="E1442" t="s">
        <v>44</v>
      </c>
      <c r="G1442" s="6" t="s">
        <v>967</v>
      </c>
      <c r="H1442" s="59" t="s">
        <v>1022</v>
      </c>
      <c r="I1442" s="58" t="s">
        <v>821</v>
      </c>
      <c r="J1442" t="s">
        <v>822</v>
      </c>
      <c r="K1442" t="s">
        <v>28</v>
      </c>
      <c r="L1442" t="s">
        <v>966</v>
      </c>
      <c r="M1442" t="s">
        <v>1163</v>
      </c>
      <c r="N1442" s="57">
        <v>1500</v>
      </c>
      <c r="O1442" t="s">
        <v>100</v>
      </c>
      <c r="P1442" t="s">
        <v>93</v>
      </c>
      <c r="Q1442" s="3">
        <v>44655</v>
      </c>
      <c r="R1442" s="10">
        <f t="shared" ca="1" si="45"/>
        <v>46229</v>
      </c>
      <c r="S1442" s="7">
        <f t="shared" ca="1" si="46"/>
        <v>4.3123287671232875</v>
      </c>
    </row>
    <row r="1443" spans="1:19" x14ac:dyDescent="0.25">
      <c r="A1443">
        <v>555165</v>
      </c>
      <c r="B1443" t="s">
        <v>1492</v>
      </c>
      <c r="C1443" t="s">
        <v>17</v>
      </c>
      <c r="D1443" s="6" t="s">
        <v>22</v>
      </c>
      <c r="E1443" t="s">
        <v>44</v>
      </c>
      <c r="G1443" s="6" t="s">
        <v>967</v>
      </c>
      <c r="H1443" s="59" t="s">
        <v>1022</v>
      </c>
      <c r="I1443" s="58" t="s">
        <v>821</v>
      </c>
      <c r="J1443" t="s">
        <v>822</v>
      </c>
      <c r="K1443" t="s">
        <v>28</v>
      </c>
      <c r="L1443" t="s">
        <v>1038</v>
      </c>
      <c r="M1443" t="s">
        <v>1163</v>
      </c>
      <c r="N1443" s="57">
        <v>1500</v>
      </c>
      <c r="O1443" t="s">
        <v>100</v>
      </c>
      <c r="P1443" t="s">
        <v>93</v>
      </c>
      <c r="Q1443" s="3">
        <v>41050</v>
      </c>
      <c r="R1443" s="10">
        <f t="shared" ca="1" si="45"/>
        <v>46229</v>
      </c>
      <c r="S1443" s="7">
        <f t="shared" ca="1" si="46"/>
        <v>14.189041095890412</v>
      </c>
    </row>
    <row r="1444" spans="1:19" x14ac:dyDescent="0.25">
      <c r="A1444">
        <v>1234134</v>
      </c>
      <c r="B1444" t="s">
        <v>1812</v>
      </c>
      <c r="C1444" t="s">
        <v>17</v>
      </c>
      <c r="D1444" s="6" t="s">
        <v>39</v>
      </c>
      <c r="E1444" t="s">
        <v>948</v>
      </c>
      <c r="G1444" s="6" t="s">
        <v>1011</v>
      </c>
      <c r="H1444" s="59" t="s">
        <v>92</v>
      </c>
      <c r="I1444" s="58" t="s">
        <v>1829</v>
      </c>
      <c r="J1444" t="s">
        <v>37</v>
      </c>
      <c r="K1444" t="s">
        <v>99</v>
      </c>
      <c r="L1444" t="s">
        <v>966</v>
      </c>
      <c r="M1444" t="s">
        <v>1163</v>
      </c>
      <c r="N1444" s="57">
        <v>5700</v>
      </c>
      <c r="O1444" t="s">
        <v>100</v>
      </c>
      <c r="P1444" t="s">
        <v>38</v>
      </c>
      <c r="Q1444" s="3">
        <v>46188</v>
      </c>
      <c r="R1444" s="10">
        <f t="shared" ca="1" si="45"/>
        <v>46229</v>
      </c>
      <c r="S1444" s="7">
        <f t="shared" ca="1" si="46"/>
        <v>0.11232876712328767</v>
      </c>
    </row>
    <row r="1445" spans="1:19" x14ac:dyDescent="0.25">
      <c r="A1445">
        <v>25929</v>
      </c>
      <c r="B1445" t="s">
        <v>322</v>
      </c>
      <c r="C1445" t="s">
        <v>17</v>
      </c>
      <c r="D1445" s="6" t="s">
        <v>22</v>
      </c>
      <c r="E1445" t="s">
        <v>50</v>
      </c>
      <c r="G1445" s="6" t="s">
        <v>970</v>
      </c>
      <c r="H1445" s="59" t="s">
        <v>1030</v>
      </c>
      <c r="I1445" s="58" t="s">
        <v>908</v>
      </c>
      <c r="J1445" t="s">
        <v>874</v>
      </c>
      <c r="K1445" t="s">
        <v>849</v>
      </c>
      <c r="L1445" t="s">
        <v>91</v>
      </c>
      <c r="M1445" t="s">
        <v>1163</v>
      </c>
      <c r="N1445" s="57">
        <v>1400</v>
      </c>
      <c r="O1445" t="s">
        <v>100</v>
      </c>
      <c r="P1445" t="s">
        <v>93</v>
      </c>
      <c r="Q1445" s="3">
        <v>37949</v>
      </c>
      <c r="R1445" s="10">
        <f t="shared" ca="1" si="45"/>
        <v>46229</v>
      </c>
      <c r="S1445" s="7">
        <f t="shared" ca="1" si="46"/>
        <v>22.684931506849313</v>
      </c>
    </row>
    <row r="1446" spans="1:19" x14ac:dyDescent="0.25">
      <c r="A1446">
        <v>4072815</v>
      </c>
      <c r="B1446" t="s">
        <v>529</v>
      </c>
      <c r="C1446" t="s">
        <v>17</v>
      </c>
      <c r="D1446" s="6" t="s">
        <v>22</v>
      </c>
      <c r="E1446" t="s">
        <v>50</v>
      </c>
      <c r="G1446" s="6" t="s">
        <v>970</v>
      </c>
      <c r="H1446" s="59" t="s">
        <v>1030</v>
      </c>
      <c r="I1446" s="58" t="s">
        <v>908</v>
      </c>
      <c r="J1446" t="s">
        <v>874</v>
      </c>
      <c r="K1446" t="s">
        <v>849</v>
      </c>
      <c r="L1446" t="s">
        <v>91</v>
      </c>
      <c r="M1446" t="s">
        <v>1163</v>
      </c>
      <c r="N1446" s="57">
        <v>1400</v>
      </c>
      <c r="O1446" t="s">
        <v>100</v>
      </c>
      <c r="P1446" t="s">
        <v>93</v>
      </c>
      <c r="Q1446" s="3">
        <v>44875</v>
      </c>
      <c r="R1446" s="10">
        <f t="shared" ca="1" si="45"/>
        <v>46229</v>
      </c>
      <c r="S1446" s="7">
        <f t="shared" ca="1" si="46"/>
        <v>3.7095890410958905</v>
      </c>
    </row>
    <row r="1447" spans="1:19" x14ac:dyDescent="0.25">
      <c r="A1447">
        <v>4084593</v>
      </c>
      <c r="B1447" t="s">
        <v>556</v>
      </c>
      <c r="C1447" t="s">
        <v>17</v>
      </c>
      <c r="D1447" s="6" t="s">
        <v>22</v>
      </c>
      <c r="E1447" t="s">
        <v>50</v>
      </c>
      <c r="G1447" s="6" t="s">
        <v>970</v>
      </c>
      <c r="H1447" s="59" t="s">
        <v>1030</v>
      </c>
      <c r="I1447" s="58" t="s">
        <v>908</v>
      </c>
      <c r="J1447" t="s">
        <v>874</v>
      </c>
      <c r="K1447" t="s">
        <v>849</v>
      </c>
      <c r="L1447" t="s">
        <v>91</v>
      </c>
      <c r="M1447" t="s">
        <v>1163</v>
      </c>
      <c r="N1447" s="57">
        <v>1400</v>
      </c>
      <c r="O1447" t="s">
        <v>100</v>
      </c>
      <c r="P1447" t="s">
        <v>93</v>
      </c>
      <c r="Q1447" s="3">
        <v>45001</v>
      </c>
      <c r="R1447" s="10">
        <f t="shared" ca="1" si="45"/>
        <v>46229</v>
      </c>
      <c r="S1447" s="7">
        <f t="shared" ca="1" si="46"/>
        <v>3.3643835616438356</v>
      </c>
    </row>
    <row r="1448" spans="1:19" x14ac:dyDescent="0.25">
      <c r="A1448">
        <v>4113486</v>
      </c>
      <c r="B1448" t="s">
        <v>692</v>
      </c>
      <c r="C1448" t="s">
        <v>17</v>
      </c>
      <c r="D1448" s="6" t="s">
        <v>22</v>
      </c>
      <c r="E1448" t="s">
        <v>50</v>
      </c>
      <c r="G1448" s="6" t="s">
        <v>970</v>
      </c>
      <c r="H1448" s="59" t="s">
        <v>1030</v>
      </c>
      <c r="I1448" s="58" t="s">
        <v>908</v>
      </c>
      <c r="J1448" t="s">
        <v>874</v>
      </c>
      <c r="K1448" t="s">
        <v>849</v>
      </c>
      <c r="L1448" t="s">
        <v>91</v>
      </c>
      <c r="M1448" t="s">
        <v>1163</v>
      </c>
      <c r="N1448" s="57">
        <v>1200</v>
      </c>
      <c r="O1448" t="s">
        <v>100</v>
      </c>
      <c r="P1448" t="s">
        <v>93</v>
      </c>
      <c r="Q1448" s="3">
        <v>45757</v>
      </c>
      <c r="R1448" s="10">
        <f t="shared" ca="1" si="45"/>
        <v>46229</v>
      </c>
      <c r="S1448" s="7">
        <f t="shared" ca="1" si="46"/>
        <v>1.2931506849315069</v>
      </c>
    </row>
    <row r="1449" spans="1:19" x14ac:dyDescent="0.25">
      <c r="A1449">
        <v>1191909</v>
      </c>
      <c r="B1449" t="s">
        <v>256</v>
      </c>
      <c r="C1449" t="s">
        <v>17</v>
      </c>
      <c r="D1449" s="6" t="s">
        <v>39</v>
      </c>
      <c r="E1449" t="s">
        <v>74</v>
      </c>
      <c r="G1449" s="6" t="s">
        <v>1848</v>
      </c>
      <c r="H1449" s="59" t="s">
        <v>92</v>
      </c>
      <c r="I1449" s="58" t="s">
        <v>833</v>
      </c>
      <c r="J1449" t="s">
        <v>834</v>
      </c>
      <c r="K1449" t="s">
        <v>94</v>
      </c>
      <c r="L1449" t="s">
        <v>966</v>
      </c>
      <c r="M1449" t="s">
        <v>1163</v>
      </c>
      <c r="N1449" s="57">
        <v>5300</v>
      </c>
      <c r="O1449" t="s">
        <v>100</v>
      </c>
      <c r="P1449" t="s">
        <v>38</v>
      </c>
      <c r="Q1449" s="3">
        <v>45481</v>
      </c>
      <c r="R1449" s="10">
        <f t="shared" ca="1" si="45"/>
        <v>46229</v>
      </c>
      <c r="S1449" s="7">
        <f t="shared" ca="1" si="46"/>
        <v>2.0493150684931507</v>
      </c>
    </row>
    <row r="1450" spans="1:19" x14ac:dyDescent="0.25">
      <c r="A1450">
        <v>1192503</v>
      </c>
      <c r="B1450" t="s">
        <v>257</v>
      </c>
      <c r="C1450" t="s">
        <v>17</v>
      </c>
      <c r="D1450" s="6" t="s">
        <v>39</v>
      </c>
      <c r="E1450" t="s">
        <v>51</v>
      </c>
      <c r="G1450" s="6" t="s">
        <v>1848</v>
      </c>
      <c r="H1450" s="59" t="s">
        <v>92</v>
      </c>
      <c r="I1450" s="58" t="s">
        <v>833</v>
      </c>
      <c r="J1450" t="s">
        <v>834</v>
      </c>
      <c r="K1450" t="s">
        <v>94</v>
      </c>
      <c r="L1450" t="s">
        <v>966</v>
      </c>
      <c r="M1450" t="s">
        <v>1163</v>
      </c>
      <c r="N1450" s="57">
        <v>5300</v>
      </c>
      <c r="O1450" t="s">
        <v>100</v>
      </c>
      <c r="P1450" t="s">
        <v>38</v>
      </c>
      <c r="Q1450" s="3">
        <v>45488</v>
      </c>
      <c r="R1450" s="10">
        <f t="shared" ca="1" si="45"/>
        <v>46229</v>
      </c>
      <c r="S1450" s="7">
        <f t="shared" ca="1" si="46"/>
        <v>2.0301369863013701</v>
      </c>
    </row>
    <row r="1451" spans="1:19" x14ac:dyDescent="0.25">
      <c r="A1451">
        <v>1203357</v>
      </c>
      <c r="B1451" t="s">
        <v>281</v>
      </c>
      <c r="C1451" t="s">
        <v>17</v>
      </c>
      <c r="D1451" s="6" t="s">
        <v>39</v>
      </c>
      <c r="E1451" t="s">
        <v>51</v>
      </c>
      <c r="G1451" s="6" t="s">
        <v>1848</v>
      </c>
      <c r="H1451" s="59" t="s">
        <v>92</v>
      </c>
      <c r="I1451" s="58" t="s">
        <v>833</v>
      </c>
      <c r="J1451" t="s">
        <v>834</v>
      </c>
      <c r="K1451" t="s">
        <v>94</v>
      </c>
      <c r="L1451" t="s">
        <v>966</v>
      </c>
      <c r="M1451" t="s">
        <v>1163</v>
      </c>
      <c r="N1451" s="57">
        <v>5300</v>
      </c>
      <c r="O1451" t="s">
        <v>100</v>
      </c>
      <c r="P1451" t="s">
        <v>38</v>
      </c>
      <c r="Q1451" s="3">
        <v>45726</v>
      </c>
      <c r="R1451" s="10">
        <f t="shared" ca="1" si="45"/>
        <v>46229</v>
      </c>
      <c r="S1451" s="7">
        <f t="shared" ca="1" si="46"/>
        <v>1.3780821917808219</v>
      </c>
    </row>
    <row r="1452" spans="1:19" x14ac:dyDescent="0.25">
      <c r="A1452">
        <v>852736</v>
      </c>
      <c r="B1452" t="s">
        <v>1493</v>
      </c>
      <c r="C1452" t="s">
        <v>17</v>
      </c>
      <c r="D1452" s="6" t="s">
        <v>39</v>
      </c>
      <c r="E1452" t="s">
        <v>60</v>
      </c>
      <c r="G1452" s="6" t="s">
        <v>1848</v>
      </c>
      <c r="H1452" s="59" t="s">
        <v>92</v>
      </c>
      <c r="I1452" s="58" t="s">
        <v>833</v>
      </c>
      <c r="J1452" t="s">
        <v>834</v>
      </c>
      <c r="K1452" t="s">
        <v>94</v>
      </c>
      <c r="L1452" t="s">
        <v>966</v>
      </c>
      <c r="M1452" t="s">
        <v>1163</v>
      </c>
      <c r="N1452" s="57">
        <v>5300</v>
      </c>
      <c r="O1452" t="s">
        <v>100</v>
      </c>
      <c r="P1452" t="s">
        <v>38</v>
      </c>
      <c r="Q1452" s="3">
        <v>46160</v>
      </c>
      <c r="R1452" s="10">
        <f t="shared" ca="1" si="45"/>
        <v>46229</v>
      </c>
      <c r="S1452" s="7">
        <f t="shared" ca="1" si="46"/>
        <v>0.18904109589041096</v>
      </c>
    </row>
    <row r="1453" spans="1:19" x14ac:dyDescent="0.25">
      <c r="A1453">
        <v>894446</v>
      </c>
      <c r="B1453" t="s">
        <v>756</v>
      </c>
      <c r="C1453" t="s">
        <v>17</v>
      </c>
      <c r="D1453" s="6" t="s">
        <v>39</v>
      </c>
      <c r="E1453" t="s">
        <v>60</v>
      </c>
      <c r="G1453" s="6" t="s">
        <v>1848</v>
      </c>
      <c r="H1453" s="59" t="s">
        <v>92</v>
      </c>
      <c r="I1453" s="58" t="s">
        <v>833</v>
      </c>
      <c r="J1453" t="s">
        <v>834</v>
      </c>
      <c r="K1453" t="s">
        <v>94</v>
      </c>
      <c r="L1453" t="s">
        <v>966</v>
      </c>
      <c r="M1453" t="s">
        <v>1163</v>
      </c>
      <c r="N1453" s="57">
        <v>5300</v>
      </c>
      <c r="O1453" t="s">
        <v>100</v>
      </c>
      <c r="P1453" t="s">
        <v>38</v>
      </c>
      <c r="Q1453" s="3">
        <v>41869</v>
      </c>
      <c r="R1453" s="10">
        <f t="shared" ca="1" si="45"/>
        <v>46229</v>
      </c>
      <c r="S1453" s="7">
        <f t="shared" ca="1" si="46"/>
        <v>11.945205479452055</v>
      </c>
    </row>
    <row r="1454" spans="1:19" x14ac:dyDescent="0.25">
      <c r="A1454">
        <v>992810</v>
      </c>
      <c r="B1454" t="s">
        <v>1530</v>
      </c>
      <c r="C1454" t="s">
        <v>17</v>
      </c>
      <c r="D1454" s="6" t="s">
        <v>39</v>
      </c>
      <c r="E1454" t="s">
        <v>51</v>
      </c>
      <c r="G1454" s="6" t="s">
        <v>1848</v>
      </c>
      <c r="H1454" s="59" t="s">
        <v>92</v>
      </c>
      <c r="I1454" s="58" t="s">
        <v>833</v>
      </c>
      <c r="J1454" t="s">
        <v>834</v>
      </c>
      <c r="K1454" t="s">
        <v>94</v>
      </c>
      <c r="L1454" t="s">
        <v>966</v>
      </c>
      <c r="M1454" t="s">
        <v>1163</v>
      </c>
      <c r="N1454" s="57">
        <v>5300</v>
      </c>
      <c r="O1454" t="s">
        <v>100</v>
      </c>
      <c r="P1454" t="s">
        <v>38</v>
      </c>
      <c r="Q1454" s="3">
        <v>42737</v>
      </c>
      <c r="R1454" s="10">
        <f t="shared" ca="1" si="45"/>
        <v>46229</v>
      </c>
      <c r="S1454" s="7">
        <f t="shared" ca="1" si="46"/>
        <v>9.5671232876712331</v>
      </c>
    </row>
    <row r="1455" spans="1:19" x14ac:dyDescent="0.25">
      <c r="A1455">
        <v>4055747</v>
      </c>
      <c r="B1455" t="s">
        <v>489</v>
      </c>
      <c r="C1455" t="s">
        <v>17</v>
      </c>
      <c r="D1455" s="6" t="s">
        <v>22</v>
      </c>
      <c r="E1455" t="s">
        <v>50</v>
      </c>
      <c r="G1455" s="6" t="s">
        <v>970</v>
      </c>
      <c r="H1455" s="59" t="s">
        <v>1027</v>
      </c>
      <c r="I1455" s="58" t="s">
        <v>927</v>
      </c>
      <c r="J1455" t="s">
        <v>848</v>
      </c>
      <c r="K1455" t="s">
        <v>1466</v>
      </c>
      <c r="L1455" t="s">
        <v>1038</v>
      </c>
      <c r="M1455" t="s">
        <v>1163</v>
      </c>
      <c r="N1455" s="57">
        <v>1400</v>
      </c>
      <c r="O1455" t="s">
        <v>100</v>
      </c>
      <c r="P1455" t="s">
        <v>93</v>
      </c>
      <c r="Q1455" s="3">
        <v>44658</v>
      </c>
      <c r="R1455" s="10">
        <f t="shared" ca="1" si="45"/>
        <v>46229</v>
      </c>
      <c r="S1455" s="7">
        <f t="shared" ca="1" si="46"/>
        <v>4.3041095890410963</v>
      </c>
    </row>
    <row r="1456" spans="1:19" x14ac:dyDescent="0.25">
      <c r="A1456">
        <v>4088994</v>
      </c>
      <c r="B1456" t="s">
        <v>1061</v>
      </c>
      <c r="C1456" t="s">
        <v>17</v>
      </c>
      <c r="D1456" s="6" t="s">
        <v>22</v>
      </c>
      <c r="E1456" t="s">
        <v>50</v>
      </c>
      <c r="G1456" s="6" t="s">
        <v>970</v>
      </c>
      <c r="H1456" s="59" t="s">
        <v>1027</v>
      </c>
      <c r="I1456" s="58" t="s">
        <v>927</v>
      </c>
      <c r="J1456" t="s">
        <v>848</v>
      </c>
      <c r="K1456" t="s">
        <v>1466</v>
      </c>
      <c r="L1456" t="s">
        <v>1038</v>
      </c>
      <c r="M1456" t="s">
        <v>1163</v>
      </c>
      <c r="N1456" s="57">
        <v>1400</v>
      </c>
      <c r="O1456" t="s">
        <v>100</v>
      </c>
      <c r="P1456" t="s">
        <v>93</v>
      </c>
      <c r="Q1456" s="3">
        <v>46072</v>
      </c>
      <c r="R1456" s="10">
        <f t="shared" ca="1" si="45"/>
        <v>46229</v>
      </c>
      <c r="S1456" s="7">
        <f t="shared" ca="1" si="46"/>
        <v>0.43013698630136987</v>
      </c>
    </row>
    <row r="1457" spans="1:19" x14ac:dyDescent="0.25">
      <c r="A1457">
        <v>4099960</v>
      </c>
      <c r="B1457" t="s">
        <v>597</v>
      </c>
      <c r="C1457" t="s">
        <v>17</v>
      </c>
      <c r="D1457" s="6" t="s">
        <v>22</v>
      </c>
      <c r="E1457" t="s">
        <v>50</v>
      </c>
      <c r="G1457" s="6" t="s">
        <v>970</v>
      </c>
      <c r="H1457" s="59" t="s">
        <v>1027</v>
      </c>
      <c r="I1457" s="58" t="s">
        <v>927</v>
      </c>
      <c r="J1457" t="s">
        <v>848</v>
      </c>
      <c r="K1457" t="s">
        <v>1466</v>
      </c>
      <c r="L1457" t="s">
        <v>1038</v>
      </c>
      <c r="M1457" t="s">
        <v>1163</v>
      </c>
      <c r="N1457" s="57">
        <v>1200</v>
      </c>
      <c r="O1457" t="s">
        <v>100</v>
      </c>
      <c r="P1457" t="s">
        <v>93</v>
      </c>
      <c r="Q1457" s="3">
        <v>45411</v>
      </c>
      <c r="R1457" s="10">
        <f t="shared" ca="1" si="45"/>
        <v>46229</v>
      </c>
      <c r="S1457" s="7">
        <f t="shared" ca="1" si="46"/>
        <v>2.2410958904109588</v>
      </c>
    </row>
    <row r="1458" spans="1:19" x14ac:dyDescent="0.25">
      <c r="A1458">
        <v>4121169</v>
      </c>
      <c r="B1458" t="s">
        <v>1098</v>
      </c>
      <c r="C1458" t="s">
        <v>17</v>
      </c>
      <c r="D1458" s="6" t="s">
        <v>22</v>
      </c>
      <c r="E1458" t="s">
        <v>50</v>
      </c>
      <c r="G1458" s="6" t="s">
        <v>970</v>
      </c>
      <c r="H1458" s="59" t="s">
        <v>1027</v>
      </c>
      <c r="I1458" s="58" t="s">
        <v>927</v>
      </c>
      <c r="J1458" t="s">
        <v>848</v>
      </c>
      <c r="K1458" t="s">
        <v>1466</v>
      </c>
      <c r="L1458" t="s">
        <v>1038</v>
      </c>
      <c r="M1458" t="s">
        <v>1163</v>
      </c>
      <c r="N1458" s="57">
        <v>1400</v>
      </c>
      <c r="O1458" t="s">
        <v>100</v>
      </c>
      <c r="P1458" t="s">
        <v>93</v>
      </c>
      <c r="Q1458" s="3">
        <v>46072</v>
      </c>
      <c r="R1458" s="10">
        <f t="shared" ca="1" si="45"/>
        <v>46229</v>
      </c>
      <c r="S1458" s="7">
        <f t="shared" ca="1" si="46"/>
        <v>0.43013698630136987</v>
      </c>
    </row>
    <row r="1459" spans="1:19" x14ac:dyDescent="0.25">
      <c r="A1459">
        <v>42612</v>
      </c>
      <c r="B1459" t="s">
        <v>697</v>
      </c>
      <c r="C1459" t="s">
        <v>17</v>
      </c>
      <c r="D1459" s="6" t="s">
        <v>22</v>
      </c>
      <c r="E1459" t="s">
        <v>50</v>
      </c>
      <c r="G1459" s="6" t="s">
        <v>970</v>
      </c>
      <c r="H1459" s="59" t="s">
        <v>1027</v>
      </c>
      <c r="I1459" s="58" t="s">
        <v>927</v>
      </c>
      <c r="J1459" t="s">
        <v>848</v>
      </c>
      <c r="K1459" t="s">
        <v>1466</v>
      </c>
      <c r="L1459" t="s">
        <v>1038</v>
      </c>
      <c r="M1459" t="s">
        <v>1163</v>
      </c>
      <c r="N1459" s="57">
        <v>1400</v>
      </c>
      <c r="O1459" t="s">
        <v>100</v>
      </c>
      <c r="P1459" t="s">
        <v>93</v>
      </c>
      <c r="Q1459" s="3">
        <v>45411</v>
      </c>
      <c r="R1459" s="10">
        <f t="shared" ca="1" si="45"/>
        <v>46229</v>
      </c>
      <c r="S1459" s="7">
        <f t="shared" ca="1" si="46"/>
        <v>2.2410958904109588</v>
      </c>
    </row>
    <row r="1460" spans="1:19" x14ac:dyDescent="0.25">
      <c r="A1460">
        <v>937967</v>
      </c>
      <c r="B1460" t="s">
        <v>774</v>
      </c>
      <c r="C1460" t="s">
        <v>17</v>
      </c>
      <c r="D1460" s="6" t="s">
        <v>22</v>
      </c>
      <c r="E1460" t="s">
        <v>50</v>
      </c>
      <c r="G1460" s="6" t="s">
        <v>970</v>
      </c>
      <c r="H1460" s="59" t="s">
        <v>1027</v>
      </c>
      <c r="I1460" s="58" t="s">
        <v>927</v>
      </c>
      <c r="J1460" t="s">
        <v>848</v>
      </c>
      <c r="K1460" t="s">
        <v>1466</v>
      </c>
      <c r="L1460" t="s">
        <v>1038</v>
      </c>
      <c r="M1460" t="s">
        <v>1163</v>
      </c>
      <c r="N1460" s="57">
        <v>1400</v>
      </c>
      <c r="O1460" t="s">
        <v>100</v>
      </c>
      <c r="P1460" t="s">
        <v>93</v>
      </c>
      <c r="Q1460" s="3">
        <v>42590</v>
      </c>
      <c r="R1460" s="10">
        <f t="shared" ca="1" si="45"/>
        <v>46229</v>
      </c>
      <c r="S1460" s="7">
        <f t="shared" ca="1" si="46"/>
        <v>9.9698630136986299</v>
      </c>
    </row>
  </sheetData>
  <autoFilter ref="A2:S1460" xr:uid="{A2C08159-AB97-4E58-986F-518E09D77915}">
    <sortState xmlns:xlrd2="http://schemas.microsoft.com/office/spreadsheetml/2017/richdata2" ref="A3:S1460">
      <sortCondition ref="I2:I1460"/>
    </sortState>
  </autoFilter>
  <conditionalFormatting sqref="A1:A1455 A1460:A1048576">
    <cfRule type="duplicateValues" dxfId="132" priority="1081"/>
    <cfRule type="duplicateValues" dxfId="131" priority="1082"/>
    <cfRule type="duplicateValues" dxfId="130" priority="1083"/>
    <cfRule type="duplicateValues" dxfId="129" priority="1084"/>
    <cfRule type="duplicateValues" dxfId="128" priority="1085"/>
  </conditionalFormatting>
  <conditionalFormatting sqref="A2">
    <cfRule type="duplicateValues" dxfId="127" priority="762"/>
  </conditionalFormatting>
  <conditionalFormatting sqref="A2:A3">
    <cfRule type="duplicateValues" dxfId="126" priority="763"/>
    <cfRule type="duplicateValues" dxfId="125" priority="764"/>
  </conditionalFormatting>
  <conditionalFormatting sqref="A1456:A1459">
    <cfRule type="duplicateValues" dxfId="124" priority="11"/>
    <cfRule type="duplicateValues" dxfId="123" priority="12"/>
    <cfRule type="duplicateValues" dxfId="122" priority="13"/>
    <cfRule type="duplicateValues" dxfId="121" priority="14"/>
    <cfRule type="duplicateValues" dxfId="120" priority="15"/>
  </conditionalFormatting>
  <conditionalFormatting sqref="F1:F1460 F1461:G1048576 G3:J3 G1460">
    <cfRule type="cellIs" dxfId="119" priority="104" operator="equal">
      <formula>"Leyenda On leave"</formula>
    </cfRule>
  </conditionalFormatting>
  <conditionalFormatting sqref="F1:F1048576">
    <cfRule type="containsText" dxfId="118" priority="31" operator="containsText" text="Pendiente: Cambio manager">
      <formula>NOT(ISERROR(SEARCH("Pendiente: Cambio manager",F1)))</formula>
    </cfRule>
    <cfRule type="containsText" dxfId="117" priority="32" operator="containsText" text="Transfer out">
      <formula>NOT(ISERROR(SEARCH("Transfer out",F1)))</formula>
    </cfRule>
    <cfRule type="cellIs" dxfId="116" priority="33" operator="equal">
      <formula>"Transfer In"</formula>
    </cfRule>
    <cfRule type="containsText" dxfId="115" priority="34" operator="containsText" text="Préstamo">
      <formula>NOT(ISERROR(SEARCH("Préstamo",F1)))</formula>
    </cfRule>
  </conditionalFormatting>
  <conditionalFormatting sqref="F3:J3 F4:F1460 F1461:G1048576 G1460">
    <cfRule type="cellIs" dxfId="114" priority="365" operator="equal">
      <formula>"Nuevo Ingreso"</formula>
    </cfRule>
    <cfRule type="cellIs" dxfId="113" priority="366" operator="equal">
      <formula>"Transfer Out"</formula>
    </cfRule>
    <cfRule type="cellIs" dxfId="112" priority="367" operator="equal">
      <formula>"Incapacidad (ST4)"</formula>
    </cfRule>
    <cfRule type="cellIs" dxfId="111" priority="368" operator="equal">
      <formula>"Incapacidad"</formula>
    </cfRule>
    <cfRule type="cellIs" dxfId="110" priority="369" operator="equal">
      <formula>"Proceso RH"</formula>
    </cfRule>
  </conditionalFormatting>
  <conditionalFormatting sqref="G1">
    <cfRule type="cellIs" dxfId="109" priority="628" operator="equal">
      <formula>"Leyenda On leave"</formula>
    </cfRule>
    <cfRule type="cellIs" dxfId="108" priority="670" operator="equal">
      <formula>"Préstamo"</formula>
    </cfRule>
  </conditionalFormatting>
  <conditionalFormatting sqref="G4:H1459">
    <cfRule type="cellIs" dxfId="107" priority="5" operator="equal">
      <formula>"Leyenda On leave"</formula>
    </cfRule>
    <cfRule type="cellIs" dxfId="106" priority="6" operator="equal">
      <formula>"Nuevo Ingreso"</formula>
    </cfRule>
    <cfRule type="cellIs" dxfId="105" priority="7" operator="equal">
      <formula>"Transfer Out"</formula>
    </cfRule>
    <cfRule type="cellIs" dxfId="104" priority="8" operator="equal">
      <formula>"Incapacidad (ST4)"</formula>
    </cfRule>
    <cfRule type="cellIs" dxfId="103" priority="9" operator="equal">
      <formula>"Incapacidad"</formula>
    </cfRule>
    <cfRule type="cellIs" dxfId="102" priority="10" operator="equal">
      <formula>"Proceso RH"</formula>
    </cfRule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715B-E013-4F2A-AE0E-35E2B438F92A}">
  <dimension ref="A1:S21"/>
  <sheetViews>
    <sheetView showGridLines="0" zoomScale="90" zoomScaleNormal="90" workbookViewId="0">
      <selection activeCell="E15" sqref="E15"/>
    </sheetView>
  </sheetViews>
  <sheetFormatPr defaultRowHeight="15" x14ac:dyDescent="0.25"/>
  <cols>
    <col min="2" max="2" width="24.42578125" customWidth="1"/>
    <col min="5" max="5" width="15.42578125" bestFit="1" customWidth="1"/>
    <col min="6" max="6" width="16.140625" bestFit="1" customWidth="1"/>
    <col min="7" max="7" width="13.85546875" bestFit="1" customWidth="1"/>
    <col min="11" max="11" width="6" customWidth="1"/>
    <col min="17" max="18" width="10.5703125" bestFit="1" customWidth="1"/>
  </cols>
  <sheetData>
    <row r="1" spans="1:19" ht="18.75" x14ac:dyDescent="0.3">
      <c r="A1" s="8" t="s">
        <v>23</v>
      </c>
    </row>
    <row r="2" spans="1:19" ht="15.6" customHeight="1" x14ac:dyDescent="0.25">
      <c r="A2" s="5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23</v>
      </c>
      <c r="G2" s="4" t="s">
        <v>975</v>
      </c>
      <c r="H2" s="4" t="s">
        <v>18</v>
      </c>
      <c r="I2" s="4" t="s">
        <v>5</v>
      </c>
      <c r="J2" s="4" t="s">
        <v>6</v>
      </c>
      <c r="K2" s="2" t="s">
        <v>7</v>
      </c>
      <c r="L2" s="2" t="s">
        <v>9</v>
      </c>
      <c r="M2" s="2" t="s">
        <v>8</v>
      </c>
      <c r="N2" s="2" t="s">
        <v>10</v>
      </c>
      <c r="O2" s="2" t="s">
        <v>11</v>
      </c>
      <c r="P2" s="2" t="s">
        <v>15</v>
      </c>
      <c r="Q2" s="2" t="s">
        <v>12</v>
      </c>
      <c r="R2" s="2" t="s">
        <v>13</v>
      </c>
      <c r="S2" s="2" t="s">
        <v>19</v>
      </c>
    </row>
    <row r="3" spans="1:19" x14ac:dyDescent="0.25">
      <c r="D3" s="6"/>
      <c r="G3" s="6"/>
      <c r="H3" s="6"/>
      <c r="N3" s="1"/>
      <c r="Q3" s="3"/>
      <c r="R3" s="10"/>
      <c r="S3" s="7"/>
    </row>
    <row r="4" spans="1:19" x14ac:dyDescent="0.25">
      <c r="D4" s="6"/>
      <c r="N4" s="1"/>
      <c r="Q4" s="3"/>
      <c r="R4" s="10"/>
      <c r="S4" s="7"/>
    </row>
    <row r="5" spans="1:19" x14ac:dyDescent="0.25">
      <c r="D5" s="6"/>
      <c r="N5" s="1"/>
      <c r="Q5" s="3"/>
      <c r="R5" s="10"/>
      <c r="S5" s="7"/>
    </row>
    <row r="6" spans="1:19" ht="18" customHeight="1" x14ac:dyDescent="0.3">
      <c r="A6" s="8" t="s">
        <v>24</v>
      </c>
    </row>
    <row r="7" spans="1:19" x14ac:dyDescent="0.25">
      <c r="A7" s="5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24</v>
      </c>
      <c r="G7" s="4" t="s">
        <v>975</v>
      </c>
      <c r="H7" s="4" t="s">
        <v>18</v>
      </c>
      <c r="I7" s="4" t="s">
        <v>5</v>
      </c>
      <c r="J7" s="4" t="s">
        <v>6</v>
      </c>
      <c r="K7" s="2" t="s">
        <v>7</v>
      </c>
      <c r="L7" s="2" t="s">
        <v>9</v>
      </c>
      <c r="M7" s="2" t="s">
        <v>8</v>
      </c>
      <c r="N7" s="2" t="s">
        <v>10</v>
      </c>
      <c r="O7" s="2" t="s">
        <v>11</v>
      </c>
      <c r="P7" s="2" t="s">
        <v>15</v>
      </c>
      <c r="Q7" s="2" t="s">
        <v>12</v>
      </c>
      <c r="R7" s="2" t="s">
        <v>13</v>
      </c>
      <c r="S7" s="2" t="s">
        <v>19</v>
      </c>
    </row>
    <row r="8" spans="1:19" x14ac:dyDescent="0.25">
      <c r="D8" s="6"/>
      <c r="G8" s="6"/>
      <c r="H8" s="6"/>
      <c r="N8" s="1"/>
      <c r="Q8" s="3"/>
      <c r="R8" s="10"/>
      <c r="S8" s="7"/>
    </row>
    <row r="9" spans="1:19" x14ac:dyDescent="0.25">
      <c r="D9" s="6"/>
      <c r="G9" s="6"/>
      <c r="H9" s="6"/>
      <c r="N9" s="1"/>
      <c r="Q9" s="3"/>
      <c r="R9" s="10"/>
      <c r="S9" s="7"/>
    </row>
    <row r="10" spans="1:19" x14ac:dyDescent="0.25">
      <c r="D10" s="6"/>
      <c r="G10" s="6"/>
      <c r="H10" s="6"/>
      <c r="N10" s="1"/>
      <c r="Q10" s="3"/>
      <c r="R10" s="10"/>
      <c r="S10" s="7"/>
    </row>
    <row r="11" spans="1:19" x14ac:dyDescent="0.25">
      <c r="D11" s="6"/>
      <c r="G11" s="6"/>
      <c r="H11" s="6"/>
      <c r="N11" s="1"/>
      <c r="Q11" s="3"/>
      <c r="R11" s="10"/>
      <c r="S11" s="7"/>
    </row>
    <row r="12" spans="1:19" x14ac:dyDescent="0.25">
      <c r="D12" s="6"/>
      <c r="G12" s="6"/>
      <c r="H12" s="6"/>
      <c r="N12" s="1"/>
      <c r="Q12" s="3"/>
      <c r="R12" s="10"/>
      <c r="S12" s="7"/>
    </row>
    <row r="13" spans="1:19" x14ac:dyDescent="0.25">
      <c r="D13" s="6"/>
      <c r="G13" s="6"/>
      <c r="H13" s="6"/>
      <c r="N13" s="1"/>
      <c r="Q13" s="3"/>
      <c r="R13" s="10"/>
      <c r="S13" s="7"/>
    </row>
    <row r="14" spans="1:19" x14ac:dyDescent="0.25">
      <c r="D14" s="6"/>
      <c r="G14" s="6"/>
      <c r="H14" s="6"/>
      <c r="N14" s="1"/>
      <c r="Q14" s="3"/>
      <c r="R14" s="10"/>
      <c r="S14" s="7"/>
    </row>
    <row r="15" spans="1:19" x14ac:dyDescent="0.25">
      <c r="D15" s="6"/>
      <c r="G15" s="6"/>
      <c r="H15" s="6"/>
      <c r="N15" s="1"/>
      <c r="Q15" s="3"/>
      <c r="R15" s="10"/>
      <c r="S15" s="7"/>
    </row>
    <row r="16" spans="1:19" x14ac:dyDescent="0.25">
      <c r="D16" s="6"/>
      <c r="G16" s="6"/>
      <c r="H16" s="6"/>
      <c r="N16" s="1"/>
      <c r="Q16" s="3"/>
      <c r="R16" s="10"/>
      <c r="S16" s="7"/>
    </row>
    <row r="17" spans="4:19" x14ac:dyDescent="0.25">
      <c r="D17" s="6"/>
      <c r="G17" s="6"/>
      <c r="H17" s="6"/>
      <c r="N17" s="1"/>
      <c r="Q17" s="3"/>
      <c r="R17" s="10"/>
      <c r="S17" s="7"/>
    </row>
    <row r="18" spans="4:19" x14ac:dyDescent="0.25">
      <c r="D18" s="6"/>
      <c r="G18" s="6"/>
      <c r="H18" s="6"/>
      <c r="N18" s="1"/>
      <c r="Q18" s="3"/>
      <c r="R18" s="10"/>
      <c r="S18" s="7"/>
    </row>
    <row r="19" spans="4:19" x14ac:dyDescent="0.25">
      <c r="D19" s="6"/>
      <c r="G19" s="6"/>
      <c r="H19" s="6"/>
      <c r="N19" s="1"/>
      <c r="Q19" s="3"/>
      <c r="R19" s="10"/>
      <c r="S19" s="7"/>
    </row>
    <row r="20" spans="4:19" x14ac:dyDescent="0.25">
      <c r="D20" s="6"/>
      <c r="G20" s="6"/>
      <c r="H20" s="6"/>
      <c r="N20" s="1"/>
      <c r="Q20" s="3"/>
      <c r="R20" s="10"/>
      <c r="S20" s="7"/>
    </row>
    <row r="21" spans="4:19" x14ac:dyDescent="0.25">
      <c r="D21" s="6"/>
      <c r="G21" s="6"/>
      <c r="H21" s="6"/>
      <c r="N21" s="1"/>
      <c r="Q21" s="3"/>
      <c r="R21" s="10"/>
      <c r="S21" s="7"/>
    </row>
  </sheetData>
  <autoFilter ref="A7:S40" xr:uid="{5C97715B-E013-4F2A-AE0E-35E2B438F92A}"/>
  <conditionalFormatting sqref="A2">
    <cfRule type="duplicateValues" dxfId="101" priority="791"/>
    <cfRule type="duplicateValues" dxfId="100" priority="739"/>
  </conditionalFormatting>
  <conditionalFormatting sqref="A3">
    <cfRule type="duplicateValues" dxfId="99" priority="84"/>
    <cfRule type="duplicateValues" dxfId="98" priority="86"/>
    <cfRule type="duplicateValues" dxfId="97" priority="85"/>
    <cfRule type="duplicateValues" dxfId="96" priority="83"/>
    <cfRule type="duplicateValues" dxfId="95" priority="75"/>
  </conditionalFormatting>
  <conditionalFormatting sqref="A4:A5">
    <cfRule type="duplicateValues" dxfId="94" priority="1088"/>
    <cfRule type="duplicateValues" dxfId="93" priority="1087"/>
    <cfRule type="duplicateValues" dxfId="92" priority="1086"/>
    <cfRule type="duplicateValues" dxfId="91" priority="1090"/>
    <cfRule type="duplicateValues" dxfId="90" priority="1089"/>
  </conditionalFormatting>
  <conditionalFormatting sqref="A7">
    <cfRule type="duplicateValues" dxfId="89" priority="1060"/>
    <cfRule type="duplicateValues" dxfId="88" priority="722"/>
    <cfRule type="duplicateValues" dxfId="87" priority="723"/>
  </conditionalFormatting>
  <conditionalFormatting sqref="A8">
    <cfRule type="duplicateValues" dxfId="86" priority="21"/>
    <cfRule type="duplicateValues" dxfId="85" priority="22"/>
    <cfRule type="duplicateValues" dxfId="84" priority="23"/>
    <cfRule type="duplicateValues" dxfId="83" priority="24"/>
    <cfRule type="duplicateValues" dxfId="82" priority="25"/>
  </conditionalFormatting>
  <conditionalFormatting sqref="A9:A10">
    <cfRule type="duplicateValues" dxfId="81" priority="55"/>
    <cfRule type="duplicateValues" dxfId="80" priority="54"/>
    <cfRule type="duplicateValues" dxfId="79" priority="45"/>
    <cfRule type="duplicateValues" dxfId="78" priority="52"/>
    <cfRule type="duplicateValues" dxfId="77" priority="53"/>
  </conditionalFormatting>
  <conditionalFormatting sqref="A11:A17">
    <cfRule type="duplicateValues" dxfId="76" priority="30"/>
    <cfRule type="duplicateValues" dxfId="75" priority="37"/>
    <cfRule type="duplicateValues" dxfId="74" priority="38"/>
    <cfRule type="duplicateValues" dxfId="73" priority="39"/>
    <cfRule type="duplicateValues" dxfId="72" priority="40"/>
  </conditionalFormatting>
  <conditionalFormatting sqref="A18:A21">
    <cfRule type="duplicateValues" dxfId="71" priority="114"/>
    <cfRule type="duplicateValues" dxfId="70" priority="107"/>
    <cfRule type="duplicateValues" dxfId="69" priority="117"/>
    <cfRule type="duplicateValues" dxfId="68" priority="116"/>
    <cfRule type="duplicateValues" dxfId="67" priority="115"/>
  </conditionalFormatting>
  <conditionalFormatting sqref="F3:F5">
    <cfRule type="containsText" dxfId="66" priority="71" operator="containsText" text="Pendiente: Cambio manager">
      <formula>NOT(ISERROR(SEARCH("Pendiente: Cambio manager",F3)))</formula>
    </cfRule>
    <cfRule type="containsText" dxfId="65" priority="72" operator="containsText" text="Transfer out">
      <formula>NOT(ISERROR(SEARCH("Transfer out",F3)))</formula>
    </cfRule>
    <cfRule type="cellIs" dxfId="64" priority="73" operator="equal">
      <formula>"Transfer In"</formula>
    </cfRule>
    <cfRule type="containsText" dxfId="63" priority="74" operator="containsText" text="Préstamo">
      <formula>NOT(ISERROR(SEARCH("Préstamo",F3)))</formula>
    </cfRule>
  </conditionalFormatting>
  <conditionalFormatting sqref="F8:F32">
    <cfRule type="cellIs" dxfId="62" priority="13" operator="equal">
      <formula>"Transfer In"</formula>
    </cfRule>
    <cfRule type="containsText" dxfId="61" priority="11" operator="containsText" text="Pendiente: Cambio manager">
      <formula>NOT(ISERROR(SEARCH("Pendiente: Cambio manager",F8)))</formula>
    </cfRule>
    <cfRule type="containsText" dxfId="60" priority="12" operator="containsText" text="Transfer out">
      <formula>NOT(ISERROR(SEARCH("Transfer out",F8)))</formula>
    </cfRule>
    <cfRule type="containsText" dxfId="59" priority="14" operator="containsText" text="Préstamo">
      <formula>NOT(ISERROR(SEARCH("Préstamo",F8)))</formula>
    </cfRule>
  </conditionalFormatting>
  <conditionalFormatting sqref="F9:F11">
    <cfRule type="cellIs" dxfId="58" priority="61" operator="equal">
      <formula>"Leyenda On leave"</formula>
    </cfRule>
    <cfRule type="containsText" dxfId="57" priority="59" operator="containsText" text="Préstamo">
      <formula>NOT(ISERROR(SEARCH("Préstamo",F9)))</formula>
    </cfRule>
    <cfRule type="cellIs" dxfId="56" priority="58" operator="equal">
      <formula>"Transfer In"</formula>
    </cfRule>
    <cfRule type="containsText" dxfId="55" priority="57" operator="containsText" text="Transfer out">
      <formula>NOT(ISERROR(SEARCH("Transfer out",F9)))</formula>
    </cfRule>
    <cfRule type="containsText" dxfId="54" priority="56" operator="containsText" text="Pendiente: Cambio manager">
      <formula>NOT(ISERROR(SEARCH("Pendiente: Cambio manager",F9)))</formula>
    </cfRule>
    <cfRule type="cellIs" dxfId="53" priority="66" operator="equal">
      <formula>"Proceso RH"</formula>
    </cfRule>
    <cfRule type="cellIs" dxfId="52" priority="65" operator="equal">
      <formula>"Incapacidad"</formula>
    </cfRule>
    <cfRule type="cellIs" dxfId="51" priority="64" operator="equal">
      <formula>"Incapacidad (ST4)"</formula>
    </cfRule>
    <cfRule type="cellIs" dxfId="50" priority="63" operator="equal">
      <formula>"Transfer Out"</formula>
    </cfRule>
    <cfRule type="cellIs" dxfId="49" priority="62" operator="equal">
      <formula>"Nuevo Ingreso"</formula>
    </cfRule>
  </conditionalFormatting>
  <conditionalFormatting sqref="F12:F32">
    <cfRule type="cellIs" dxfId="48" priority="33" operator="equal">
      <formula>"Transfer Out"</formula>
    </cfRule>
    <cfRule type="cellIs" dxfId="47" priority="34" operator="equal">
      <formula>"Incapacidad (ST4)"</formula>
    </cfRule>
    <cfRule type="cellIs" dxfId="46" priority="35" operator="equal">
      <formula>"Incapacidad"</formula>
    </cfRule>
    <cfRule type="cellIs" dxfId="45" priority="36" operator="equal">
      <formula>"Proceso RH"</formula>
    </cfRule>
    <cfRule type="cellIs" dxfId="44" priority="32" operator="equal">
      <formula>"Nuevo Ingreso"</formula>
    </cfRule>
    <cfRule type="cellIs" dxfId="43" priority="31" operator="equal">
      <formula>"Leyenda On leave"</formula>
    </cfRule>
  </conditionalFormatting>
  <conditionalFormatting sqref="F22:F31 F33:F1048576">
    <cfRule type="cellIs" dxfId="42" priority="442" operator="equal">
      <formula>"Incapacidad"</formula>
    </cfRule>
    <cfRule type="cellIs" dxfId="41" priority="441" operator="equal">
      <formula>"Incapacidad (ST4)"</formula>
    </cfRule>
    <cfRule type="cellIs" dxfId="40" priority="440" operator="equal">
      <formula>"Transfer Out"</formula>
    </cfRule>
    <cfRule type="cellIs" dxfId="39" priority="439" operator="equal">
      <formula>"Nuevo Ingreso"</formula>
    </cfRule>
    <cfRule type="cellIs" dxfId="38" priority="438" operator="equal">
      <formula>"Leyenda On leave"</formula>
    </cfRule>
    <cfRule type="containsText" dxfId="37" priority="437" operator="containsText" text="Préstamo">
      <formula>NOT(ISERROR(SEARCH("Préstamo",F22)))</formula>
    </cfRule>
    <cfRule type="cellIs" dxfId="36" priority="443" operator="equal">
      <formula>"Proceso RH"</formula>
    </cfRule>
  </conditionalFormatting>
  <conditionalFormatting sqref="F32">
    <cfRule type="cellIs" dxfId="35" priority="5" operator="equal">
      <formula>"Leyenda On leave"</formula>
    </cfRule>
    <cfRule type="cellIs" dxfId="34" priority="6" operator="equal">
      <formula>"Nuevo Ingreso"</formula>
    </cfRule>
    <cfRule type="cellIs" dxfId="33" priority="7" operator="equal">
      <formula>"Transfer Out"</formula>
    </cfRule>
    <cfRule type="cellIs" dxfId="32" priority="8" operator="equal">
      <formula>"Incapacidad (ST4)"</formula>
    </cfRule>
    <cfRule type="cellIs" dxfId="31" priority="9" operator="equal">
      <formula>"Incapacidad"</formula>
    </cfRule>
    <cfRule type="cellIs" dxfId="30" priority="10" operator="equal">
      <formula>"Proceso RH"</formula>
    </cfRule>
    <cfRule type="containsText" dxfId="29" priority="1" operator="containsText" text="Pendiente: Cambio manager">
      <formula>NOT(ISERROR(SEARCH("Pendiente: Cambio manager",F32)))</formula>
    </cfRule>
    <cfRule type="containsText" dxfId="28" priority="2" operator="containsText" text="Transfer out">
      <formula>NOT(ISERROR(SEARCH("Transfer out",F32)))</formula>
    </cfRule>
    <cfRule type="cellIs" dxfId="27" priority="3" operator="equal">
      <formula>"Transfer In"</formula>
    </cfRule>
    <cfRule type="containsText" dxfId="26" priority="4" operator="containsText" text="Préstamo">
      <formula>NOT(ISERROR(SEARCH("Préstamo",F32)))</formula>
    </cfRule>
  </conditionalFormatting>
  <conditionalFormatting sqref="F33:F1048576 F22:F31">
    <cfRule type="cellIs" dxfId="25" priority="436" operator="equal">
      <formula>"Transfer In"</formula>
    </cfRule>
  </conditionalFormatting>
  <conditionalFormatting sqref="F501">
    <cfRule type="cellIs" dxfId="24" priority="430" operator="equal">
      <formula>"Leyenda On leave"</formula>
    </cfRule>
    <cfRule type="cellIs" dxfId="23" priority="432" operator="equal">
      <formula>"Transfer Out"</formula>
    </cfRule>
    <cfRule type="cellIs" dxfId="22" priority="433" operator="equal">
      <formula>"Incapacidad (ST4)"</formula>
    </cfRule>
    <cfRule type="cellIs" dxfId="21" priority="434" operator="equal">
      <formula>"Incapacidad"</formula>
    </cfRule>
    <cfRule type="cellIs" dxfId="20" priority="435" operator="equal">
      <formula>"Proceso RH"</formula>
    </cfRule>
    <cfRule type="cellIs" dxfId="19" priority="431" operator="equal">
      <formula>"Nuevo Ingreso"</formula>
    </cfRule>
    <cfRule type="containsText" dxfId="18" priority="429" operator="containsText" text="Préstamo">
      <formula>NOT(ISERROR(SEARCH("Préstamo",F501)))</formula>
    </cfRule>
  </conditionalFormatting>
  <conditionalFormatting sqref="F18:G21">
    <cfRule type="cellIs" dxfId="17" priority="109" operator="equal">
      <formula>"Nuevo Ingreso"</formula>
    </cfRule>
    <cfRule type="cellIs" dxfId="16" priority="108" operator="equal">
      <formula>"Leyenda On leave"</formula>
    </cfRule>
    <cfRule type="cellIs" dxfId="15" priority="113" operator="equal">
      <formula>"Proceso RH"</formula>
    </cfRule>
    <cfRule type="cellIs" dxfId="14" priority="112" operator="equal">
      <formula>"Incapacidad"</formula>
    </cfRule>
    <cfRule type="cellIs" dxfId="13" priority="111" operator="equal">
      <formula>"Incapacidad (ST4)"</formula>
    </cfRule>
    <cfRule type="cellIs" dxfId="12" priority="110" operator="equal">
      <formula>"Transfer Out"</formula>
    </cfRule>
  </conditionalFormatting>
  <conditionalFormatting sqref="F3:H5">
    <cfRule type="cellIs" dxfId="11" priority="81" operator="equal">
      <formula>"Proceso RH"</formula>
    </cfRule>
    <cfRule type="cellIs" dxfId="10" priority="80" operator="equal">
      <formula>"Incapacidad"</formula>
    </cfRule>
    <cfRule type="cellIs" dxfId="9" priority="79" operator="equal">
      <formula>"Incapacidad (ST4)"</formula>
    </cfRule>
    <cfRule type="cellIs" dxfId="8" priority="78" operator="equal">
      <formula>"Transfer Out"</formula>
    </cfRule>
    <cfRule type="cellIs" dxfId="7" priority="77" operator="equal">
      <formula>"Nuevo Ingreso"</formula>
    </cfRule>
    <cfRule type="cellIs" dxfId="6" priority="76" operator="equal">
      <formula>"Leyenda On leave"</formula>
    </cfRule>
  </conditionalFormatting>
  <conditionalFormatting sqref="F8:H17">
    <cfRule type="cellIs" dxfId="5" priority="20" operator="equal">
      <formula>"Proceso RH"</formula>
    </cfRule>
    <cfRule type="cellIs" dxfId="4" priority="19" operator="equal">
      <formula>"Incapacidad"</formula>
    </cfRule>
    <cfRule type="cellIs" dxfId="3" priority="18" operator="equal">
      <formula>"Incapacidad (ST4)"</formula>
    </cfRule>
    <cfRule type="cellIs" dxfId="2" priority="17" operator="equal">
      <formula>"Transfer Out"</formula>
    </cfRule>
    <cfRule type="cellIs" dxfId="1" priority="16" operator="equal">
      <formula>"Nuevo Ingreso"</formula>
    </cfRule>
    <cfRule type="cellIs" dxfId="0" priority="15" operator="equal">
      <formula>"Leyenda On leave"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Carta Capacidad</vt:lpstr>
      <vt:lpstr>HC</vt:lpstr>
      <vt:lpstr>Transfer Out-In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Miriam Mercedes Hernandez</dc:creator>
  <dc:description/>
  <cp:lastModifiedBy>Jose Eduardo Castro</cp:lastModifiedBy>
  <cp:revision>2</cp:revision>
  <cp:lastPrinted>2025-09-05T23:14:28Z</cp:lastPrinted>
  <dcterms:created xsi:type="dcterms:W3CDTF">2021-04-26T19:16:22Z</dcterms:created>
  <dcterms:modified xsi:type="dcterms:W3CDTF">2026-07-26T17:07:35Z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0x01010053153AC6BF04114DADA7DD1AFB2F205F</vt:lpwstr>
  </property>
</Properties>
</file>